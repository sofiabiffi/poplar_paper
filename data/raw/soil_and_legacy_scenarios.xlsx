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fia\Documents\misc_Rstuff\"/>
    </mc:Choice>
  </mc:AlternateContent>
  <xr:revisionPtr revIDLastSave="0" documentId="13_ncr:1_{C83C8A1F-8E8E-48BA-9B28-3B68AC5C2D82}" xr6:coauthVersionLast="47" xr6:coauthVersionMax="47" xr10:uidLastSave="{00000000-0000-0000-0000-000000000000}"/>
  <bookViews>
    <workbookView xWindow="-108" yWindow="-108" windowWidth="23256" windowHeight="12456" xr2:uid="{45F917D4-3883-436C-85C3-2D9064540ECF}"/>
  </bookViews>
  <sheets>
    <sheet name="rawdataSofia" sheetId="17" r:id="rId1"/>
    <sheet name="by treatments" sheetId="7" r:id="rId2"/>
    <sheet name="by treatment and depth" sheetId="8" r:id="rId3"/>
    <sheet name="scenario1_6_million_ha" sheetId="9" r:id="rId4"/>
    <sheet name="scenario2_6_million_ha" sheetId="10" r:id="rId5"/>
    <sheet name="scenario3_6_million_ha" sheetId="11" r:id="rId6"/>
    <sheet name="6 million_cumulative C uptake" sheetId="12" r:id="rId7"/>
    <sheet name="4.1 million_cumulative C uptake" sheetId="16" r:id="rId8"/>
    <sheet name="scenario1_4.1_million_ha" sheetId="13" r:id="rId9"/>
    <sheet name="scenario2_4.1_million_ha" sheetId="14" r:id="rId10"/>
    <sheet name="scenario3_4.1_million_ha" sheetId="15" r:id="rId11"/>
    <sheet name="Sheet1" sheetId="1" r:id="rId12"/>
    <sheet name="0-30cm_SOCstock" sheetId="6" r:id="rId13"/>
    <sheet name="stat" sheetId="2" r:id="rId14"/>
    <sheet name="SOC stock" sheetId="5" r:id="rId15"/>
    <sheet name="Sheet3" sheetId="3" r:id="rId16"/>
  </sheets>
  <definedNames>
    <definedName name="_xlnm._FilterDatabase" localSheetId="0" hidden="1">rawdataSofia!$C$1:$C$189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7" l="1"/>
  <c r="F209" i="7"/>
  <c r="F206" i="7"/>
  <c r="F205" i="7"/>
  <c r="F204" i="7"/>
  <c r="F53" i="7"/>
  <c r="F52" i="7"/>
  <c r="F105" i="7"/>
  <c r="F104" i="7"/>
  <c r="F103" i="7"/>
  <c r="C4" i="6" l="1"/>
  <c r="C7" i="6"/>
  <c r="C10" i="6"/>
  <c r="C13" i="6"/>
  <c r="C16" i="6"/>
  <c r="C19" i="6"/>
  <c r="C22" i="6"/>
  <c r="C25" i="6"/>
  <c r="C28" i="6"/>
  <c r="C31" i="6"/>
  <c r="C34" i="6"/>
  <c r="C37" i="6"/>
  <c r="C40" i="6"/>
  <c r="C43" i="6"/>
  <c r="C46" i="6"/>
  <c r="C49" i="6"/>
  <c r="C52" i="6"/>
  <c r="C55" i="6"/>
  <c r="C58" i="6"/>
  <c r="C61" i="6"/>
  <c r="C64" i="6"/>
  <c r="C67" i="6"/>
  <c r="C70" i="6"/>
  <c r="C73" i="6"/>
  <c r="C76" i="6"/>
  <c r="C79" i="6"/>
  <c r="C82" i="6"/>
  <c r="C85" i="6"/>
  <c r="C88" i="6"/>
  <c r="C91" i="6"/>
  <c r="C94" i="6"/>
  <c r="C97" i="6"/>
  <c r="C100" i="6"/>
  <c r="C103" i="6"/>
  <c r="C106" i="6"/>
  <c r="C111" i="6"/>
  <c r="C114" i="6"/>
  <c r="C117" i="6"/>
  <c r="C120" i="6"/>
  <c r="C123" i="6"/>
  <c r="C126" i="6"/>
  <c r="C131" i="6"/>
  <c r="C134" i="6"/>
  <c r="C137" i="6"/>
  <c r="C140" i="6"/>
  <c r="C145" i="6"/>
  <c r="C148" i="6"/>
  <c r="C151" i="6"/>
  <c r="C154" i="6"/>
  <c r="C157" i="6"/>
  <c r="C160" i="6"/>
  <c r="C163" i="6"/>
  <c r="C168" i="6"/>
  <c r="C171" i="6"/>
  <c r="C174" i="6"/>
  <c r="C177" i="6"/>
  <c r="C180" i="6"/>
  <c r="C183" i="6"/>
  <c r="C186" i="6"/>
  <c r="C189" i="6"/>
  <c r="C192" i="6"/>
  <c r="C195" i="6"/>
  <c r="C198" i="6"/>
  <c r="C201" i="6"/>
  <c r="C204" i="6"/>
  <c r="C207" i="6"/>
  <c r="C210" i="6"/>
  <c r="C213" i="6"/>
  <c r="C216" i="6"/>
  <c r="C219" i="6"/>
  <c r="C222" i="6"/>
  <c r="C225" i="6"/>
  <c r="C228" i="6"/>
  <c r="C231" i="6"/>
  <c r="C234" i="6"/>
  <c r="C237" i="6"/>
  <c r="C240" i="6"/>
  <c r="C243" i="6"/>
  <c r="C246" i="6"/>
  <c r="C249" i="6"/>
  <c r="C252" i="6"/>
  <c r="C255" i="6"/>
  <c r="C258" i="6"/>
  <c r="C261" i="6"/>
  <c r="C264" i="6"/>
  <c r="C267" i="6"/>
  <c r="C270" i="6"/>
  <c r="C273" i="6"/>
  <c r="C276" i="6"/>
  <c r="C279" i="6"/>
  <c r="C282" i="6"/>
  <c r="C285" i="6"/>
</calcChain>
</file>

<file path=xl/sharedStrings.xml><?xml version="1.0" encoding="utf-8"?>
<sst xmlns="http://schemas.openxmlformats.org/spreadsheetml/2006/main" count="3721" uniqueCount="486">
  <si>
    <t>field</t>
  </si>
  <si>
    <t>soil depth</t>
  </si>
  <si>
    <t>Fine fractional bulk density (g/cm3)</t>
  </si>
  <si>
    <t>SOC content (%)</t>
  </si>
  <si>
    <t>Soil C stock (tonnes/ha)</t>
  </si>
  <si>
    <t>SOC stock (MgC/ha)</t>
  </si>
  <si>
    <t>Agroforestry: alley</t>
  </si>
  <si>
    <t>0-15</t>
  </si>
  <si>
    <t>15-30</t>
  </si>
  <si>
    <t>average</t>
  </si>
  <si>
    <t>median</t>
  </si>
  <si>
    <t>standard deviation</t>
  </si>
  <si>
    <t>tree</t>
  </si>
  <si>
    <t>stdev</t>
  </si>
  <si>
    <t>arable</t>
  </si>
  <si>
    <t xml:space="preserve">total by treatment </t>
  </si>
  <si>
    <t>Field</t>
  </si>
  <si>
    <t>soil depth (cm)</t>
  </si>
  <si>
    <t>SOC  (MgC/ha)</t>
  </si>
  <si>
    <t>depths</t>
  </si>
  <si>
    <t>total BD</t>
  </si>
  <si>
    <t>fractional BD</t>
  </si>
  <si>
    <t>SOC%</t>
  </si>
  <si>
    <t>Soil C stock</t>
  </si>
  <si>
    <t xml:space="preserve">SOC stock </t>
  </si>
  <si>
    <t>alley</t>
  </si>
  <si>
    <t>1.14(1.14)</t>
  </si>
  <si>
    <t>1.11(1.11)</t>
  </si>
  <si>
    <t>2.66(2.65)</t>
  </si>
  <si>
    <t>43.33(43.16)</t>
  </si>
  <si>
    <t>44.42 (43.92)</t>
  </si>
  <si>
    <t>1.39(1.41)</t>
  </si>
  <si>
    <t>1.36(1.38)</t>
  </si>
  <si>
    <t>1.56(1.57)</t>
  </si>
  <si>
    <t>30.71(31.13)</t>
  </si>
  <si>
    <t>31.80 (32.40)</t>
  </si>
  <si>
    <t>0-30</t>
  </si>
  <si>
    <t>2.53(2.55)</t>
  </si>
  <si>
    <t>2.47(2.49)</t>
  </si>
  <si>
    <t>4.22(4.22)</t>
  </si>
  <si>
    <t>74.04(74.27)</t>
  </si>
  <si>
    <t>76.22 (76.32)</t>
  </si>
  <si>
    <t>1.03(1.03)</t>
  </si>
  <si>
    <t>1.01(0.98)</t>
  </si>
  <si>
    <t>2.86(2.83)</t>
  </si>
  <si>
    <t xml:space="preserve">41.94(42.59) </t>
  </si>
  <si>
    <t>43.18 (41.60)</t>
  </si>
  <si>
    <t>1.20(1.21)</t>
  </si>
  <si>
    <t>1.16(1.17)</t>
  </si>
  <si>
    <t>1.69(1.65)</t>
  </si>
  <si>
    <t>28.44(28.33)</t>
  </si>
  <si>
    <t>29.35 (28.96)</t>
  </si>
  <si>
    <t>2.23(2.51)</t>
  </si>
  <si>
    <t>2.17(2.15)</t>
  </si>
  <si>
    <t>4.55(4.48)</t>
  </si>
  <si>
    <t>70.38(71.12)</t>
  </si>
  <si>
    <t>72.53 (70.56)</t>
  </si>
  <si>
    <t>1.23(1.27)</t>
  </si>
  <si>
    <t>1.18(1.21)</t>
  </si>
  <si>
    <t>1.72(1.69)</t>
  </si>
  <si>
    <t>29.60(30.06)</t>
  </si>
  <si>
    <t>30.48 (30.67)</t>
  </si>
  <si>
    <t>1.36 (1.37)</t>
  </si>
  <si>
    <t>1.31(1.32)</t>
  </si>
  <si>
    <t>1.45(1.51)</t>
  </si>
  <si>
    <t>27.04(28.88)</t>
  </si>
  <si>
    <t>28.39 (29.90)</t>
  </si>
  <si>
    <t>2.59(2.64)</t>
  </si>
  <si>
    <t>2.49(2.53)</t>
  </si>
  <si>
    <t>3.17(3.2)</t>
  </si>
  <si>
    <t>56.64(59.24)</t>
  </si>
  <si>
    <t>58.87 (60.57)</t>
  </si>
  <si>
    <t xml:space="preserve"> tree cover = 2*128 = 256*19 (tree rows) = 4864 m2 = 4864/10000 = 0.4864 ha</t>
  </si>
  <si>
    <t xml:space="preserve"> alley cover = 8*128 = 1024*18(alleys) = 18432 m2 = 1.8432 ha</t>
  </si>
  <si>
    <t>total area = 4864 + 18432 = 23296 m2 = 2.3296 ha</t>
  </si>
  <si>
    <t>tree SOC t</t>
  </si>
  <si>
    <t>alley SOC t</t>
  </si>
  <si>
    <t>total SOC t</t>
  </si>
  <si>
    <t>SOC t/ha</t>
  </si>
  <si>
    <t>arable SOC t/ha</t>
  </si>
  <si>
    <t xml:space="preserve">difference between agroforestry - arable = </t>
  </si>
  <si>
    <t>i.e. additional SOC stock =</t>
  </si>
  <si>
    <t>t C/ha</t>
  </si>
  <si>
    <t xml:space="preserve">then annual SOC increments = </t>
  </si>
  <si>
    <t>tC/ha</t>
  </si>
  <si>
    <t>yes correct</t>
  </si>
  <si>
    <t>Annual sequestration rate AGB (t C /ha)</t>
  </si>
  <si>
    <t>1-2 tC/ha/yr</t>
  </si>
  <si>
    <t>trees</t>
  </si>
  <si>
    <t>Annual sequestration rate SOC (t/ha)</t>
  </si>
  <si>
    <t xml:space="preserve">mean </t>
  </si>
  <si>
    <t xml:space="preserve">standard deviation </t>
  </si>
  <si>
    <t>total by treatments and depths</t>
  </si>
  <si>
    <t>Scenario 1: All additional 600,000 ha of arable land are planted with silvoarable in one year (by the end of 2025)</t>
  </si>
  <si>
    <t>years after planting</t>
  </si>
  <si>
    <t>plant in 2025</t>
  </si>
  <si>
    <t>hybrid B /year</t>
  </si>
  <si>
    <t>B (AGB ) MgC/ha/yr</t>
  </si>
  <si>
    <t>AGB C uptake (Mg/yr)</t>
  </si>
  <si>
    <t>Cumulative C uptake  (Mg C)</t>
  </si>
  <si>
    <t>Cumulative CO2 uptake (Mg CO2)</t>
  </si>
  <si>
    <t>BGB  uptake of C per year (Mg/yr)</t>
  </si>
  <si>
    <t xml:space="preserve">Cumulative uptake of C by BGB </t>
  </si>
  <si>
    <t xml:space="preserve">Cumulative BGB CO2 uptake </t>
  </si>
  <si>
    <t>SOC (Mg/yr)</t>
  </si>
  <si>
    <t>Cumulative uptak of C by soil</t>
  </si>
  <si>
    <t>you had not worked out the cumulative SOC uptake - so tota in table was lower than it should be</t>
  </si>
  <si>
    <t xml:space="preserve">TOTAL C uptake </t>
  </si>
  <si>
    <t xml:space="preserve">Can we sum AGB C, BGB C, and SOC uptake as we did in scenario 2? </t>
  </si>
  <si>
    <t>YES</t>
  </si>
  <si>
    <t>Total CO2 uptake</t>
  </si>
  <si>
    <t>Hybrid G/year</t>
  </si>
  <si>
    <t>AGB</t>
  </si>
  <si>
    <t>AGB uptake</t>
  </si>
  <si>
    <t xml:space="preserve">Cumulative C uptake </t>
  </si>
  <si>
    <t>Cumulative CO2 uptake</t>
  </si>
  <si>
    <t xml:space="preserve">BGB uptake </t>
  </si>
  <si>
    <t>cumulative BGB uptake</t>
  </si>
  <si>
    <t>Cumulative BGB  CO2 uptake</t>
  </si>
  <si>
    <t>SOC</t>
  </si>
  <si>
    <t>Cumulative SOC uptake</t>
  </si>
  <si>
    <t xml:space="preserve">TOTAL AGB C uptake </t>
  </si>
  <si>
    <t>Hybrid R/year</t>
  </si>
  <si>
    <t xml:space="preserve">cumulative AGB uptake </t>
  </si>
  <si>
    <t>BGB uptake</t>
  </si>
  <si>
    <t>Cumulative BGB uptake</t>
  </si>
  <si>
    <t xml:space="preserve">Cumulative SOC uptake </t>
  </si>
  <si>
    <t>Hybrid T/year</t>
  </si>
  <si>
    <t>Cumulative AGB uptake</t>
  </si>
  <si>
    <t>BGB</t>
  </si>
  <si>
    <t xml:space="preserve">Cumulative CO2 uptake </t>
  </si>
  <si>
    <t>Scenario 2: 600,000 ha are planted within 25 years at a rate of 24,000 ha yr−1 (by the end of 2050).</t>
  </si>
  <si>
    <t xml:space="preserve">Total AGB C uptake </t>
  </si>
  <si>
    <t>Total emissions each year (Mg C/yr)</t>
  </si>
  <si>
    <t>cumulative C uptake (Mg C)</t>
  </si>
  <si>
    <t>B (AGB Mg C/ha/yr)</t>
  </si>
  <si>
    <t xml:space="preserve">year 1 (2026) </t>
  </si>
  <si>
    <t xml:space="preserve">year 2 (2027) </t>
  </si>
  <si>
    <t>year 3 (2028)</t>
  </si>
  <si>
    <t>year 4 (2029)</t>
  </si>
  <si>
    <t>year 5 (2030)</t>
  </si>
  <si>
    <t>year 6 (2031)</t>
  </si>
  <si>
    <t>year 7 (2032)</t>
  </si>
  <si>
    <t>year 8 (2033)</t>
  </si>
  <si>
    <t>year 9 (2034)</t>
  </si>
  <si>
    <t>year 10 (2035)</t>
  </si>
  <si>
    <t>year 11 (2036)</t>
  </si>
  <si>
    <t>year 12 (2037)</t>
  </si>
  <si>
    <t>year 13 (2038)</t>
  </si>
  <si>
    <t>year 14 (2039)</t>
  </si>
  <si>
    <t>year 15 (2040)</t>
  </si>
  <si>
    <t>year 16 (2041)</t>
  </si>
  <si>
    <t>year 17 (2042)</t>
  </si>
  <si>
    <t>year 18 (2043)</t>
  </si>
  <si>
    <t>year 19 (2044)</t>
  </si>
  <si>
    <t>year 20 (2045)</t>
  </si>
  <si>
    <t>year 21 (2046)</t>
  </si>
  <si>
    <t>year 22 (2047)</t>
  </si>
  <si>
    <t>year 23 (2048)</t>
  </si>
  <si>
    <t>year 24 (2049)</t>
  </si>
  <si>
    <t>year 25 (2050)</t>
  </si>
  <si>
    <t>Total C/CO2 in Mg (divide by 1000000 to get Teragram Tg)</t>
  </si>
  <si>
    <t>B - BGB (Mg C/ha/yr)</t>
  </si>
  <si>
    <t>year 1 (2026)</t>
  </si>
  <si>
    <t>year 2 (2027)</t>
  </si>
  <si>
    <t>SOC (Mg C/ha/yr)</t>
  </si>
  <si>
    <t xml:space="preserve">Total C uptake </t>
  </si>
  <si>
    <t xml:space="preserve">Total CO2 uptake </t>
  </si>
  <si>
    <t>hybrid G /year</t>
  </si>
  <si>
    <t>G AGB increment (Mg C/ha/yr)</t>
  </si>
  <si>
    <t>G BGB year 1 (2026)</t>
  </si>
  <si>
    <t>R hybrid/year</t>
  </si>
  <si>
    <t>R - AGB</t>
  </si>
  <si>
    <t xml:space="preserve"> year 1 (2026)</t>
  </si>
  <si>
    <t>R - BGB year 1 (2026)</t>
  </si>
  <si>
    <t xml:space="preserve">hybrid T/year </t>
  </si>
  <si>
    <t>T - AGB</t>
  </si>
  <si>
    <t xml:space="preserve"> T - BGB year 1 (2026)</t>
  </si>
  <si>
    <t>Scenario 3</t>
  </si>
  <si>
    <t xml:space="preserve">5% silvoarable  on arable land 600000 ha </t>
  </si>
  <si>
    <t xml:space="preserve">i.e. </t>
  </si>
  <si>
    <t xml:space="preserve"> 300,000 ha are planted within 25 years at a rate of 12,000 ha yr−1 (by the end of 2050).</t>
  </si>
  <si>
    <t xml:space="preserve">table 1. Cumulative C uptake by 2050 under three scenarios </t>
  </si>
  <si>
    <t>Scenario 1</t>
  </si>
  <si>
    <t>Scenario 2</t>
  </si>
  <si>
    <t>hybrid</t>
  </si>
  <si>
    <t xml:space="preserve">cumulative AGB C uptake </t>
  </si>
  <si>
    <t xml:space="preserve">cum BGB C uptake </t>
  </si>
  <si>
    <t xml:space="preserve">cum SOC uptake </t>
  </si>
  <si>
    <t>Total C uptake</t>
  </si>
  <si>
    <t>Total CO2 uptake (Mg or t)</t>
  </si>
  <si>
    <t>Tg CO2 uptake</t>
  </si>
  <si>
    <t>CO2 uptake (Tg)</t>
  </si>
  <si>
    <t>T</t>
  </si>
  <si>
    <t>B</t>
  </si>
  <si>
    <t>R</t>
  </si>
  <si>
    <t>G</t>
  </si>
  <si>
    <t>table 1. Cumulative C uptake by 2050 under three scenarios (4.1 ha)</t>
  </si>
  <si>
    <t>Scenario 1: All additional 410000 ha of arable land are planted with silvoarable in one year (by the end of 2025)</t>
  </si>
  <si>
    <t>Scenario 2: 410000 ha are planted within 25 years at a rate of 16400 ha yr−1 (by the end of 2050).</t>
  </si>
  <si>
    <t xml:space="preserve">5% silvoarable  on arable land 410000 ha </t>
  </si>
  <si>
    <t xml:space="preserve"> 205000 ha are planted within 25 years at a rate of 8200 ha yr−1 (by the end of 2050).</t>
  </si>
  <si>
    <t xml:space="preserve"> kw_res &lt;- kruskal_test(df, SOC_stock ~ field) by location/field </t>
  </si>
  <si>
    <t>kw_res &lt;-  kruskal_test(df, SOC_stock ~ depth)by depth</t>
  </si>
  <si>
    <t>&gt; print(kw_res)</t>
  </si>
  <si>
    <t># A tibble: 1 × 6</t>
  </si>
  <si>
    <t xml:space="preserve">  .y.           n statistic    df             p method        </t>
  </si>
  <si>
    <t xml:space="preserve">  .y.           n statistic    df        p method        </t>
  </si>
  <si>
    <r>
      <t>*</t>
    </r>
    <r>
      <rPr>
        <sz val="12"/>
        <color rgb="FF000000"/>
        <rFont val="Lucida Console"/>
        <family val="3"/>
      </rPr>
      <t xml:space="preserve"> </t>
    </r>
    <r>
      <rPr>
        <i/>
        <sz val="12"/>
        <color rgb="FF949494"/>
        <rFont val="Lucida Console"/>
        <family val="3"/>
      </rPr>
      <t>&lt;chr&gt;</t>
    </r>
    <r>
      <rPr>
        <sz val="12"/>
        <color rgb="FF000000"/>
        <rFont val="Lucida Console"/>
        <family val="3"/>
      </rPr>
      <t xml:space="preserve">     </t>
    </r>
    <r>
      <rPr>
        <i/>
        <sz val="12"/>
        <color rgb="FF949494"/>
        <rFont val="Lucida Console"/>
        <family val="3"/>
      </rPr>
      <t>&lt;int&gt;</t>
    </r>
    <r>
      <rPr>
        <sz val="12"/>
        <color rgb="FF000000"/>
        <rFont val="Lucida Console"/>
        <family val="3"/>
      </rPr>
      <t xml:space="preserve">     </t>
    </r>
    <r>
      <rPr>
        <i/>
        <sz val="12"/>
        <color rgb="FF949494"/>
        <rFont val="Lucida Console"/>
        <family val="3"/>
      </rPr>
      <t>&lt;dbl&gt;</t>
    </r>
    <r>
      <rPr>
        <sz val="12"/>
        <color rgb="FF000000"/>
        <rFont val="Lucida Console"/>
        <family val="3"/>
      </rPr>
      <t xml:space="preserve"> </t>
    </r>
    <r>
      <rPr>
        <i/>
        <sz val="12"/>
        <color rgb="FF949494"/>
        <rFont val="Lucida Console"/>
        <family val="3"/>
      </rPr>
      <t>&lt;int&gt;</t>
    </r>
    <r>
      <rPr>
        <sz val="12"/>
        <color rgb="FF000000"/>
        <rFont val="Lucida Console"/>
        <family val="3"/>
      </rPr>
      <t xml:space="preserve">         </t>
    </r>
    <r>
      <rPr>
        <i/>
        <sz val="12"/>
        <color rgb="FF949494"/>
        <rFont val="Lucida Console"/>
        <family val="3"/>
      </rPr>
      <t>&lt;dbl&gt;</t>
    </r>
    <r>
      <rPr>
        <sz val="12"/>
        <color rgb="FF000000"/>
        <rFont val="Lucida Console"/>
        <family val="3"/>
      </rPr>
      <t xml:space="preserve"> </t>
    </r>
    <r>
      <rPr>
        <i/>
        <sz val="12"/>
        <color rgb="FF949494"/>
        <rFont val="Lucida Console"/>
        <family val="3"/>
      </rPr>
      <t>&lt;chr&gt;</t>
    </r>
    <r>
      <rPr>
        <sz val="12"/>
        <color rgb="FF000000"/>
        <rFont val="Lucida Console"/>
        <family val="3"/>
      </rPr>
      <t xml:space="preserve">         </t>
    </r>
  </si>
  <si>
    <r>
      <t>*</t>
    </r>
    <r>
      <rPr>
        <sz val="12"/>
        <color rgb="FF000000"/>
        <rFont val="Lucida Console"/>
        <family val="3"/>
      </rPr>
      <t xml:space="preserve"> </t>
    </r>
    <r>
      <rPr>
        <i/>
        <sz val="12"/>
        <color rgb="FF949494"/>
        <rFont val="Lucida Console"/>
        <family val="3"/>
      </rPr>
      <t>&lt;chr&gt;</t>
    </r>
    <r>
      <rPr>
        <sz val="12"/>
        <color rgb="FF000000"/>
        <rFont val="Lucida Console"/>
        <family val="3"/>
      </rPr>
      <t xml:space="preserve">     </t>
    </r>
    <r>
      <rPr>
        <i/>
        <sz val="12"/>
        <color rgb="FF949494"/>
        <rFont val="Lucida Console"/>
        <family val="3"/>
      </rPr>
      <t>&lt;int&gt;</t>
    </r>
    <r>
      <rPr>
        <sz val="12"/>
        <color rgb="FF000000"/>
        <rFont val="Lucida Console"/>
        <family val="3"/>
      </rPr>
      <t xml:space="preserve">     </t>
    </r>
    <r>
      <rPr>
        <i/>
        <sz val="12"/>
        <color rgb="FF949494"/>
        <rFont val="Lucida Console"/>
        <family val="3"/>
      </rPr>
      <t>&lt;dbl&gt;</t>
    </r>
    <r>
      <rPr>
        <sz val="12"/>
        <color rgb="FF000000"/>
        <rFont val="Lucida Console"/>
        <family val="3"/>
      </rPr>
      <t xml:space="preserve"> </t>
    </r>
    <r>
      <rPr>
        <i/>
        <sz val="12"/>
        <color rgb="FF949494"/>
        <rFont val="Lucida Console"/>
        <family val="3"/>
      </rPr>
      <t>&lt;int&gt;</t>
    </r>
    <r>
      <rPr>
        <sz val="12"/>
        <color rgb="FF000000"/>
        <rFont val="Lucida Console"/>
        <family val="3"/>
      </rPr>
      <t xml:space="preserve">    </t>
    </r>
    <r>
      <rPr>
        <i/>
        <sz val="12"/>
        <color rgb="FF949494"/>
        <rFont val="Lucida Console"/>
        <family val="3"/>
      </rPr>
      <t>&lt;dbl&gt;</t>
    </r>
    <r>
      <rPr>
        <sz val="12"/>
        <color rgb="FF000000"/>
        <rFont val="Lucida Console"/>
        <family val="3"/>
      </rPr>
      <t xml:space="preserve"> </t>
    </r>
    <r>
      <rPr>
        <i/>
        <sz val="12"/>
        <color rgb="FF949494"/>
        <rFont val="Lucida Console"/>
        <family val="3"/>
      </rPr>
      <t>&lt;chr&gt;</t>
    </r>
    <r>
      <rPr>
        <sz val="12"/>
        <color rgb="FF000000"/>
        <rFont val="Lucida Console"/>
        <family val="3"/>
      </rPr>
      <t xml:space="preserve">         </t>
    </r>
  </si>
  <si>
    <r>
      <t>1</t>
    </r>
    <r>
      <rPr>
        <sz val="12"/>
        <color rgb="FF000000"/>
        <rFont val="Lucida Console"/>
        <family val="3"/>
      </rPr>
      <t xml:space="preserve"> SOC_stock   188      37.0     2 0.000</t>
    </r>
    <r>
      <rPr>
        <u/>
        <sz val="12"/>
        <color rgb="FF000000"/>
        <rFont val="Lucida Console"/>
        <family val="3"/>
      </rPr>
      <t>000</t>
    </r>
    <r>
      <rPr>
        <sz val="12"/>
        <color rgb="FF000000"/>
        <rFont val="Lucida Console"/>
        <family val="3"/>
      </rPr>
      <t>009</t>
    </r>
    <r>
      <rPr>
        <u/>
        <sz val="12"/>
        <color rgb="FF000000"/>
        <rFont val="Lucida Console"/>
        <family val="3"/>
      </rPr>
      <t>46</t>
    </r>
    <r>
      <rPr>
        <sz val="12"/>
        <color rgb="FF000000"/>
        <rFont val="Lucida Console"/>
        <family val="3"/>
      </rPr>
      <t xml:space="preserve"> Kruskal-Wallis</t>
    </r>
  </si>
  <si>
    <r>
      <t>1</t>
    </r>
    <r>
      <rPr>
        <sz val="12"/>
        <color rgb="FF000000"/>
        <rFont val="Lucida Console"/>
        <family val="3"/>
      </rPr>
      <t xml:space="preserve"> SOC_stock   188      44.1     1 3.08</t>
    </r>
    <r>
      <rPr>
        <sz val="12"/>
        <color rgb="FF949494"/>
        <rFont val="Lucida Console"/>
        <family val="3"/>
      </rPr>
      <t>e</t>
    </r>
    <r>
      <rPr>
        <sz val="12"/>
        <color rgb="FFCC0000"/>
        <rFont val="Lucida Console"/>
        <family val="3"/>
      </rPr>
      <t>-11</t>
    </r>
    <r>
      <rPr>
        <sz val="12"/>
        <color rgb="FF000000"/>
        <rFont val="Lucida Console"/>
        <family val="3"/>
      </rPr>
      <t xml:space="preserve"> Kruskal-Wallis</t>
    </r>
  </si>
  <si>
    <t xml:space="preserve"> # ---- Dunn’s post-hoc test (Holm adjustment) ----</t>
  </si>
  <si>
    <t># ---- Dunn’s post-hoc test (Holm adjustment) ----</t>
  </si>
  <si>
    <t>&gt; dunn_res &lt;- dunn_test(df, SOC_stock ~ field, p.adjust.method = "bonferroni")</t>
  </si>
  <si>
    <t>&gt; dunn_res &lt;- dunn_test(df, SOC_stock ~ depth, p.adjust.method = "bonferroni")</t>
  </si>
  <si>
    <t>&gt; print(dunn_res)</t>
  </si>
  <si>
    <t># A tibble: 3 × 9</t>
  </si>
  <si>
    <t># A tibble: 1 × 9</t>
  </si>
  <si>
    <t xml:space="preserve">  .y.       group1     group2    n1    n2 statistic       p   p.adj p.adj.signif</t>
  </si>
  <si>
    <t xml:space="preserve">  .y.       group1 group2    n1    n2 statistic        p    p.adj p.adj.signif</t>
  </si>
  <si>
    <r>
      <t>*</t>
    </r>
    <r>
      <rPr>
        <sz val="10"/>
        <color rgb="FF000000"/>
        <rFont val="Lucida Console"/>
        <family val="3"/>
      </rPr>
      <t xml:space="preserve"> </t>
    </r>
    <r>
      <rPr>
        <i/>
        <sz val="10"/>
        <color rgb="FF949494"/>
        <rFont val="Lucida Console"/>
        <family val="3"/>
      </rPr>
      <t>&lt;chr&gt;</t>
    </r>
    <r>
      <rPr>
        <sz val="10"/>
        <color rgb="FF000000"/>
        <rFont val="Lucida Console"/>
        <family val="3"/>
      </rPr>
      <t xml:space="preserve">     </t>
    </r>
    <r>
      <rPr>
        <i/>
        <sz val="10"/>
        <color rgb="FF949494"/>
        <rFont val="Lucida Console"/>
        <family val="3"/>
      </rPr>
      <t>&lt;chr&gt;</t>
    </r>
    <r>
      <rPr>
        <sz val="10"/>
        <color rgb="FF000000"/>
        <rFont val="Lucida Console"/>
        <family val="3"/>
      </rPr>
      <t xml:space="preserve">      </t>
    </r>
    <r>
      <rPr>
        <i/>
        <sz val="10"/>
        <color rgb="FF949494"/>
        <rFont val="Lucida Console"/>
        <family val="3"/>
      </rPr>
      <t>&lt;chr&gt;</t>
    </r>
    <r>
      <rPr>
        <sz val="10"/>
        <color rgb="FF000000"/>
        <rFont val="Lucida Console"/>
        <family val="3"/>
      </rPr>
      <t xml:space="preserve">  </t>
    </r>
    <r>
      <rPr>
        <i/>
        <sz val="10"/>
        <color rgb="FF949494"/>
        <rFont val="Lucida Console"/>
        <family val="3"/>
      </rPr>
      <t>&lt;int&gt;</t>
    </r>
    <r>
      <rPr>
        <sz val="10"/>
        <color rgb="FF000000"/>
        <rFont val="Lucida Console"/>
        <family val="3"/>
      </rPr>
      <t xml:space="preserve"> </t>
    </r>
    <r>
      <rPr>
        <i/>
        <sz val="10"/>
        <color rgb="FF949494"/>
        <rFont val="Lucida Console"/>
        <family val="3"/>
      </rPr>
      <t>&lt;int&gt;</t>
    </r>
    <r>
      <rPr>
        <sz val="10"/>
        <color rgb="FF000000"/>
        <rFont val="Lucida Console"/>
        <family val="3"/>
      </rPr>
      <t xml:space="preserve">     </t>
    </r>
    <r>
      <rPr>
        <i/>
        <sz val="10"/>
        <color rgb="FF949494"/>
        <rFont val="Lucida Console"/>
        <family val="3"/>
      </rPr>
      <t>&lt;dbl&gt;</t>
    </r>
    <r>
      <rPr>
        <sz val="10"/>
        <color rgb="FF000000"/>
        <rFont val="Lucida Console"/>
        <family val="3"/>
      </rPr>
      <t xml:space="preserve">   </t>
    </r>
    <r>
      <rPr>
        <i/>
        <sz val="10"/>
        <color rgb="FF949494"/>
        <rFont val="Lucida Console"/>
        <family val="3"/>
      </rPr>
      <t>&lt;dbl&gt;</t>
    </r>
    <r>
      <rPr>
        <sz val="10"/>
        <color rgb="FF000000"/>
        <rFont val="Lucida Console"/>
        <family val="3"/>
      </rPr>
      <t xml:space="preserve">   </t>
    </r>
    <r>
      <rPr>
        <i/>
        <sz val="10"/>
        <color rgb="FF949494"/>
        <rFont val="Lucida Console"/>
        <family val="3"/>
      </rPr>
      <t>&lt;dbl&gt;</t>
    </r>
    <r>
      <rPr>
        <sz val="10"/>
        <color rgb="FF000000"/>
        <rFont val="Lucida Console"/>
        <family val="3"/>
      </rPr>
      <t xml:space="preserve"> </t>
    </r>
    <r>
      <rPr>
        <i/>
        <sz val="10"/>
        <color rgb="FF949494"/>
        <rFont val="Lucida Console"/>
        <family val="3"/>
      </rPr>
      <t>&lt;chr&gt;</t>
    </r>
    <r>
      <rPr>
        <sz val="10"/>
        <color rgb="FF000000"/>
        <rFont val="Lucida Console"/>
        <family val="3"/>
      </rPr>
      <t xml:space="preserve">       </t>
    </r>
  </si>
  <si>
    <r>
      <t>*</t>
    </r>
    <r>
      <rPr>
        <sz val="12"/>
        <color rgb="FF000000"/>
        <rFont val="Lucida Console"/>
        <family val="3"/>
      </rPr>
      <t xml:space="preserve"> </t>
    </r>
    <r>
      <rPr>
        <i/>
        <sz val="12"/>
        <color rgb="FF949494"/>
        <rFont val="Lucida Console"/>
        <family val="3"/>
      </rPr>
      <t>&lt;chr&gt;</t>
    </r>
    <r>
      <rPr>
        <sz val="12"/>
        <color rgb="FF000000"/>
        <rFont val="Lucida Console"/>
        <family val="3"/>
      </rPr>
      <t xml:space="preserve">     </t>
    </r>
    <r>
      <rPr>
        <i/>
        <sz val="12"/>
        <color rgb="FF949494"/>
        <rFont val="Lucida Console"/>
        <family val="3"/>
      </rPr>
      <t>&lt;chr&gt;</t>
    </r>
    <r>
      <rPr>
        <sz val="12"/>
        <color rgb="FF000000"/>
        <rFont val="Lucida Console"/>
        <family val="3"/>
      </rPr>
      <t xml:space="preserve">  </t>
    </r>
    <r>
      <rPr>
        <i/>
        <sz val="12"/>
        <color rgb="FF949494"/>
        <rFont val="Lucida Console"/>
        <family val="3"/>
      </rPr>
      <t>&lt;chr&gt;</t>
    </r>
    <r>
      <rPr>
        <sz val="12"/>
        <color rgb="FF000000"/>
        <rFont val="Lucida Console"/>
        <family val="3"/>
      </rPr>
      <t xml:space="preserve">  </t>
    </r>
    <r>
      <rPr>
        <i/>
        <sz val="12"/>
        <color rgb="FF949494"/>
        <rFont val="Lucida Console"/>
        <family val="3"/>
      </rPr>
      <t>&lt;int&gt;</t>
    </r>
    <r>
      <rPr>
        <sz val="12"/>
        <color rgb="FF000000"/>
        <rFont val="Lucida Console"/>
        <family val="3"/>
      </rPr>
      <t xml:space="preserve"> </t>
    </r>
    <r>
      <rPr>
        <i/>
        <sz val="12"/>
        <color rgb="FF949494"/>
        <rFont val="Lucida Console"/>
        <family val="3"/>
      </rPr>
      <t>&lt;int&gt;</t>
    </r>
    <r>
      <rPr>
        <sz val="12"/>
        <color rgb="FF000000"/>
        <rFont val="Lucida Console"/>
        <family val="3"/>
      </rPr>
      <t xml:space="preserve">     </t>
    </r>
    <r>
      <rPr>
        <i/>
        <sz val="12"/>
        <color rgb="FF949494"/>
        <rFont val="Lucida Console"/>
        <family val="3"/>
      </rPr>
      <t>&lt;dbl&gt;</t>
    </r>
    <r>
      <rPr>
        <sz val="12"/>
        <color rgb="FF000000"/>
        <rFont val="Lucida Console"/>
        <family val="3"/>
      </rPr>
      <t xml:space="preserve">    </t>
    </r>
    <r>
      <rPr>
        <i/>
        <sz val="12"/>
        <color rgb="FF949494"/>
        <rFont val="Lucida Console"/>
        <family val="3"/>
      </rPr>
      <t>&lt;dbl&gt;</t>
    </r>
    <r>
      <rPr>
        <sz val="12"/>
        <color rgb="FF000000"/>
        <rFont val="Lucida Console"/>
        <family val="3"/>
      </rPr>
      <t xml:space="preserve">    </t>
    </r>
    <r>
      <rPr>
        <i/>
        <sz val="12"/>
        <color rgb="FF949494"/>
        <rFont val="Lucida Console"/>
        <family val="3"/>
      </rPr>
      <t>&lt;dbl&gt;</t>
    </r>
    <r>
      <rPr>
        <sz val="12"/>
        <color rgb="FF000000"/>
        <rFont val="Lucida Console"/>
        <family val="3"/>
      </rPr>
      <t xml:space="preserve"> </t>
    </r>
    <r>
      <rPr>
        <i/>
        <sz val="12"/>
        <color rgb="FF949494"/>
        <rFont val="Lucida Console"/>
        <family val="3"/>
      </rPr>
      <t>&lt;chr&gt;</t>
    </r>
    <r>
      <rPr>
        <sz val="12"/>
        <color rgb="FF000000"/>
        <rFont val="Lucida Console"/>
        <family val="3"/>
      </rPr>
      <t xml:space="preserve">       </t>
    </r>
  </si>
  <si>
    <r>
      <t>1</t>
    </r>
    <r>
      <rPr>
        <sz val="10"/>
        <color rgb="FF000000"/>
        <rFont val="Lucida Console"/>
        <family val="3"/>
      </rPr>
      <t xml:space="preserve"> SOC_stock alley      arable    48    95    -</t>
    </r>
    <r>
      <rPr>
        <sz val="10"/>
        <color rgb="FFCC0000"/>
        <rFont val="Lucida Console"/>
        <family val="3"/>
      </rPr>
      <t>5.47</t>
    </r>
    <r>
      <rPr>
        <sz val="10"/>
        <color rgb="FF000000"/>
        <rFont val="Lucida Console"/>
        <family val="3"/>
      </rPr>
      <t xml:space="preserve">  4.38</t>
    </r>
    <r>
      <rPr>
        <sz val="10"/>
        <color rgb="FF949494"/>
        <rFont val="Lucida Console"/>
        <family val="3"/>
      </rPr>
      <t>e</t>
    </r>
    <r>
      <rPr>
        <sz val="10"/>
        <color rgb="FFCC0000"/>
        <rFont val="Lucida Console"/>
        <family val="3"/>
      </rPr>
      <t>-8</t>
    </r>
    <r>
      <rPr>
        <sz val="10"/>
        <color rgb="FF000000"/>
        <rFont val="Lucida Console"/>
        <family val="3"/>
      </rPr>
      <t xml:space="preserve"> 1.31</t>
    </r>
    <r>
      <rPr>
        <sz val="10"/>
        <color rgb="FF949494"/>
        <rFont val="Lucida Console"/>
        <family val="3"/>
      </rPr>
      <t>e</t>
    </r>
    <r>
      <rPr>
        <sz val="10"/>
        <color rgb="FFCC0000"/>
        <rFont val="Lucida Console"/>
        <family val="3"/>
      </rPr>
      <t>-7</t>
    </r>
    <r>
      <rPr>
        <sz val="10"/>
        <color rgb="FF000000"/>
        <rFont val="Lucida Console"/>
        <family val="3"/>
      </rPr>
      <t xml:space="preserve"> ****        </t>
    </r>
  </si>
  <si>
    <r>
      <t>1</t>
    </r>
    <r>
      <rPr>
        <sz val="12"/>
        <color rgb="FF000000"/>
        <rFont val="Lucida Console"/>
        <family val="3"/>
      </rPr>
      <t xml:space="preserve"> SOC_stock 0-15   15-30     96    92     -</t>
    </r>
    <r>
      <rPr>
        <sz val="12"/>
        <color rgb="FFCC0000"/>
        <rFont val="Lucida Console"/>
        <family val="3"/>
      </rPr>
      <t>6.64</t>
    </r>
    <r>
      <rPr>
        <sz val="12"/>
        <color rgb="FF000000"/>
        <rFont val="Lucida Console"/>
        <family val="3"/>
      </rPr>
      <t xml:space="preserve"> 3.08</t>
    </r>
    <r>
      <rPr>
        <sz val="12"/>
        <color rgb="FF949494"/>
        <rFont val="Lucida Console"/>
        <family val="3"/>
      </rPr>
      <t>e</t>
    </r>
    <r>
      <rPr>
        <sz val="12"/>
        <color rgb="FFCC0000"/>
        <rFont val="Lucida Console"/>
        <family val="3"/>
      </rPr>
      <t>-11</t>
    </r>
    <r>
      <rPr>
        <sz val="12"/>
        <color rgb="FF000000"/>
        <rFont val="Lucida Console"/>
        <family val="3"/>
      </rPr>
      <t xml:space="preserve"> 3.08</t>
    </r>
    <r>
      <rPr>
        <sz val="12"/>
        <color rgb="FF949494"/>
        <rFont val="Lucida Console"/>
        <family val="3"/>
      </rPr>
      <t>e</t>
    </r>
    <r>
      <rPr>
        <sz val="12"/>
        <color rgb="FFCC0000"/>
        <rFont val="Lucida Console"/>
        <family val="3"/>
      </rPr>
      <t>-11</t>
    </r>
    <r>
      <rPr>
        <sz val="12"/>
        <color rgb="FF000000"/>
        <rFont val="Lucida Console"/>
        <family val="3"/>
      </rPr>
      <t xml:space="preserve"> ****        </t>
    </r>
  </si>
  <si>
    <r>
      <t>2</t>
    </r>
    <r>
      <rPr>
        <sz val="10"/>
        <color rgb="FF000000"/>
        <rFont val="Lucida Console"/>
        <family val="3"/>
      </rPr>
      <t xml:space="preserve"> SOC_stock alley      tree      48    45    -</t>
    </r>
    <r>
      <rPr>
        <sz val="10"/>
        <color rgb="FFCC0000"/>
        <rFont val="Lucida Console"/>
        <family val="3"/>
      </rPr>
      <t>0.928</t>
    </r>
    <r>
      <rPr>
        <sz val="10"/>
        <color rgb="FF000000"/>
        <rFont val="Lucida Console"/>
        <family val="3"/>
      </rPr>
      <t xml:space="preserve"> 3.53</t>
    </r>
    <r>
      <rPr>
        <sz val="10"/>
        <color rgb="FF949494"/>
        <rFont val="Lucida Console"/>
        <family val="3"/>
      </rPr>
      <t>e</t>
    </r>
    <r>
      <rPr>
        <sz val="10"/>
        <color rgb="FFCC0000"/>
        <rFont val="Lucida Console"/>
        <family val="3"/>
      </rPr>
      <t>-1</t>
    </r>
    <r>
      <rPr>
        <sz val="10"/>
        <color rgb="FF000000"/>
        <rFont val="Lucida Console"/>
        <family val="3"/>
      </rPr>
      <t xml:space="preserve"> 1   </t>
    </r>
    <r>
      <rPr>
        <sz val="10"/>
        <color rgb="FF949494"/>
        <rFont val="Lucida Console"/>
        <family val="3"/>
      </rPr>
      <t>e</t>
    </r>
    <r>
      <rPr>
        <sz val="10"/>
        <color rgb="FF000000"/>
        <rFont val="Lucida Console"/>
        <family val="3"/>
      </rPr>
      <t xml:space="preserve">+0 ns          </t>
    </r>
  </si>
  <si>
    <r>
      <t>3</t>
    </r>
    <r>
      <rPr>
        <sz val="10"/>
        <color rgb="FF000000"/>
        <rFont val="Lucida Console"/>
        <family val="3"/>
      </rPr>
      <t xml:space="preserve"> SOC_stock arable     tree      95    45     4.29  1.76</t>
    </r>
    <r>
      <rPr>
        <sz val="10"/>
        <color rgb="FF949494"/>
        <rFont val="Lucida Console"/>
        <family val="3"/>
      </rPr>
      <t>e</t>
    </r>
    <r>
      <rPr>
        <sz val="10"/>
        <color rgb="FFCC0000"/>
        <rFont val="Lucida Console"/>
        <family val="3"/>
      </rPr>
      <t>-5</t>
    </r>
    <r>
      <rPr>
        <sz val="10"/>
        <color rgb="FF000000"/>
        <rFont val="Lucida Console"/>
        <family val="3"/>
      </rPr>
      <t xml:space="preserve"> 5.28</t>
    </r>
    <r>
      <rPr>
        <sz val="10"/>
        <color rgb="FF949494"/>
        <rFont val="Lucida Console"/>
        <family val="3"/>
      </rPr>
      <t>e</t>
    </r>
    <r>
      <rPr>
        <sz val="10"/>
        <color rgb="FFCC0000"/>
        <rFont val="Lucida Console"/>
        <family val="3"/>
      </rPr>
      <t>-5</t>
    </r>
    <r>
      <rPr>
        <sz val="10"/>
        <color rgb="FF000000"/>
        <rFont val="Lucida Console"/>
        <family val="3"/>
      </rPr>
      <t xml:space="preserve"> ****        </t>
    </r>
  </si>
  <si>
    <t>&gt;</t>
  </si>
  <si>
    <t xml:space="preserve">sample from three depths (15-30cm) missing for trees; one depth (15-30 cm) for arable </t>
  </si>
  <si>
    <t xml:space="preserve"> kw_res &lt;- kruskal_test(df, SOC_stock ~ field)</t>
  </si>
  <si>
    <t>alley1</t>
  </si>
  <si>
    <t>alley2</t>
  </si>
  <si>
    <t>alley3</t>
  </si>
  <si>
    <t xml:space="preserve">  .y.           n statistic    df     p method        </t>
  </si>
  <si>
    <t>alley4</t>
  </si>
  <si>
    <r>
      <t>*</t>
    </r>
    <r>
      <rPr>
        <sz val="12"/>
        <color rgb="FF000000"/>
        <rFont val="Lucida Console"/>
        <family val="3"/>
      </rPr>
      <t xml:space="preserve"> </t>
    </r>
    <r>
      <rPr>
        <i/>
        <sz val="12"/>
        <color rgb="FF949494"/>
        <rFont val="Lucida Console"/>
        <family val="3"/>
      </rPr>
      <t>&lt;chr&gt;</t>
    </r>
    <r>
      <rPr>
        <sz val="12"/>
        <color rgb="FF000000"/>
        <rFont val="Lucida Console"/>
        <family val="3"/>
      </rPr>
      <t xml:space="preserve">     </t>
    </r>
    <r>
      <rPr>
        <i/>
        <sz val="12"/>
        <color rgb="FF949494"/>
        <rFont val="Lucida Console"/>
        <family val="3"/>
      </rPr>
      <t>&lt;int&gt;</t>
    </r>
    <r>
      <rPr>
        <sz val="12"/>
        <color rgb="FF000000"/>
        <rFont val="Lucida Console"/>
        <family val="3"/>
      </rPr>
      <t xml:space="preserve">     </t>
    </r>
    <r>
      <rPr>
        <i/>
        <sz val="12"/>
        <color rgb="FF949494"/>
        <rFont val="Lucida Console"/>
        <family val="3"/>
      </rPr>
      <t>&lt;dbl&gt;</t>
    </r>
    <r>
      <rPr>
        <sz val="12"/>
        <color rgb="FF000000"/>
        <rFont val="Lucida Console"/>
        <family val="3"/>
      </rPr>
      <t xml:space="preserve"> </t>
    </r>
    <r>
      <rPr>
        <i/>
        <sz val="12"/>
        <color rgb="FF949494"/>
        <rFont val="Lucida Console"/>
        <family val="3"/>
      </rPr>
      <t>&lt;int&gt;</t>
    </r>
    <r>
      <rPr>
        <sz val="12"/>
        <color rgb="FF000000"/>
        <rFont val="Lucida Console"/>
        <family val="3"/>
      </rPr>
      <t xml:space="preserve"> </t>
    </r>
    <r>
      <rPr>
        <i/>
        <sz val="12"/>
        <color rgb="FF949494"/>
        <rFont val="Lucida Console"/>
        <family val="3"/>
      </rPr>
      <t>&lt;dbl&gt;</t>
    </r>
    <r>
      <rPr>
        <sz val="12"/>
        <color rgb="FF000000"/>
        <rFont val="Lucida Console"/>
        <family val="3"/>
      </rPr>
      <t xml:space="preserve"> </t>
    </r>
    <r>
      <rPr>
        <i/>
        <sz val="12"/>
        <color rgb="FF949494"/>
        <rFont val="Lucida Console"/>
        <family val="3"/>
      </rPr>
      <t>&lt;chr&gt;</t>
    </r>
    <r>
      <rPr>
        <sz val="12"/>
        <color rgb="FF000000"/>
        <rFont val="Lucida Console"/>
        <family val="3"/>
      </rPr>
      <t xml:space="preserve">         </t>
    </r>
  </si>
  <si>
    <t>alley5</t>
  </si>
  <si>
    <r>
      <t>1</t>
    </r>
    <r>
      <rPr>
        <sz val="12"/>
        <color rgb="FF000000"/>
        <rFont val="Lucida Console"/>
        <family val="3"/>
      </rPr>
      <t xml:space="preserve"> SOC_stock    96        95    95 0.481 Kruskal-Wallis</t>
    </r>
  </si>
  <si>
    <t>alley6</t>
  </si>
  <si>
    <t>alley7</t>
  </si>
  <si>
    <t>alley8</t>
  </si>
  <si>
    <t>alley9</t>
  </si>
  <si>
    <t>alley10</t>
  </si>
  <si>
    <t>alley11</t>
  </si>
  <si>
    <t>alley12</t>
  </si>
  <si>
    <t>alley13</t>
  </si>
  <si>
    <t>alley14</t>
  </si>
  <si>
    <t>alley15</t>
  </si>
  <si>
    <t>alley16</t>
  </si>
  <si>
    <t>alley17</t>
  </si>
  <si>
    <t>alley18</t>
  </si>
  <si>
    <t>alley19</t>
  </si>
  <si>
    <t>alley20</t>
  </si>
  <si>
    <t>alley21</t>
  </si>
  <si>
    <t>alley22</t>
  </si>
  <si>
    <t>alley23</t>
  </si>
  <si>
    <t>alley24</t>
  </si>
  <si>
    <t>tree1</t>
  </si>
  <si>
    <t>tree2</t>
  </si>
  <si>
    <t>tree3</t>
  </si>
  <si>
    <t>tree4</t>
  </si>
  <si>
    <t>tree5</t>
  </si>
  <si>
    <t>tree6</t>
  </si>
  <si>
    <t>tree7</t>
  </si>
  <si>
    <t>tree8</t>
  </si>
  <si>
    <t>tree9</t>
  </si>
  <si>
    <t>tree10</t>
  </si>
  <si>
    <t>tree11</t>
  </si>
  <si>
    <t>tree12</t>
  </si>
  <si>
    <t>tree13</t>
  </si>
  <si>
    <t>tree14</t>
  </si>
  <si>
    <t>tree15</t>
  </si>
  <si>
    <t>tree16</t>
  </si>
  <si>
    <t>tree17</t>
  </si>
  <si>
    <t>tree18</t>
  </si>
  <si>
    <t>tree19</t>
  </si>
  <si>
    <t>tree20</t>
  </si>
  <si>
    <t>tree21</t>
  </si>
  <si>
    <t>tree22</t>
  </si>
  <si>
    <t>tree23</t>
  </si>
  <si>
    <t>tree24</t>
  </si>
  <si>
    <t>arable1</t>
  </si>
  <si>
    <t>arable2</t>
  </si>
  <si>
    <t>arable3</t>
  </si>
  <si>
    <t>arable4</t>
  </si>
  <si>
    <t>arable5</t>
  </si>
  <si>
    <t>arable6</t>
  </si>
  <si>
    <t>arable7</t>
  </si>
  <si>
    <t>arable8</t>
  </si>
  <si>
    <t>arable9</t>
  </si>
  <si>
    <t>arable10</t>
  </si>
  <si>
    <t>arable11</t>
  </si>
  <si>
    <t>arable12</t>
  </si>
  <si>
    <t>arable13</t>
  </si>
  <si>
    <t>arable14</t>
  </si>
  <si>
    <t>arable15</t>
  </si>
  <si>
    <t>arable16</t>
  </si>
  <si>
    <t>arable17</t>
  </si>
  <si>
    <t>arable18</t>
  </si>
  <si>
    <t>arable19</t>
  </si>
  <si>
    <t>arable20</t>
  </si>
  <si>
    <t>arable21</t>
  </si>
  <si>
    <t>arable22</t>
  </si>
  <si>
    <t>arable23</t>
  </si>
  <si>
    <t>arable24</t>
  </si>
  <si>
    <t>arable25</t>
  </si>
  <si>
    <t>arable26</t>
  </si>
  <si>
    <t>arable27</t>
  </si>
  <si>
    <t>arable28</t>
  </si>
  <si>
    <t>arable29</t>
  </si>
  <si>
    <t>arable30</t>
  </si>
  <si>
    <t>arable31</t>
  </si>
  <si>
    <t>arable32</t>
  </si>
  <si>
    <t>arable33</t>
  </si>
  <si>
    <t>arable34</t>
  </si>
  <si>
    <t>arable35</t>
  </si>
  <si>
    <t>arable36</t>
  </si>
  <si>
    <t>arable37</t>
  </si>
  <si>
    <t>arable38</t>
  </si>
  <si>
    <t>arable39</t>
  </si>
  <si>
    <t>arable40</t>
  </si>
  <si>
    <t>arable41</t>
  </si>
  <si>
    <t>arable42</t>
  </si>
  <si>
    <t>arable43</t>
  </si>
  <si>
    <t>arable44</t>
  </si>
  <si>
    <t>arable45</t>
  </si>
  <si>
    <t>arable46</t>
  </si>
  <si>
    <t>arable47</t>
  </si>
  <si>
    <t>arable48</t>
  </si>
  <si>
    <t xml:space="preserve"> BD</t>
  </si>
  <si>
    <t>by location/field</t>
  </si>
  <si>
    <t xml:space="preserve"> A tibble: 1 × 6</t>
  </si>
  <si>
    <r>
      <t>*</t>
    </r>
    <r>
      <rPr>
        <sz val="10"/>
        <color rgb="FF000000"/>
        <rFont val="Lucida Console"/>
        <family val="3"/>
      </rPr>
      <t xml:space="preserve"> </t>
    </r>
    <r>
      <rPr>
        <i/>
        <sz val="10"/>
        <color rgb="FF949494"/>
        <rFont val="Lucida Console"/>
        <family val="3"/>
      </rPr>
      <t>&lt;chr&gt;</t>
    </r>
    <r>
      <rPr>
        <sz val="10"/>
        <color rgb="FF000000"/>
        <rFont val="Lucida Console"/>
        <family val="3"/>
      </rPr>
      <t xml:space="preserve">     </t>
    </r>
    <r>
      <rPr>
        <i/>
        <sz val="10"/>
        <color rgb="FF949494"/>
        <rFont val="Lucida Console"/>
        <family val="3"/>
      </rPr>
      <t>&lt;int&gt;</t>
    </r>
    <r>
      <rPr>
        <sz val="10"/>
        <color rgb="FF000000"/>
        <rFont val="Lucida Console"/>
        <family val="3"/>
      </rPr>
      <t xml:space="preserve">     </t>
    </r>
    <r>
      <rPr>
        <i/>
        <sz val="10"/>
        <color rgb="FF949494"/>
        <rFont val="Lucida Console"/>
        <family val="3"/>
      </rPr>
      <t>&lt;dbl&gt;</t>
    </r>
    <r>
      <rPr>
        <sz val="10"/>
        <color rgb="FF000000"/>
        <rFont val="Lucida Console"/>
        <family val="3"/>
      </rPr>
      <t xml:space="preserve"> </t>
    </r>
    <r>
      <rPr>
        <i/>
        <sz val="10"/>
        <color rgb="FF949494"/>
        <rFont val="Lucida Console"/>
        <family val="3"/>
      </rPr>
      <t>&lt;int&gt;</t>
    </r>
    <r>
      <rPr>
        <sz val="10"/>
        <color rgb="FF000000"/>
        <rFont val="Lucida Console"/>
        <family val="3"/>
      </rPr>
      <t xml:space="preserve"> </t>
    </r>
    <r>
      <rPr>
        <i/>
        <sz val="10"/>
        <color rgb="FF949494"/>
        <rFont val="Lucida Console"/>
        <family val="3"/>
      </rPr>
      <t>&lt;dbl&gt;</t>
    </r>
    <r>
      <rPr>
        <sz val="10"/>
        <color rgb="FF000000"/>
        <rFont val="Lucida Console"/>
        <family val="3"/>
      </rPr>
      <t xml:space="preserve"> </t>
    </r>
    <r>
      <rPr>
        <i/>
        <sz val="10"/>
        <color rgb="FF949494"/>
        <rFont val="Lucida Console"/>
        <family val="3"/>
      </rPr>
      <t>&lt;chr&gt;</t>
    </r>
    <r>
      <rPr>
        <sz val="10"/>
        <color rgb="FF000000"/>
        <rFont val="Lucida Console"/>
        <family val="3"/>
      </rPr>
      <t xml:space="preserve">         </t>
    </r>
  </si>
  <si>
    <r>
      <t>1</t>
    </r>
    <r>
      <rPr>
        <sz val="10"/>
        <color rgb="FF000000"/>
        <rFont val="Lucida Console"/>
        <family val="3"/>
      </rPr>
      <t xml:space="preserve"> SOC_stock    93     0.500     1 0.479 Kruskal-Wallis</t>
    </r>
  </si>
  <si>
    <t xml:space="preserve">  .y.       n statistic    df     p method        </t>
  </si>
  <si>
    <r>
      <t>*</t>
    </r>
    <r>
      <rPr>
        <sz val="10"/>
        <color rgb="FF000000"/>
        <rFont val="Lucida Console"/>
        <family val="3"/>
      </rPr>
      <t xml:space="preserve"> </t>
    </r>
    <r>
      <rPr>
        <i/>
        <sz val="10"/>
        <color rgb="FF949494"/>
        <rFont val="Lucida Console"/>
        <family val="3"/>
      </rPr>
      <t>&lt;chr&gt;</t>
    </r>
    <r>
      <rPr>
        <sz val="10"/>
        <color rgb="FF000000"/>
        <rFont val="Lucida Console"/>
        <family val="3"/>
      </rPr>
      <t xml:space="preserve"> </t>
    </r>
    <r>
      <rPr>
        <i/>
        <sz val="10"/>
        <color rgb="FF949494"/>
        <rFont val="Lucida Console"/>
        <family val="3"/>
      </rPr>
      <t>&lt;int&gt;</t>
    </r>
    <r>
      <rPr>
        <sz val="10"/>
        <color rgb="FF000000"/>
        <rFont val="Lucida Console"/>
        <family val="3"/>
      </rPr>
      <t xml:space="preserve">     </t>
    </r>
    <r>
      <rPr>
        <i/>
        <sz val="10"/>
        <color rgb="FF949494"/>
        <rFont val="Lucida Console"/>
        <family val="3"/>
      </rPr>
      <t>&lt;dbl&gt;</t>
    </r>
    <r>
      <rPr>
        <sz val="10"/>
        <color rgb="FF000000"/>
        <rFont val="Lucida Console"/>
        <family val="3"/>
      </rPr>
      <t xml:space="preserve"> </t>
    </r>
    <r>
      <rPr>
        <i/>
        <sz val="10"/>
        <color rgb="FF949494"/>
        <rFont val="Lucida Console"/>
        <family val="3"/>
      </rPr>
      <t>&lt;int&gt;</t>
    </r>
    <r>
      <rPr>
        <sz val="10"/>
        <color rgb="FF000000"/>
        <rFont val="Lucida Console"/>
        <family val="3"/>
      </rPr>
      <t xml:space="preserve"> </t>
    </r>
    <r>
      <rPr>
        <i/>
        <sz val="10"/>
        <color rgb="FF949494"/>
        <rFont val="Lucida Console"/>
        <family val="3"/>
      </rPr>
      <t>&lt;dbl&gt;</t>
    </r>
    <r>
      <rPr>
        <sz val="10"/>
        <color rgb="FF000000"/>
        <rFont val="Lucida Console"/>
        <family val="3"/>
      </rPr>
      <t xml:space="preserve"> </t>
    </r>
    <r>
      <rPr>
        <i/>
        <sz val="10"/>
        <color rgb="FF949494"/>
        <rFont val="Lucida Console"/>
        <family val="3"/>
      </rPr>
      <t>&lt;chr&gt;</t>
    </r>
    <r>
      <rPr>
        <sz val="10"/>
        <color rgb="FF000000"/>
        <rFont val="Lucida Console"/>
        <family val="3"/>
      </rPr>
      <t xml:space="preserve">         </t>
    </r>
  </si>
  <si>
    <r>
      <t>1</t>
    </r>
    <r>
      <rPr>
        <sz val="10"/>
        <color rgb="FF000000"/>
        <rFont val="Lucida Console"/>
        <family val="3"/>
      </rPr>
      <t xml:space="preserve"> SOC      93      2.41     1  0.12 Kruskal-Wallis</t>
    </r>
  </si>
  <si>
    <t>A tibble: 1 × 6</t>
  </si>
  <si>
    <t xml:space="preserve">  .y.         n statistic    df        p method        </t>
  </si>
  <si>
    <r>
      <t>*</t>
    </r>
    <r>
      <rPr>
        <sz val="12"/>
        <color rgb="FF000000"/>
        <rFont val="Lucida Console"/>
        <family val="3"/>
      </rPr>
      <t xml:space="preserve"> </t>
    </r>
    <r>
      <rPr>
        <i/>
        <sz val="12"/>
        <color rgb="FF949494"/>
        <rFont val="Lucida Console"/>
        <family val="3"/>
      </rPr>
      <t>&lt;chr&gt;</t>
    </r>
    <r>
      <rPr>
        <sz val="12"/>
        <color rgb="FF000000"/>
        <rFont val="Lucida Console"/>
        <family val="3"/>
      </rPr>
      <t xml:space="preserve">   </t>
    </r>
    <r>
      <rPr>
        <i/>
        <sz val="12"/>
        <color rgb="FF949494"/>
        <rFont val="Lucida Console"/>
        <family val="3"/>
      </rPr>
      <t>&lt;int&gt;</t>
    </r>
    <r>
      <rPr>
        <sz val="12"/>
        <color rgb="FF000000"/>
        <rFont val="Lucida Console"/>
        <family val="3"/>
      </rPr>
      <t xml:space="preserve">     </t>
    </r>
    <r>
      <rPr>
        <i/>
        <sz val="12"/>
        <color rgb="FF949494"/>
        <rFont val="Lucida Console"/>
        <family val="3"/>
      </rPr>
      <t>&lt;dbl&gt;</t>
    </r>
    <r>
      <rPr>
        <sz val="12"/>
        <color rgb="FF000000"/>
        <rFont val="Lucida Console"/>
        <family val="3"/>
      </rPr>
      <t xml:space="preserve"> </t>
    </r>
    <r>
      <rPr>
        <i/>
        <sz val="12"/>
        <color rgb="FF949494"/>
        <rFont val="Lucida Console"/>
        <family val="3"/>
      </rPr>
      <t>&lt;int&gt;</t>
    </r>
    <r>
      <rPr>
        <sz val="12"/>
        <color rgb="FF000000"/>
        <rFont val="Lucida Console"/>
        <family val="3"/>
      </rPr>
      <t xml:space="preserve">    </t>
    </r>
    <r>
      <rPr>
        <i/>
        <sz val="12"/>
        <color rgb="FF949494"/>
        <rFont val="Lucida Console"/>
        <family val="3"/>
      </rPr>
      <t>&lt;dbl&gt;</t>
    </r>
    <r>
      <rPr>
        <sz val="12"/>
        <color rgb="FF000000"/>
        <rFont val="Lucida Console"/>
        <family val="3"/>
      </rPr>
      <t xml:space="preserve"> </t>
    </r>
    <r>
      <rPr>
        <i/>
        <sz val="12"/>
        <color rgb="FF949494"/>
        <rFont val="Lucida Console"/>
        <family val="3"/>
      </rPr>
      <t>&lt;chr&gt;</t>
    </r>
    <r>
      <rPr>
        <sz val="12"/>
        <color rgb="FF000000"/>
        <rFont val="Lucida Console"/>
        <family val="3"/>
      </rPr>
      <t xml:space="preserve">         </t>
    </r>
  </si>
  <si>
    <r>
      <t>1</t>
    </r>
    <r>
      <rPr>
        <sz val="12"/>
        <color rgb="FF000000"/>
        <rFont val="Lucida Console"/>
        <family val="3"/>
      </rPr>
      <t xml:space="preserve"> fine_BD    93      11.1     1 0.000</t>
    </r>
    <r>
      <rPr>
        <u/>
        <sz val="12"/>
        <color rgb="FF000000"/>
        <rFont val="Lucida Console"/>
        <family val="3"/>
      </rPr>
      <t>868</t>
    </r>
    <r>
      <rPr>
        <sz val="12"/>
        <color rgb="FF000000"/>
        <rFont val="Lucida Console"/>
        <family val="3"/>
      </rPr>
      <t xml:space="preserve"> Kruskal-Wallis</t>
    </r>
  </si>
  <si>
    <t>dunnes testfor BD</t>
  </si>
  <si>
    <t>A tibble: 1 × 9</t>
  </si>
  <si>
    <t xml:space="preserve">  .y.     group1 group2    n1    n2 statistic        p    p.adj p.adj.signif</t>
  </si>
  <si>
    <r>
      <t>*</t>
    </r>
    <r>
      <rPr>
        <sz val="12"/>
        <color rgb="FF000000"/>
        <rFont val="Lucida Console"/>
        <family val="3"/>
      </rPr>
      <t xml:space="preserve"> </t>
    </r>
    <r>
      <rPr>
        <i/>
        <sz val="12"/>
        <color rgb="FF949494"/>
        <rFont val="Lucida Console"/>
        <family val="3"/>
      </rPr>
      <t>&lt;chr&gt;</t>
    </r>
    <r>
      <rPr>
        <sz val="12"/>
        <color rgb="FF000000"/>
        <rFont val="Lucida Console"/>
        <family val="3"/>
      </rPr>
      <t xml:space="preserve">   </t>
    </r>
    <r>
      <rPr>
        <i/>
        <sz val="12"/>
        <color rgb="FF949494"/>
        <rFont val="Lucida Console"/>
        <family val="3"/>
      </rPr>
      <t>&lt;chr&gt;</t>
    </r>
    <r>
      <rPr>
        <sz val="12"/>
        <color rgb="FF000000"/>
        <rFont val="Lucida Console"/>
        <family val="3"/>
      </rPr>
      <t xml:space="preserve">  </t>
    </r>
    <r>
      <rPr>
        <i/>
        <sz val="12"/>
        <color rgb="FF949494"/>
        <rFont val="Lucida Console"/>
        <family val="3"/>
      </rPr>
      <t>&lt;chr&gt;</t>
    </r>
    <r>
      <rPr>
        <sz val="12"/>
        <color rgb="FF000000"/>
        <rFont val="Lucida Console"/>
        <family val="3"/>
      </rPr>
      <t xml:space="preserve">  </t>
    </r>
    <r>
      <rPr>
        <i/>
        <sz val="12"/>
        <color rgb="FF949494"/>
        <rFont val="Lucida Console"/>
        <family val="3"/>
      </rPr>
      <t>&lt;int&gt;</t>
    </r>
    <r>
      <rPr>
        <sz val="12"/>
        <color rgb="FF000000"/>
        <rFont val="Lucida Console"/>
        <family val="3"/>
      </rPr>
      <t xml:space="preserve"> </t>
    </r>
    <r>
      <rPr>
        <i/>
        <sz val="12"/>
        <color rgb="FF949494"/>
        <rFont val="Lucida Console"/>
        <family val="3"/>
      </rPr>
      <t>&lt;int&gt;</t>
    </r>
    <r>
      <rPr>
        <sz val="12"/>
        <color rgb="FF000000"/>
        <rFont val="Lucida Console"/>
        <family val="3"/>
      </rPr>
      <t xml:space="preserve">     </t>
    </r>
    <r>
      <rPr>
        <i/>
        <sz val="12"/>
        <color rgb="FF949494"/>
        <rFont val="Lucida Console"/>
        <family val="3"/>
      </rPr>
      <t>&lt;dbl&gt;</t>
    </r>
    <r>
      <rPr>
        <sz val="12"/>
        <color rgb="FF000000"/>
        <rFont val="Lucida Console"/>
        <family val="3"/>
      </rPr>
      <t xml:space="preserve">    </t>
    </r>
    <r>
      <rPr>
        <i/>
        <sz val="12"/>
        <color rgb="FF949494"/>
        <rFont val="Lucida Console"/>
        <family val="3"/>
      </rPr>
      <t>&lt;dbl&gt;</t>
    </r>
    <r>
      <rPr>
        <sz val="12"/>
        <color rgb="FF000000"/>
        <rFont val="Lucida Console"/>
        <family val="3"/>
      </rPr>
      <t xml:space="preserve">    </t>
    </r>
    <r>
      <rPr>
        <i/>
        <sz val="12"/>
        <color rgb="FF949494"/>
        <rFont val="Lucida Console"/>
        <family val="3"/>
      </rPr>
      <t>&lt;dbl&gt;</t>
    </r>
    <r>
      <rPr>
        <sz val="12"/>
        <color rgb="FF000000"/>
        <rFont val="Lucida Console"/>
        <family val="3"/>
      </rPr>
      <t xml:space="preserve"> </t>
    </r>
    <r>
      <rPr>
        <i/>
        <sz val="12"/>
        <color rgb="FF949494"/>
        <rFont val="Lucida Console"/>
        <family val="3"/>
      </rPr>
      <t>&lt;chr&gt;</t>
    </r>
    <r>
      <rPr>
        <sz val="12"/>
        <color rgb="FF000000"/>
        <rFont val="Lucida Console"/>
        <family val="3"/>
      </rPr>
      <t xml:space="preserve">       </t>
    </r>
  </si>
  <si>
    <r>
      <t>1</t>
    </r>
    <r>
      <rPr>
        <sz val="12"/>
        <color rgb="FF000000"/>
        <rFont val="Lucida Console"/>
        <family val="3"/>
      </rPr>
      <t xml:space="preserve"> fine_BD alley  trees     48    45     -</t>
    </r>
    <r>
      <rPr>
        <sz val="12"/>
        <color rgb="FFCC0000"/>
        <rFont val="Lucida Console"/>
        <family val="3"/>
      </rPr>
      <t>3.33</t>
    </r>
    <r>
      <rPr>
        <sz val="12"/>
        <color rgb="FF000000"/>
        <rFont val="Lucida Console"/>
        <family val="3"/>
      </rPr>
      <t xml:space="preserve"> 0.000</t>
    </r>
    <r>
      <rPr>
        <u/>
        <sz val="12"/>
        <color rgb="FF000000"/>
        <rFont val="Lucida Console"/>
        <family val="3"/>
      </rPr>
      <t>868</t>
    </r>
    <r>
      <rPr>
        <sz val="12"/>
        <color rgb="FF000000"/>
        <rFont val="Lucida Console"/>
        <family val="3"/>
      </rPr>
      <t xml:space="preserve"> 0.000</t>
    </r>
    <r>
      <rPr>
        <u/>
        <sz val="12"/>
        <color rgb="FF000000"/>
        <rFont val="Lucida Console"/>
        <family val="3"/>
      </rPr>
      <t>868</t>
    </r>
    <r>
      <rPr>
        <sz val="12"/>
        <color rgb="FF000000"/>
        <rFont val="Lucida Console"/>
        <family val="3"/>
      </rPr>
      <t xml:space="preserve"> *</t>
    </r>
  </si>
  <si>
    <t>by depth</t>
  </si>
  <si>
    <t>w_res &lt;- kruskal_test(agricarbon_normality, SOC ~ soil_depth)</t>
  </si>
  <si>
    <t xml:space="preserve">  .y.       n statistic    df        p method        </t>
  </si>
  <si>
    <r>
      <t>*</t>
    </r>
    <r>
      <rPr>
        <sz val="10"/>
        <color rgb="FF000000"/>
        <rFont val="Lucida Console"/>
        <family val="3"/>
      </rPr>
      <t xml:space="preserve"> </t>
    </r>
    <r>
      <rPr>
        <i/>
        <sz val="10"/>
        <color rgb="FF949494"/>
        <rFont val="Lucida Console"/>
        <family val="3"/>
      </rPr>
      <t>&lt;chr&gt;</t>
    </r>
    <r>
      <rPr>
        <sz val="10"/>
        <color rgb="FF000000"/>
        <rFont val="Lucida Console"/>
        <family val="3"/>
      </rPr>
      <t xml:space="preserve"> </t>
    </r>
    <r>
      <rPr>
        <i/>
        <sz val="10"/>
        <color rgb="FF949494"/>
        <rFont val="Lucida Console"/>
        <family val="3"/>
      </rPr>
      <t>&lt;int&gt;</t>
    </r>
    <r>
      <rPr>
        <sz val="10"/>
        <color rgb="FF000000"/>
        <rFont val="Lucida Console"/>
        <family val="3"/>
      </rPr>
      <t xml:space="preserve">     </t>
    </r>
    <r>
      <rPr>
        <i/>
        <sz val="10"/>
        <color rgb="FF949494"/>
        <rFont val="Lucida Console"/>
        <family val="3"/>
      </rPr>
      <t>&lt;dbl&gt;</t>
    </r>
    <r>
      <rPr>
        <sz val="10"/>
        <color rgb="FF000000"/>
        <rFont val="Lucida Console"/>
        <family val="3"/>
      </rPr>
      <t xml:space="preserve"> </t>
    </r>
    <r>
      <rPr>
        <i/>
        <sz val="10"/>
        <color rgb="FF949494"/>
        <rFont val="Lucida Console"/>
        <family val="3"/>
      </rPr>
      <t>&lt;int&gt;</t>
    </r>
    <r>
      <rPr>
        <sz val="10"/>
        <color rgb="FF000000"/>
        <rFont val="Lucida Console"/>
        <family val="3"/>
      </rPr>
      <t xml:space="preserve">    </t>
    </r>
    <r>
      <rPr>
        <i/>
        <sz val="10"/>
        <color rgb="FF949494"/>
        <rFont val="Lucida Console"/>
        <family val="3"/>
      </rPr>
      <t>&lt;dbl&gt;</t>
    </r>
    <r>
      <rPr>
        <sz val="10"/>
        <color rgb="FF000000"/>
        <rFont val="Lucida Console"/>
        <family val="3"/>
      </rPr>
      <t xml:space="preserve"> </t>
    </r>
    <r>
      <rPr>
        <i/>
        <sz val="10"/>
        <color rgb="FF949494"/>
        <rFont val="Lucida Console"/>
        <family val="3"/>
      </rPr>
      <t>&lt;chr&gt;</t>
    </r>
    <r>
      <rPr>
        <sz val="10"/>
        <color rgb="FF000000"/>
        <rFont val="Lucida Console"/>
        <family val="3"/>
      </rPr>
      <t xml:space="preserve">         </t>
    </r>
  </si>
  <si>
    <r>
      <t>1</t>
    </r>
    <r>
      <rPr>
        <sz val="10"/>
        <color rgb="FF000000"/>
        <rFont val="Lucida Console"/>
        <family val="3"/>
      </rPr>
      <t xml:space="preserve"> SOC      93      68.2     1 1.48</t>
    </r>
    <r>
      <rPr>
        <sz val="10"/>
        <color rgb="FF949494"/>
        <rFont val="Lucida Console"/>
        <family val="3"/>
      </rPr>
      <t>e</t>
    </r>
    <r>
      <rPr>
        <sz val="10"/>
        <color rgb="FFCC0000"/>
        <rFont val="Lucida Console"/>
        <family val="3"/>
      </rPr>
      <t>-16</t>
    </r>
    <r>
      <rPr>
        <sz val="10"/>
        <color rgb="FF000000"/>
        <rFont val="Lucida Console"/>
        <family val="3"/>
      </rPr>
      <t xml:space="preserve"> Kruskal-Wallis</t>
    </r>
  </si>
  <si>
    <t>&gt; # ---- Dunn’s post-hoc test (Holm adjustment) ----</t>
  </si>
  <si>
    <t>&gt; dunn_res &lt;- dunn_test(agricarbon_normality, SOC ~ soil_depth, p.adjust.method = "bonferroni")</t>
  </si>
  <si>
    <t xml:space="preserve">  .y.   group1 group2    n1    n2 statistic        p    p.adj p.adj.signif</t>
  </si>
  <si>
    <r>
      <t>*</t>
    </r>
    <r>
      <rPr>
        <sz val="10"/>
        <color rgb="FF000000"/>
        <rFont val="Lucida Console"/>
        <family val="3"/>
      </rPr>
      <t xml:space="preserve"> </t>
    </r>
    <r>
      <rPr>
        <i/>
        <sz val="10"/>
        <color rgb="FF949494"/>
        <rFont val="Lucida Console"/>
        <family val="3"/>
      </rPr>
      <t>&lt;chr&gt;</t>
    </r>
    <r>
      <rPr>
        <sz val="10"/>
        <color rgb="FF000000"/>
        <rFont val="Lucida Console"/>
        <family val="3"/>
      </rPr>
      <t xml:space="preserve"> </t>
    </r>
    <r>
      <rPr>
        <i/>
        <sz val="10"/>
        <color rgb="FF949494"/>
        <rFont val="Lucida Console"/>
        <family val="3"/>
      </rPr>
      <t>&lt;chr&gt;</t>
    </r>
    <r>
      <rPr>
        <sz val="10"/>
        <color rgb="FF000000"/>
        <rFont val="Lucida Console"/>
        <family val="3"/>
      </rPr>
      <t xml:space="preserve">  </t>
    </r>
    <r>
      <rPr>
        <i/>
        <sz val="10"/>
        <color rgb="FF949494"/>
        <rFont val="Lucida Console"/>
        <family val="3"/>
      </rPr>
      <t>&lt;chr&gt;</t>
    </r>
    <r>
      <rPr>
        <sz val="10"/>
        <color rgb="FF000000"/>
        <rFont val="Lucida Console"/>
        <family val="3"/>
      </rPr>
      <t xml:space="preserve">  </t>
    </r>
    <r>
      <rPr>
        <i/>
        <sz val="10"/>
        <color rgb="FF949494"/>
        <rFont val="Lucida Console"/>
        <family val="3"/>
      </rPr>
      <t>&lt;int&gt;</t>
    </r>
    <r>
      <rPr>
        <sz val="10"/>
        <color rgb="FF000000"/>
        <rFont val="Lucida Console"/>
        <family val="3"/>
      </rPr>
      <t xml:space="preserve"> </t>
    </r>
    <r>
      <rPr>
        <i/>
        <sz val="10"/>
        <color rgb="FF949494"/>
        <rFont val="Lucida Console"/>
        <family val="3"/>
      </rPr>
      <t>&lt;int&gt;</t>
    </r>
    <r>
      <rPr>
        <sz val="10"/>
        <color rgb="FF000000"/>
        <rFont val="Lucida Console"/>
        <family val="3"/>
      </rPr>
      <t xml:space="preserve">     </t>
    </r>
    <r>
      <rPr>
        <i/>
        <sz val="10"/>
        <color rgb="FF949494"/>
        <rFont val="Lucida Console"/>
        <family val="3"/>
      </rPr>
      <t>&lt;dbl&gt;</t>
    </r>
    <r>
      <rPr>
        <sz val="10"/>
        <color rgb="FF000000"/>
        <rFont val="Lucida Console"/>
        <family val="3"/>
      </rPr>
      <t xml:space="preserve">    </t>
    </r>
    <r>
      <rPr>
        <i/>
        <sz val="10"/>
        <color rgb="FF949494"/>
        <rFont val="Lucida Console"/>
        <family val="3"/>
      </rPr>
      <t>&lt;dbl&gt;</t>
    </r>
    <r>
      <rPr>
        <sz val="10"/>
        <color rgb="FF000000"/>
        <rFont val="Lucida Console"/>
        <family val="3"/>
      </rPr>
      <t xml:space="preserve">    </t>
    </r>
    <r>
      <rPr>
        <i/>
        <sz val="10"/>
        <color rgb="FF949494"/>
        <rFont val="Lucida Console"/>
        <family val="3"/>
      </rPr>
      <t>&lt;dbl&gt;</t>
    </r>
    <r>
      <rPr>
        <sz val="10"/>
        <color rgb="FF000000"/>
        <rFont val="Lucida Console"/>
        <family val="3"/>
      </rPr>
      <t xml:space="preserve"> </t>
    </r>
    <r>
      <rPr>
        <i/>
        <sz val="10"/>
        <color rgb="FF949494"/>
        <rFont val="Lucida Console"/>
        <family val="3"/>
      </rPr>
      <t>&lt;chr&gt;</t>
    </r>
    <r>
      <rPr>
        <sz val="10"/>
        <color rgb="FF000000"/>
        <rFont val="Lucida Console"/>
        <family val="3"/>
      </rPr>
      <t xml:space="preserve">       </t>
    </r>
  </si>
  <si>
    <r>
      <t>1</t>
    </r>
    <r>
      <rPr>
        <sz val="10"/>
        <color rgb="FF000000"/>
        <rFont val="Lucida Console"/>
        <family val="3"/>
      </rPr>
      <t xml:space="preserve"> SOC   0-15   15-30     48    45     -</t>
    </r>
    <r>
      <rPr>
        <sz val="10"/>
        <color rgb="FFCC0000"/>
        <rFont val="Lucida Console"/>
        <family val="3"/>
      </rPr>
      <t>8.26</t>
    </r>
    <r>
      <rPr>
        <sz val="10"/>
        <color rgb="FF000000"/>
        <rFont val="Lucida Console"/>
        <family val="3"/>
      </rPr>
      <t xml:space="preserve"> 1.48</t>
    </r>
    <r>
      <rPr>
        <sz val="10"/>
        <color rgb="FF949494"/>
        <rFont val="Lucida Console"/>
        <family val="3"/>
      </rPr>
      <t>e</t>
    </r>
    <r>
      <rPr>
        <sz val="10"/>
        <color rgb="FFCC0000"/>
        <rFont val="Lucida Console"/>
        <family val="3"/>
      </rPr>
      <t>-16</t>
    </r>
    <r>
      <rPr>
        <sz val="10"/>
        <color rgb="FF000000"/>
        <rFont val="Lucida Console"/>
        <family val="3"/>
      </rPr>
      <t xml:space="preserve"> 1.48</t>
    </r>
    <r>
      <rPr>
        <sz val="10"/>
        <color rgb="FF949494"/>
        <rFont val="Lucida Console"/>
        <family val="3"/>
      </rPr>
      <t>e</t>
    </r>
    <r>
      <rPr>
        <sz val="10"/>
        <color rgb="FFCC0000"/>
        <rFont val="Lucida Console"/>
        <family val="3"/>
      </rPr>
      <t>-16</t>
    </r>
    <r>
      <rPr>
        <sz val="10"/>
        <color rgb="FF000000"/>
        <rFont val="Lucida Console"/>
        <family val="3"/>
      </rPr>
      <t xml:space="preserve"> ****        </t>
    </r>
  </si>
  <si>
    <t>kw_res &lt;- kruskal_test(agricarbon_normality, fine_BD ~ soil_depth)</t>
  </si>
  <si>
    <t xml:space="preserve">  .y.         n statistic    df          p method        </t>
  </si>
  <si>
    <r>
      <t>*</t>
    </r>
    <r>
      <rPr>
        <sz val="10"/>
        <color rgb="FF000000"/>
        <rFont val="Lucida Console"/>
        <family val="3"/>
      </rPr>
      <t xml:space="preserve"> </t>
    </r>
    <r>
      <rPr>
        <i/>
        <sz val="10"/>
        <color rgb="FF949494"/>
        <rFont val="Lucida Console"/>
        <family val="3"/>
      </rPr>
      <t>&lt;chr&gt;</t>
    </r>
    <r>
      <rPr>
        <sz val="10"/>
        <color rgb="FF000000"/>
        <rFont val="Lucida Console"/>
        <family val="3"/>
      </rPr>
      <t xml:space="preserve">   </t>
    </r>
    <r>
      <rPr>
        <i/>
        <sz val="10"/>
        <color rgb="FF949494"/>
        <rFont val="Lucida Console"/>
        <family val="3"/>
      </rPr>
      <t>&lt;int&gt;</t>
    </r>
    <r>
      <rPr>
        <sz val="10"/>
        <color rgb="FF000000"/>
        <rFont val="Lucida Console"/>
        <family val="3"/>
      </rPr>
      <t xml:space="preserve">     </t>
    </r>
    <r>
      <rPr>
        <i/>
        <sz val="10"/>
        <color rgb="FF949494"/>
        <rFont val="Lucida Console"/>
        <family val="3"/>
      </rPr>
      <t>&lt;dbl&gt;</t>
    </r>
    <r>
      <rPr>
        <sz val="10"/>
        <color rgb="FF000000"/>
        <rFont val="Lucida Console"/>
        <family val="3"/>
      </rPr>
      <t xml:space="preserve"> </t>
    </r>
    <r>
      <rPr>
        <i/>
        <sz val="10"/>
        <color rgb="FF949494"/>
        <rFont val="Lucida Console"/>
        <family val="3"/>
      </rPr>
      <t>&lt;int&gt;</t>
    </r>
    <r>
      <rPr>
        <sz val="10"/>
        <color rgb="FF000000"/>
        <rFont val="Lucida Console"/>
        <family val="3"/>
      </rPr>
      <t xml:space="preserve">      </t>
    </r>
    <r>
      <rPr>
        <i/>
        <sz val="10"/>
        <color rgb="FF949494"/>
        <rFont val="Lucida Console"/>
        <family val="3"/>
      </rPr>
      <t>&lt;dbl&gt;</t>
    </r>
    <r>
      <rPr>
        <sz val="10"/>
        <color rgb="FF000000"/>
        <rFont val="Lucida Console"/>
        <family val="3"/>
      </rPr>
      <t xml:space="preserve"> </t>
    </r>
    <r>
      <rPr>
        <i/>
        <sz val="10"/>
        <color rgb="FF949494"/>
        <rFont val="Lucida Console"/>
        <family val="3"/>
      </rPr>
      <t>&lt;chr&gt;</t>
    </r>
    <r>
      <rPr>
        <sz val="10"/>
        <color rgb="FF000000"/>
        <rFont val="Lucida Console"/>
        <family val="3"/>
      </rPr>
      <t xml:space="preserve">         </t>
    </r>
  </si>
  <si>
    <r>
      <t>1</t>
    </r>
    <r>
      <rPr>
        <sz val="10"/>
        <color rgb="FF000000"/>
        <rFont val="Lucida Console"/>
        <family val="3"/>
      </rPr>
      <t xml:space="preserve"> fine_BD    93      20.3     1 0.000</t>
    </r>
    <r>
      <rPr>
        <u/>
        <sz val="10"/>
        <color rgb="FF000000"/>
        <rFont val="Lucida Console"/>
        <family val="3"/>
      </rPr>
      <t>006</t>
    </r>
    <r>
      <rPr>
        <sz val="10"/>
        <color rgb="FF000000"/>
        <rFont val="Lucida Console"/>
        <family val="3"/>
      </rPr>
      <t>69 Kruskal-Wallis</t>
    </r>
  </si>
  <si>
    <t>&gt; dunn_res &lt;- dunn_test(agricarbon_normality, fine_BD ~ soil_depth, p.adjust.method = "bonferroni")</t>
  </si>
  <si>
    <t xml:space="preserve">  .y.     group1 group2    n1    n2 statistic          p      p.adj p.adj.signif</t>
  </si>
  <si>
    <r>
      <t>*</t>
    </r>
    <r>
      <rPr>
        <sz val="10"/>
        <color rgb="FF000000"/>
        <rFont val="Lucida Console"/>
        <family val="3"/>
      </rPr>
      <t xml:space="preserve"> </t>
    </r>
    <r>
      <rPr>
        <i/>
        <sz val="10"/>
        <color rgb="FF949494"/>
        <rFont val="Lucida Console"/>
        <family val="3"/>
      </rPr>
      <t>&lt;chr&gt;</t>
    </r>
    <r>
      <rPr>
        <sz val="10"/>
        <color rgb="FF000000"/>
        <rFont val="Lucida Console"/>
        <family val="3"/>
      </rPr>
      <t xml:space="preserve">   </t>
    </r>
    <r>
      <rPr>
        <i/>
        <sz val="10"/>
        <color rgb="FF949494"/>
        <rFont val="Lucida Console"/>
        <family val="3"/>
      </rPr>
      <t>&lt;chr&gt;</t>
    </r>
    <r>
      <rPr>
        <sz val="10"/>
        <color rgb="FF000000"/>
        <rFont val="Lucida Console"/>
        <family val="3"/>
      </rPr>
      <t xml:space="preserve">  </t>
    </r>
    <r>
      <rPr>
        <i/>
        <sz val="10"/>
        <color rgb="FF949494"/>
        <rFont val="Lucida Console"/>
        <family val="3"/>
      </rPr>
      <t>&lt;chr&gt;</t>
    </r>
    <r>
      <rPr>
        <sz val="10"/>
        <color rgb="FF000000"/>
        <rFont val="Lucida Console"/>
        <family val="3"/>
      </rPr>
      <t xml:space="preserve">  </t>
    </r>
    <r>
      <rPr>
        <i/>
        <sz val="10"/>
        <color rgb="FF949494"/>
        <rFont val="Lucida Console"/>
        <family val="3"/>
      </rPr>
      <t>&lt;int&gt;</t>
    </r>
    <r>
      <rPr>
        <sz val="10"/>
        <color rgb="FF000000"/>
        <rFont val="Lucida Console"/>
        <family val="3"/>
      </rPr>
      <t xml:space="preserve"> </t>
    </r>
    <r>
      <rPr>
        <i/>
        <sz val="10"/>
        <color rgb="FF949494"/>
        <rFont val="Lucida Console"/>
        <family val="3"/>
      </rPr>
      <t>&lt;int&gt;</t>
    </r>
    <r>
      <rPr>
        <sz val="10"/>
        <color rgb="FF000000"/>
        <rFont val="Lucida Console"/>
        <family val="3"/>
      </rPr>
      <t xml:space="preserve">     </t>
    </r>
    <r>
      <rPr>
        <i/>
        <sz val="10"/>
        <color rgb="FF949494"/>
        <rFont val="Lucida Console"/>
        <family val="3"/>
      </rPr>
      <t>&lt;dbl&gt;</t>
    </r>
    <r>
      <rPr>
        <sz val="10"/>
        <color rgb="FF000000"/>
        <rFont val="Lucida Console"/>
        <family val="3"/>
      </rPr>
      <t xml:space="preserve">      </t>
    </r>
    <r>
      <rPr>
        <i/>
        <sz val="10"/>
        <color rgb="FF949494"/>
        <rFont val="Lucida Console"/>
        <family val="3"/>
      </rPr>
      <t>&lt;dbl&gt;</t>
    </r>
    <r>
      <rPr>
        <sz val="10"/>
        <color rgb="FF000000"/>
        <rFont val="Lucida Console"/>
        <family val="3"/>
      </rPr>
      <t xml:space="preserve">      </t>
    </r>
    <r>
      <rPr>
        <i/>
        <sz val="10"/>
        <color rgb="FF949494"/>
        <rFont val="Lucida Console"/>
        <family val="3"/>
      </rPr>
      <t>&lt;dbl&gt;</t>
    </r>
    <r>
      <rPr>
        <sz val="10"/>
        <color rgb="FF000000"/>
        <rFont val="Lucida Console"/>
        <family val="3"/>
      </rPr>
      <t xml:space="preserve"> </t>
    </r>
    <r>
      <rPr>
        <i/>
        <sz val="10"/>
        <color rgb="FF949494"/>
        <rFont val="Lucida Console"/>
        <family val="3"/>
      </rPr>
      <t>&lt;chr&gt;</t>
    </r>
    <r>
      <rPr>
        <sz val="10"/>
        <color rgb="FF000000"/>
        <rFont val="Lucida Console"/>
        <family val="3"/>
      </rPr>
      <t xml:space="preserve">       </t>
    </r>
  </si>
  <si>
    <r>
      <t>1</t>
    </r>
    <r>
      <rPr>
        <sz val="10"/>
        <color rgb="FF000000"/>
        <rFont val="Lucida Console"/>
        <family val="3"/>
      </rPr>
      <t xml:space="preserve"> fine_BD 0-15   15-30     48    45      4.50 0.000</t>
    </r>
    <r>
      <rPr>
        <u/>
        <sz val="10"/>
        <color rgb="FF000000"/>
        <rFont val="Lucida Console"/>
        <family val="3"/>
      </rPr>
      <t>006</t>
    </r>
    <r>
      <rPr>
        <sz val="10"/>
        <color rgb="FF000000"/>
        <rFont val="Lucida Console"/>
        <family val="3"/>
      </rPr>
      <t>69 0.000</t>
    </r>
    <r>
      <rPr>
        <u/>
        <sz val="10"/>
        <color rgb="FF000000"/>
        <rFont val="Lucida Console"/>
        <family val="3"/>
      </rPr>
      <t>006</t>
    </r>
    <r>
      <rPr>
        <sz val="10"/>
        <color rgb="FF000000"/>
        <rFont val="Lucida Console"/>
        <family val="3"/>
      </rPr>
      <t xml:space="preserve">69 ****        </t>
    </r>
  </si>
  <si>
    <t>kw_res &lt;- kruskal_test(agricarbon_normality, SOC_stock ~ soil_depth)</t>
  </si>
  <si>
    <r>
      <t>1</t>
    </r>
    <r>
      <rPr>
        <sz val="12"/>
        <color rgb="FF000000"/>
        <rFont val="Lucida Console"/>
        <family val="3"/>
      </rPr>
      <t xml:space="preserve"> SOC_stock    93      59.0     1 1.59</t>
    </r>
    <r>
      <rPr>
        <sz val="12"/>
        <color rgb="FF949494"/>
        <rFont val="Lucida Console"/>
        <family val="3"/>
      </rPr>
      <t>e</t>
    </r>
    <r>
      <rPr>
        <sz val="12"/>
        <color rgb="FFCC0000"/>
        <rFont val="Lucida Console"/>
        <family val="3"/>
      </rPr>
      <t>-14</t>
    </r>
    <r>
      <rPr>
        <sz val="12"/>
        <color rgb="FF000000"/>
        <rFont val="Lucida Console"/>
        <family val="3"/>
      </rPr>
      <t xml:space="preserve"> Kruskal-Wallis</t>
    </r>
  </si>
  <si>
    <t>&gt; dunn_res &lt;- dunn_test(agricarbon_normality, SOC_stock ~ soil_depth, p.adjust.method = "bonferroni")</t>
  </si>
  <si>
    <r>
      <t>1</t>
    </r>
    <r>
      <rPr>
        <sz val="12"/>
        <color rgb="FF000000"/>
        <rFont val="Lucida Console"/>
        <family val="3"/>
      </rPr>
      <t xml:space="preserve"> SOC_stock 0_15   15_30     48    45     -</t>
    </r>
    <r>
      <rPr>
        <sz val="12"/>
        <color rgb="FFCC0000"/>
        <rFont val="Lucida Console"/>
        <family val="3"/>
      </rPr>
      <t>7.68</t>
    </r>
    <r>
      <rPr>
        <sz val="12"/>
        <color rgb="FF000000"/>
        <rFont val="Lucida Console"/>
        <family val="3"/>
      </rPr>
      <t xml:space="preserve"> 1.59</t>
    </r>
    <r>
      <rPr>
        <sz val="12"/>
        <color rgb="FF949494"/>
        <rFont val="Lucida Console"/>
        <family val="3"/>
      </rPr>
      <t>e</t>
    </r>
    <r>
      <rPr>
        <sz val="12"/>
        <color rgb="FFCC0000"/>
        <rFont val="Lucida Console"/>
        <family val="3"/>
      </rPr>
      <t>-14</t>
    </r>
    <r>
      <rPr>
        <sz val="12"/>
        <color rgb="FF000000"/>
        <rFont val="Lucida Console"/>
        <family val="3"/>
      </rPr>
      <t xml:space="preserve"> 1.59</t>
    </r>
    <r>
      <rPr>
        <sz val="12"/>
        <color rgb="FF949494"/>
        <rFont val="Lucida Console"/>
        <family val="3"/>
      </rPr>
      <t>e</t>
    </r>
    <r>
      <rPr>
        <sz val="12"/>
        <color rgb="FFCC0000"/>
        <rFont val="Lucida Console"/>
        <family val="3"/>
      </rPr>
      <t>-14</t>
    </r>
    <r>
      <rPr>
        <sz val="12"/>
        <color rgb="FF000000"/>
        <rFont val="Lucida Console"/>
        <family val="3"/>
      </rPr>
      <t xml:space="preserve"> ****   </t>
    </r>
  </si>
  <si>
    <r>
      <t>1</t>
    </r>
    <r>
      <rPr>
        <sz val="12"/>
        <color rgb="FF000000"/>
        <rFont val="Lucida Console"/>
        <family val="3"/>
      </rPr>
      <t xml:space="preserve"> SOC_stock     3         2     2 0.368 Kruskal-Wallis</t>
    </r>
  </si>
  <si>
    <t>data:</t>
  </si>
  <si>
    <t>Kruskal-Wallis rank sum test (area based SOC)</t>
  </si>
  <si>
    <t>data:  SOC_stock by field</t>
  </si>
  <si>
    <t>Kruskal-Wallis chi-squared = 3, df = 3, p-value = 0.3916</t>
  </si>
  <si>
    <t>silvoarable</t>
  </si>
  <si>
    <t>Kruskal-Wallis chi-squared = 1, df = 1, p-value = 0.3173</t>
  </si>
  <si>
    <t>Kruskal-Wallis chi-squared = 2, df = 2, p-value = 0.3679</t>
  </si>
  <si>
    <t xml:space="preserve">SOC_stock </t>
  </si>
  <si>
    <t>core</t>
  </si>
  <si>
    <t>ref_mass</t>
  </si>
  <si>
    <t>soc_stock_esm_Mg_ha</t>
  </si>
  <si>
    <t>approx_thickness_cm</t>
  </si>
  <si>
    <t>AL</t>
  </si>
  <si>
    <t>AL1</t>
  </si>
  <si>
    <t>AL2</t>
  </si>
  <si>
    <t>AL3</t>
  </si>
  <si>
    <t>AL4</t>
  </si>
  <si>
    <t>AL5</t>
  </si>
  <si>
    <t>AL6</t>
  </si>
  <si>
    <t>AL7</t>
  </si>
  <si>
    <t>AL8</t>
  </si>
  <si>
    <t>AL9</t>
  </si>
  <si>
    <t>AL10</t>
  </si>
  <si>
    <t>AL11</t>
  </si>
  <si>
    <t>AL12</t>
  </si>
  <si>
    <t>AL13</t>
  </si>
  <si>
    <t>AL14</t>
  </si>
  <si>
    <t>AL15</t>
  </si>
  <si>
    <t>AL16</t>
  </si>
  <si>
    <t>AL17</t>
  </si>
  <si>
    <t>AL18</t>
  </si>
  <si>
    <t>AL19</t>
  </si>
  <si>
    <t>AL20</t>
  </si>
  <si>
    <t>AL21</t>
  </si>
  <si>
    <t>AL22</t>
  </si>
  <si>
    <t>AL23</t>
  </si>
  <si>
    <t>AL24</t>
  </si>
  <si>
    <t>FI</t>
  </si>
  <si>
    <t>FI1</t>
  </si>
  <si>
    <t>FI2</t>
  </si>
  <si>
    <t>FI3</t>
  </si>
  <si>
    <t>FI4</t>
  </si>
  <si>
    <t>FI5</t>
  </si>
  <si>
    <t>FI6</t>
  </si>
  <si>
    <t>FI7</t>
  </si>
  <si>
    <t>FI9</t>
  </si>
  <si>
    <t>FI10</t>
  </si>
  <si>
    <t>FI11</t>
  </si>
  <si>
    <t>FI12</t>
  </si>
  <si>
    <t>FI13</t>
  </si>
  <si>
    <t>FI14</t>
  </si>
  <si>
    <t>FI15</t>
  </si>
  <si>
    <t>FI16</t>
  </si>
  <si>
    <t>FI17</t>
  </si>
  <si>
    <t>FI18</t>
  </si>
  <si>
    <t>FI19</t>
  </si>
  <si>
    <t>FI20</t>
  </si>
  <si>
    <t>FI21</t>
  </si>
  <si>
    <t>FI22</t>
  </si>
  <si>
    <t>FI23</t>
  </si>
  <si>
    <t>FI24</t>
  </si>
  <si>
    <t>FI25</t>
  </si>
  <si>
    <t>FI26</t>
  </si>
  <si>
    <t>FI27</t>
  </si>
  <si>
    <t>FI28</t>
  </si>
  <si>
    <t>FI29</t>
  </si>
  <si>
    <t>FI30</t>
  </si>
  <si>
    <t>FI31</t>
  </si>
  <si>
    <t>FI32</t>
  </si>
  <si>
    <t>FI33</t>
  </si>
  <si>
    <t>FI34</t>
  </si>
  <si>
    <t>FI35</t>
  </si>
  <si>
    <t>FI36</t>
  </si>
  <si>
    <t>FI37</t>
  </si>
  <si>
    <t>FI38</t>
  </si>
  <si>
    <t>FI39</t>
  </si>
  <si>
    <t>FI40</t>
  </si>
  <si>
    <t>FI41</t>
  </si>
  <si>
    <t>FI42</t>
  </si>
  <si>
    <t>FI43</t>
  </si>
  <si>
    <t>FI44</t>
  </si>
  <si>
    <t>FI45</t>
  </si>
  <si>
    <t>FI46</t>
  </si>
  <si>
    <t>FI47</t>
  </si>
  <si>
    <t>FI48</t>
  </si>
  <si>
    <t>TR</t>
  </si>
  <si>
    <t>TR1</t>
  </si>
  <si>
    <t>TR2</t>
  </si>
  <si>
    <t>TR3</t>
  </si>
  <si>
    <t>TR4</t>
  </si>
  <si>
    <t>TR5</t>
  </si>
  <si>
    <t>TR6</t>
  </si>
  <si>
    <t>TR7</t>
  </si>
  <si>
    <t>TR8</t>
  </si>
  <si>
    <t>TR9</t>
  </si>
  <si>
    <t>TR10</t>
  </si>
  <si>
    <t>TR11</t>
  </si>
  <si>
    <t>TR13</t>
  </si>
  <si>
    <t>TR14</t>
  </si>
  <si>
    <t>TR15</t>
  </si>
  <si>
    <t>TR16</t>
  </si>
  <si>
    <t>TR17</t>
  </si>
  <si>
    <t>TR18</t>
  </si>
  <si>
    <t>TR19</t>
  </si>
  <si>
    <t>TR20</t>
  </si>
  <si>
    <t>TR21</t>
  </si>
  <si>
    <t>TR22</t>
  </si>
  <si>
    <t>TR23</t>
  </si>
  <si>
    <t>TR24</t>
  </si>
  <si>
    <t>fine_bd_gcm3</t>
  </si>
  <si>
    <t>SOC_perc</t>
  </si>
  <si>
    <t>depth_interval_cm</t>
  </si>
  <si>
    <t>treatment</t>
  </si>
  <si>
    <t>2_alley</t>
  </si>
  <si>
    <t>1_tree</t>
  </si>
  <si>
    <t>3_arable</t>
  </si>
  <si>
    <t>potential_samplingID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</si>
</sst>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949494"/>
      <name val="Lucida Console"/>
      <family val="3"/>
    </font>
    <font>
      <sz val="10"/>
      <color rgb="FF000000"/>
      <name val="Lucida Console"/>
      <family val="3"/>
    </font>
    <font>
      <sz val="10"/>
      <color rgb="FFBCBCBC"/>
      <name val="Lucida Console"/>
      <family val="3"/>
    </font>
    <font>
      <i/>
      <sz val="10"/>
      <color rgb="FF949494"/>
      <name val="Lucida Console"/>
      <family val="3"/>
    </font>
    <font>
      <sz val="12"/>
      <color rgb="FF949494"/>
      <name val="Lucida Console"/>
      <family val="3"/>
    </font>
    <font>
      <sz val="12"/>
      <color theme="1"/>
      <name val="Aptos Narrow"/>
      <family val="2"/>
      <scheme val="minor"/>
    </font>
    <font>
      <sz val="12"/>
      <color rgb="FF000000"/>
      <name val="Lucida Console"/>
      <family val="3"/>
    </font>
    <font>
      <sz val="12"/>
      <color rgb="FFBCBCBC"/>
      <name val="Lucida Console"/>
      <family val="3"/>
    </font>
    <font>
      <i/>
      <sz val="12"/>
      <color rgb="FF949494"/>
      <name val="Lucida Console"/>
      <family val="3"/>
    </font>
    <font>
      <u/>
      <sz val="12"/>
      <color rgb="FF000000"/>
      <name val="Lucida Console"/>
      <family val="3"/>
    </font>
    <font>
      <sz val="12"/>
      <color rgb="FFCC0000"/>
      <name val="Lucida Console"/>
      <family val="3"/>
    </font>
    <font>
      <sz val="10"/>
      <color rgb="FF0000FF"/>
      <name val="Lucida Console"/>
      <family val="3"/>
    </font>
    <font>
      <sz val="10"/>
      <color rgb="FFCC0000"/>
      <name val="Lucida Console"/>
      <family val="3"/>
    </font>
    <font>
      <u/>
      <sz val="10"/>
      <color rgb="FF000000"/>
      <name val="Lucida Console"/>
      <family val="3"/>
    </font>
    <font>
      <sz val="12"/>
      <color rgb="FF0000FF"/>
      <name val="Lucida Console"/>
      <family val="3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top" wrapText="1"/>
    </xf>
    <xf numFmtId="0" fontId="6" fillId="0" borderId="0" xfId="0" applyFont="1" applyAlignment="1">
      <alignment vertical="center"/>
    </xf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2" borderId="0" xfId="0" applyFont="1" applyFill="1" applyAlignment="1">
      <alignment vertical="center"/>
    </xf>
    <xf numFmtId="0" fontId="13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 wrapText="1"/>
    </xf>
    <xf numFmtId="0" fontId="16" fillId="0" borderId="0" xfId="0" applyFont="1" applyAlignment="1">
      <alignment vertical="center"/>
    </xf>
    <xf numFmtId="0" fontId="16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19" fillId="0" borderId="0" xfId="0" applyFont="1" applyAlignment="1">
      <alignment horizontal="right" vertical="center"/>
    </xf>
    <xf numFmtId="0" fontId="19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2" fontId="18" fillId="0" borderId="0" xfId="0" applyNumberFormat="1" applyFont="1" applyAlignment="1">
      <alignment horizontal="right" vertical="center"/>
    </xf>
    <xf numFmtId="0" fontId="1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345AD-5A7D-4E4F-9CDE-D4226A598AF3}">
  <dimension ref="A1:E189"/>
  <sheetViews>
    <sheetView tabSelected="1" topLeftCell="A76" workbookViewId="0">
      <selection activeCell="B84" sqref="B83:B84"/>
    </sheetView>
  </sheetViews>
  <sheetFormatPr defaultRowHeight="14.4" x14ac:dyDescent="0.3"/>
  <cols>
    <col min="1" max="1" width="25.44140625" style="26" customWidth="1"/>
    <col min="2" max="3" width="8.88671875" style="26"/>
    <col min="4" max="4" width="35" style="26" customWidth="1"/>
    <col min="5" max="5" width="18.44140625" style="26" customWidth="1"/>
    <col min="6" max="16384" width="8.88671875" style="26"/>
  </cols>
  <sheetData>
    <row r="1" spans="1:5" x14ac:dyDescent="0.3">
      <c r="A1" s="26" t="s">
        <v>481</v>
      </c>
      <c r="B1" s="26" t="s">
        <v>480</v>
      </c>
      <c r="C1" s="26" t="s">
        <v>485</v>
      </c>
      <c r="D1" s="26" t="s">
        <v>478</v>
      </c>
      <c r="E1" s="26" t="s">
        <v>479</v>
      </c>
    </row>
    <row r="2" spans="1:5" x14ac:dyDescent="0.3">
      <c r="A2" s="26" t="s">
        <v>482</v>
      </c>
      <c r="B2" s="26" t="s">
        <v>7</v>
      </c>
      <c r="C2" s="26">
        <v>1</v>
      </c>
      <c r="D2" s="26">
        <v>1.1599999999999999</v>
      </c>
      <c r="E2" s="26">
        <v>2.62</v>
      </c>
    </row>
    <row r="3" spans="1:5" x14ac:dyDescent="0.3">
      <c r="A3" s="26" t="s">
        <v>482</v>
      </c>
      <c r="B3" s="26" t="s">
        <v>8</v>
      </c>
      <c r="C3" s="26">
        <v>1</v>
      </c>
      <c r="D3" s="26">
        <v>1.26</v>
      </c>
      <c r="E3" s="26">
        <v>1.55</v>
      </c>
    </row>
    <row r="4" spans="1:5" x14ac:dyDescent="0.3">
      <c r="A4" s="26" t="s">
        <v>482</v>
      </c>
      <c r="B4" s="26" t="s">
        <v>7</v>
      </c>
      <c r="C4" s="26">
        <v>2</v>
      </c>
      <c r="D4" s="26">
        <v>1.1599999999999999</v>
      </c>
      <c r="E4" s="26">
        <v>2.44</v>
      </c>
    </row>
    <row r="5" spans="1:5" x14ac:dyDescent="0.3">
      <c r="A5" s="26" t="s">
        <v>482</v>
      </c>
      <c r="B5" s="26" t="s">
        <v>8</v>
      </c>
      <c r="C5" s="26">
        <v>2</v>
      </c>
      <c r="D5" s="26">
        <v>1.37</v>
      </c>
      <c r="E5" s="26">
        <v>1.43</v>
      </c>
    </row>
    <row r="6" spans="1:5" x14ac:dyDescent="0.3">
      <c r="A6" s="26" t="s">
        <v>482</v>
      </c>
      <c r="B6" s="26" t="s">
        <v>7</v>
      </c>
      <c r="C6" s="26">
        <v>3</v>
      </c>
      <c r="D6" s="26">
        <v>1.1499999999999999</v>
      </c>
      <c r="E6" s="26">
        <v>2.35</v>
      </c>
    </row>
    <row r="7" spans="1:5" x14ac:dyDescent="0.3">
      <c r="A7" s="26" t="s">
        <v>482</v>
      </c>
      <c r="B7" s="26" t="s">
        <v>8</v>
      </c>
      <c r="C7" s="26">
        <v>3</v>
      </c>
      <c r="D7" s="26">
        <v>1.43</v>
      </c>
      <c r="E7" s="26">
        <v>1.6</v>
      </c>
    </row>
    <row r="8" spans="1:5" x14ac:dyDescent="0.3">
      <c r="A8" s="26" t="s">
        <v>482</v>
      </c>
      <c r="B8" s="26" t="s">
        <v>7</v>
      </c>
      <c r="C8" s="26">
        <v>4</v>
      </c>
      <c r="D8" s="26">
        <v>0.99</v>
      </c>
      <c r="E8" s="26">
        <v>2.2400000000000002</v>
      </c>
    </row>
    <row r="9" spans="1:5" x14ac:dyDescent="0.3">
      <c r="A9" s="26" t="s">
        <v>482</v>
      </c>
      <c r="B9" s="26" t="s">
        <v>8</v>
      </c>
      <c r="C9" s="26">
        <v>4</v>
      </c>
      <c r="D9" s="26">
        <v>1.26</v>
      </c>
      <c r="E9" s="26">
        <v>1.58</v>
      </c>
    </row>
    <row r="10" spans="1:5" x14ac:dyDescent="0.3">
      <c r="A10" s="26" t="s">
        <v>482</v>
      </c>
      <c r="B10" s="26" t="s">
        <v>7</v>
      </c>
      <c r="C10" s="26">
        <v>5</v>
      </c>
      <c r="D10" s="26">
        <v>1.41</v>
      </c>
      <c r="E10" s="26">
        <v>2.52</v>
      </c>
    </row>
    <row r="11" spans="1:5" x14ac:dyDescent="0.3">
      <c r="A11" s="26" t="s">
        <v>482</v>
      </c>
      <c r="B11" s="26" t="s">
        <v>8</v>
      </c>
      <c r="C11" s="26">
        <v>5</v>
      </c>
      <c r="D11" s="26">
        <v>1.79</v>
      </c>
      <c r="E11" s="26">
        <v>1.07</v>
      </c>
    </row>
    <row r="12" spans="1:5" x14ac:dyDescent="0.3">
      <c r="A12" s="26" t="s">
        <v>482</v>
      </c>
      <c r="B12" s="26" t="s">
        <v>7</v>
      </c>
      <c r="C12" s="26">
        <v>6</v>
      </c>
      <c r="D12" s="26">
        <v>1.1299999999999999</v>
      </c>
      <c r="E12" s="26">
        <v>2.71</v>
      </c>
    </row>
    <row r="13" spans="1:5" x14ac:dyDescent="0.3">
      <c r="A13" s="26" t="s">
        <v>482</v>
      </c>
      <c r="B13" s="26" t="s">
        <v>8</v>
      </c>
      <c r="C13" s="26">
        <v>6</v>
      </c>
      <c r="D13" s="26">
        <v>1.37</v>
      </c>
      <c r="E13" s="26">
        <v>1.6</v>
      </c>
    </row>
    <row r="14" spans="1:5" x14ac:dyDescent="0.3">
      <c r="A14" s="26" t="s">
        <v>482</v>
      </c>
      <c r="B14" s="26" t="s">
        <v>7</v>
      </c>
      <c r="C14" s="26">
        <v>7</v>
      </c>
      <c r="D14" s="26">
        <v>0.88</v>
      </c>
      <c r="E14" s="26">
        <v>2.7</v>
      </c>
    </row>
    <row r="15" spans="1:5" x14ac:dyDescent="0.3">
      <c r="A15" s="26" t="s">
        <v>482</v>
      </c>
      <c r="B15" s="26" t="s">
        <v>8</v>
      </c>
      <c r="C15" s="26">
        <v>7</v>
      </c>
      <c r="D15" s="26">
        <v>0.95</v>
      </c>
      <c r="E15" s="26">
        <v>1.24</v>
      </c>
    </row>
    <row r="16" spans="1:5" x14ac:dyDescent="0.3">
      <c r="A16" s="26" t="s">
        <v>482</v>
      </c>
      <c r="B16" s="26" t="s">
        <v>7</v>
      </c>
      <c r="C16" s="26">
        <v>8</v>
      </c>
      <c r="D16" s="26">
        <v>1.37</v>
      </c>
      <c r="E16" s="26">
        <v>2.09</v>
      </c>
    </row>
    <row r="17" spans="1:5" x14ac:dyDescent="0.3">
      <c r="A17" s="26" t="s">
        <v>482</v>
      </c>
      <c r="B17" s="26" t="s">
        <v>8</v>
      </c>
      <c r="C17" s="26">
        <v>8</v>
      </c>
      <c r="D17" s="26">
        <v>1.36</v>
      </c>
      <c r="E17" s="26">
        <v>1.87</v>
      </c>
    </row>
    <row r="18" spans="1:5" x14ac:dyDescent="0.3">
      <c r="A18" s="26" t="s">
        <v>482</v>
      </c>
      <c r="B18" s="26" t="s">
        <v>7</v>
      </c>
      <c r="C18" s="26">
        <v>9</v>
      </c>
      <c r="D18" s="26">
        <v>0.87</v>
      </c>
      <c r="E18" s="26">
        <v>2.54</v>
      </c>
    </row>
    <row r="19" spans="1:5" x14ac:dyDescent="0.3">
      <c r="A19" s="26" t="s">
        <v>482</v>
      </c>
      <c r="B19" s="26" t="s">
        <v>8</v>
      </c>
      <c r="C19" s="26">
        <v>9</v>
      </c>
      <c r="D19" s="26">
        <v>1.43</v>
      </c>
      <c r="E19" s="26">
        <v>1.5</v>
      </c>
    </row>
    <row r="20" spans="1:5" x14ac:dyDescent="0.3">
      <c r="A20" s="26" t="s">
        <v>482</v>
      </c>
      <c r="B20" s="26" t="s">
        <v>7</v>
      </c>
      <c r="C20" s="26">
        <v>10</v>
      </c>
      <c r="D20" s="26">
        <v>1.31</v>
      </c>
      <c r="E20" s="26">
        <v>2.25</v>
      </c>
    </row>
    <row r="21" spans="1:5" x14ac:dyDescent="0.3">
      <c r="A21" s="26" t="s">
        <v>482</v>
      </c>
      <c r="B21" s="26" t="s">
        <v>8</v>
      </c>
      <c r="C21" s="26">
        <v>10</v>
      </c>
      <c r="D21" s="26">
        <v>1.54</v>
      </c>
      <c r="E21" s="26">
        <v>1.51</v>
      </c>
    </row>
    <row r="22" spans="1:5" x14ac:dyDescent="0.3">
      <c r="A22" s="26" t="s">
        <v>482</v>
      </c>
      <c r="B22" s="26" t="s">
        <v>7</v>
      </c>
      <c r="C22" s="26">
        <v>11</v>
      </c>
      <c r="D22" s="26">
        <v>1.08</v>
      </c>
      <c r="E22" s="26">
        <v>2.79</v>
      </c>
    </row>
    <row r="23" spans="1:5" x14ac:dyDescent="0.3">
      <c r="A23" s="26" t="s">
        <v>482</v>
      </c>
      <c r="B23" s="26" t="s">
        <v>8</v>
      </c>
      <c r="C23" s="26">
        <v>11</v>
      </c>
      <c r="D23" s="26">
        <v>1.0900000000000001</v>
      </c>
      <c r="E23" s="26">
        <v>1.79</v>
      </c>
    </row>
    <row r="24" spans="1:5" x14ac:dyDescent="0.3">
      <c r="A24" s="26" t="s">
        <v>482</v>
      </c>
      <c r="B24" s="26" t="s">
        <v>7</v>
      </c>
      <c r="C24" s="26">
        <v>12</v>
      </c>
      <c r="D24" s="26">
        <v>0.95</v>
      </c>
      <c r="E24" s="26">
        <v>2.87</v>
      </c>
    </row>
    <row r="25" spans="1:5" x14ac:dyDescent="0.3">
      <c r="A25" s="26" t="s">
        <v>482</v>
      </c>
      <c r="B25" s="26" t="s">
        <v>8</v>
      </c>
      <c r="C25" s="26">
        <v>12</v>
      </c>
      <c r="D25" s="26">
        <v>1.1100000000000001</v>
      </c>
      <c r="E25" s="26">
        <v>1.63</v>
      </c>
    </row>
    <row r="26" spans="1:5" x14ac:dyDescent="0.3">
      <c r="A26" s="26" t="s">
        <v>482</v>
      </c>
      <c r="B26" s="26" t="s">
        <v>7</v>
      </c>
      <c r="C26" s="26">
        <v>13</v>
      </c>
      <c r="D26" s="26">
        <v>1.04</v>
      </c>
      <c r="E26" s="26">
        <v>2.72</v>
      </c>
    </row>
    <row r="27" spans="1:5" x14ac:dyDescent="0.3">
      <c r="A27" s="26" t="s">
        <v>482</v>
      </c>
      <c r="B27" s="26" t="s">
        <v>8</v>
      </c>
      <c r="C27" s="26">
        <v>13</v>
      </c>
      <c r="D27" s="26">
        <v>1.48</v>
      </c>
      <c r="E27" s="26">
        <v>1.26</v>
      </c>
    </row>
    <row r="28" spans="1:5" x14ac:dyDescent="0.3">
      <c r="A28" s="26" t="s">
        <v>482</v>
      </c>
      <c r="B28" s="26" t="s">
        <v>7</v>
      </c>
      <c r="C28" s="26">
        <v>14</v>
      </c>
      <c r="D28" s="26">
        <v>1.04</v>
      </c>
      <c r="E28" s="26">
        <v>2.46</v>
      </c>
    </row>
    <row r="29" spans="1:5" x14ac:dyDescent="0.3">
      <c r="A29" s="26" t="s">
        <v>482</v>
      </c>
      <c r="B29" s="26" t="s">
        <v>8</v>
      </c>
      <c r="C29" s="26">
        <v>14</v>
      </c>
      <c r="D29" s="26">
        <v>1.41</v>
      </c>
      <c r="E29" s="26">
        <v>1.55</v>
      </c>
    </row>
    <row r="30" spans="1:5" x14ac:dyDescent="0.3">
      <c r="A30" s="26" t="s">
        <v>482</v>
      </c>
      <c r="B30" s="26" t="s">
        <v>7</v>
      </c>
      <c r="C30" s="26">
        <v>15</v>
      </c>
      <c r="D30" s="26">
        <v>0.92</v>
      </c>
      <c r="E30" s="26">
        <v>2.92</v>
      </c>
    </row>
    <row r="31" spans="1:5" x14ac:dyDescent="0.3">
      <c r="A31" s="26" t="s">
        <v>482</v>
      </c>
      <c r="B31" s="26" t="s">
        <v>8</v>
      </c>
      <c r="C31" s="26">
        <v>15</v>
      </c>
      <c r="D31" s="26">
        <v>1.03</v>
      </c>
      <c r="E31" s="26">
        <v>1.8</v>
      </c>
    </row>
    <row r="32" spans="1:5" x14ac:dyDescent="0.3">
      <c r="A32" s="26" t="s">
        <v>482</v>
      </c>
      <c r="B32" s="26" t="s">
        <v>7</v>
      </c>
      <c r="C32" s="26">
        <v>16</v>
      </c>
      <c r="D32" s="26">
        <v>1.1299999999999999</v>
      </c>
      <c r="E32" s="26">
        <v>2.66</v>
      </c>
    </row>
    <row r="33" spans="1:5" x14ac:dyDescent="0.3">
      <c r="A33" s="26" t="s">
        <v>482</v>
      </c>
      <c r="B33" s="26" t="s">
        <v>8</v>
      </c>
      <c r="C33" s="26">
        <v>16</v>
      </c>
      <c r="D33" s="26">
        <v>1.49</v>
      </c>
      <c r="E33" s="26">
        <v>1.63</v>
      </c>
    </row>
    <row r="34" spans="1:5" x14ac:dyDescent="0.3">
      <c r="A34" s="26" t="s">
        <v>482</v>
      </c>
      <c r="B34" s="26" t="s">
        <v>7</v>
      </c>
      <c r="C34" s="26">
        <v>17</v>
      </c>
      <c r="D34" s="26">
        <v>1.17</v>
      </c>
      <c r="E34" s="26">
        <v>2.5099999999999998</v>
      </c>
    </row>
    <row r="35" spans="1:5" x14ac:dyDescent="0.3">
      <c r="A35" s="26" t="s">
        <v>482</v>
      </c>
      <c r="B35" s="26" t="s">
        <v>8</v>
      </c>
      <c r="C35" s="26">
        <v>17</v>
      </c>
      <c r="D35" s="26">
        <v>1.61</v>
      </c>
      <c r="E35" s="26">
        <v>1.48</v>
      </c>
    </row>
    <row r="36" spans="1:5" x14ac:dyDescent="0.3">
      <c r="A36" s="26" t="s">
        <v>482</v>
      </c>
      <c r="B36" s="26" t="s">
        <v>7</v>
      </c>
      <c r="C36" s="26">
        <v>18</v>
      </c>
      <c r="D36" s="26">
        <v>1.08</v>
      </c>
      <c r="E36" s="26">
        <v>2.8</v>
      </c>
    </row>
    <row r="37" spans="1:5" x14ac:dyDescent="0.3">
      <c r="A37" s="26" t="s">
        <v>482</v>
      </c>
      <c r="B37" s="26" t="s">
        <v>8</v>
      </c>
      <c r="C37" s="26">
        <v>18</v>
      </c>
      <c r="D37" s="26">
        <v>1.39</v>
      </c>
      <c r="E37" s="26">
        <v>1.61</v>
      </c>
    </row>
    <row r="38" spans="1:5" x14ac:dyDescent="0.3">
      <c r="A38" s="26" t="s">
        <v>482</v>
      </c>
      <c r="B38" s="26" t="s">
        <v>7</v>
      </c>
      <c r="C38" s="26">
        <v>19</v>
      </c>
      <c r="D38" s="26">
        <v>1.03</v>
      </c>
      <c r="E38" s="26">
        <v>3.12</v>
      </c>
    </row>
    <row r="39" spans="1:5" x14ac:dyDescent="0.3">
      <c r="A39" s="26" t="s">
        <v>482</v>
      </c>
      <c r="B39" s="26" t="s">
        <v>8</v>
      </c>
      <c r="C39" s="26">
        <v>19</v>
      </c>
      <c r="D39" s="26">
        <v>1.39</v>
      </c>
      <c r="E39" s="26">
        <v>1.42</v>
      </c>
    </row>
    <row r="40" spans="1:5" x14ac:dyDescent="0.3">
      <c r="A40" s="26" t="s">
        <v>482</v>
      </c>
      <c r="B40" s="26" t="s">
        <v>7</v>
      </c>
      <c r="C40" s="26">
        <v>20</v>
      </c>
      <c r="D40" s="26">
        <v>1.39</v>
      </c>
      <c r="E40" s="26">
        <v>2.35</v>
      </c>
    </row>
    <row r="41" spans="1:5" x14ac:dyDescent="0.3">
      <c r="A41" s="26" t="s">
        <v>482</v>
      </c>
      <c r="B41" s="26" t="s">
        <v>8</v>
      </c>
      <c r="C41" s="26">
        <v>20</v>
      </c>
      <c r="D41" s="26">
        <v>1.72</v>
      </c>
      <c r="E41" s="26">
        <v>1.46</v>
      </c>
    </row>
    <row r="42" spans="1:5" x14ac:dyDescent="0.3">
      <c r="A42" s="26" t="s">
        <v>482</v>
      </c>
      <c r="B42" s="26" t="s">
        <v>7</v>
      </c>
      <c r="C42" s="26">
        <v>21</v>
      </c>
      <c r="D42" s="26">
        <v>1.04</v>
      </c>
      <c r="E42" s="26">
        <v>2.64</v>
      </c>
    </row>
    <row r="43" spans="1:5" x14ac:dyDescent="0.3">
      <c r="A43" s="26" t="s">
        <v>482</v>
      </c>
      <c r="B43" s="26" t="s">
        <v>8</v>
      </c>
      <c r="C43" s="26">
        <v>21</v>
      </c>
      <c r="D43" s="26">
        <v>1.1499999999999999</v>
      </c>
      <c r="E43" s="26">
        <v>1.87</v>
      </c>
    </row>
    <row r="44" spans="1:5" x14ac:dyDescent="0.3">
      <c r="A44" s="26" t="s">
        <v>482</v>
      </c>
      <c r="B44" s="26" t="s">
        <v>7</v>
      </c>
      <c r="C44" s="26">
        <v>22</v>
      </c>
      <c r="D44" s="26">
        <v>1.17</v>
      </c>
      <c r="E44" s="26">
        <v>2.98</v>
      </c>
    </row>
    <row r="45" spans="1:5" x14ac:dyDescent="0.3">
      <c r="A45" s="26" t="s">
        <v>482</v>
      </c>
      <c r="B45" s="26" t="s">
        <v>8</v>
      </c>
      <c r="C45" s="26">
        <v>22</v>
      </c>
      <c r="D45" s="26">
        <v>1.36</v>
      </c>
      <c r="E45" s="26">
        <v>1.55</v>
      </c>
    </row>
    <row r="46" spans="1:5" x14ac:dyDescent="0.3">
      <c r="A46" s="26" t="s">
        <v>482</v>
      </c>
      <c r="B46" s="26" t="s">
        <v>7</v>
      </c>
      <c r="C46" s="26">
        <v>23</v>
      </c>
      <c r="D46" s="26">
        <v>1.17</v>
      </c>
      <c r="E46" s="26">
        <v>3.26</v>
      </c>
    </row>
    <row r="47" spans="1:5" x14ac:dyDescent="0.3">
      <c r="A47" s="26" t="s">
        <v>482</v>
      </c>
      <c r="B47" s="26" t="s">
        <v>8</v>
      </c>
      <c r="C47" s="26">
        <v>23</v>
      </c>
      <c r="D47" s="26">
        <v>1.4</v>
      </c>
      <c r="E47" s="26">
        <v>1.77</v>
      </c>
    </row>
    <row r="48" spans="1:5" x14ac:dyDescent="0.3">
      <c r="A48" s="26" t="s">
        <v>482</v>
      </c>
      <c r="B48" s="26" t="s">
        <v>7</v>
      </c>
      <c r="C48" s="26">
        <v>24</v>
      </c>
      <c r="D48" s="26">
        <v>1.07</v>
      </c>
      <c r="E48" s="26">
        <v>3.32</v>
      </c>
    </row>
    <row r="49" spans="1:5" x14ac:dyDescent="0.3">
      <c r="A49" s="26" t="s">
        <v>482</v>
      </c>
      <c r="B49" s="26" t="s">
        <v>8</v>
      </c>
      <c r="C49" s="26">
        <v>24</v>
      </c>
      <c r="D49" s="26">
        <v>1.21</v>
      </c>
      <c r="E49" s="26">
        <v>1.69</v>
      </c>
    </row>
    <row r="50" spans="1:5" x14ac:dyDescent="0.3">
      <c r="A50" s="26" t="s">
        <v>483</v>
      </c>
      <c r="B50" s="26" t="s">
        <v>7</v>
      </c>
      <c r="C50" s="26">
        <v>1</v>
      </c>
      <c r="D50" s="26">
        <v>1.06</v>
      </c>
      <c r="E50" s="26">
        <v>2.96</v>
      </c>
    </row>
    <row r="51" spans="1:5" x14ac:dyDescent="0.3">
      <c r="A51" s="26" t="s">
        <v>483</v>
      </c>
      <c r="B51" s="26" t="s">
        <v>8</v>
      </c>
      <c r="C51" s="26">
        <v>1</v>
      </c>
      <c r="D51" s="26">
        <v>1.43</v>
      </c>
      <c r="E51" s="26">
        <v>1.65</v>
      </c>
    </row>
    <row r="52" spans="1:5" x14ac:dyDescent="0.3">
      <c r="A52" s="26" t="s">
        <v>483</v>
      </c>
      <c r="B52" s="26" t="s">
        <v>7</v>
      </c>
      <c r="C52" s="26">
        <v>2</v>
      </c>
      <c r="D52" s="26">
        <v>1.1599999999999999</v>
      </c>
      <c r="E52" s="26">
        <v>2.6</v>
      </c>
    </row>
    <row r="53" spans="1:5" x14ac:dyDescent="0.3">
      <c r="A53" s="26" t="s">
        <v>483</v>
      </c>
      <c r="B53" s="26" t="s">
        <v>8</v>
      </c>
      <c r="C53" s="26">
        <v>2</v>
      </c>
      <c r="D53" s="26">
        <v>1.22</v>
      </c>
      <c r="E53" s="26">
        <v>1.55</v>
      </c>
    </row>
    <row r="54" spans="1:5" x14ac:dyDescent="0.3">
      <c r="A54" s="26" t="s">
        <v>483</v>
      </c>
      <c r="B54" s="26" t="s">
        <v>7</v>
      </c>
      <c r="C54" s="26">
        <v>3</v>
      </c>
      <c r="D54" s="26">
        <v>1.04</v>
      </c>
      <c r="E54" s="26">
        <v>2.72</v>
      </c>
    </row>
    <row r="55" spans="1:5" x14ac:dyDescent="0.3">
      <c r="A55" s="26" t="s">
        <v>483</v>
      </c>
      <c r="B55" s="26" t="s">
        <v>8</v>
      </c>
      <c r="C55" s="26">
        <v>3</v>
      </c>
      <c r="D55" s="26">
        <v>0.95</v>
      </c>
      <c r="E55" s="26">
        <v>2.04</v>
      </c>
    </row>
    <row r="56" spans="1:5" x14ac:dyDescent="0.3">
      <c r="A56" s="26" t="s">
        <v>483</v>
      </c>
      <c r="B56" s="26" t="s">
        <v>7</v>
      </c>
      <c r="C56" s="26">
        <v>4</v>
      </c>
      <c r="D56" s="26">
        <v>0.64</v>
      </c>
      <c r="E56" s="26">
        <v>3.6</v>
      </c>
    </row>
    <row r="57" spans="1:5" x14ac:dyDescent="0.3">
      <c r="A57" s="26" t="s">
        <v>483</v>
      </c>
      <c r="B57" s="26" t="s">
        <v>8</v>
      </c>
      <c r="C57" s="26">
        <v>4</v>
      </c>
      <c r="D57" s="26">
        <v>0.92</v>
      </c>
      <c r="E57" s="26">
        <v>1.79</v>
      </c>
    </row>
    <row r="58" spans="1:5" x14ac:dyDescent="0.3">
      <c r="A58" s="26" t="s">
        <v>483</v>
      </c>
      <c r="B58" s="26" t="s">
        <v>7</v>
      </c>
      <c r="C58" s="26">
        <v>5</v>
      </c>
      <c r="D58" s="26">
        <v>1.1399999999999999</v>
      </c>
      <c r="E58" s="26">
        <v>2.91</v>
      </c>
    </row>
    <row r="59" spans="1:5" x14ac:dyDescent="0.3">
      <c r="A59" s="26" t="s">
        <v>483</v>
      </c>
      <c r="B59" s="26" t="s">
        <v>8</v>
      </c>
      <c r="C59" s="26">
        <v>5</v>
      </c>
      <c r="D59" s="26">
        <v>1.21</v>
      </c>
      <c r="E59" s="26">
        <v>1.62</v>
      </c>
    </row>
    <row r="60" spans="1:5" x14ac:dyDescent="0.3">
      <c r="A60" s="26" t="s">
        <v>483</v>
      </c>
      <c r="B60" s="26" t="s">
        <v>7</v>
      </c>
      <c r="C60" s="26">
        <v>6</v>
      </c>
      <c r="D60" s="26">
        <v>1.0900000000000001</v>
      </c>
      <c r="E60" s="26">
        <v>2.79</v>
      </c>
    </row>
    <row r="61" spans="1:5" x14ac:dyDescent="0.3">
      <c r="A61" s="26" t="s">
        <v>483</v>
      </c>
      <c r="B61" s="26" t="s">
        <v>8</v>
      </c>
      <c r="C61" s="26">
        <v>6</v>
      </c>
      <c r="D61" s="26">
        <v>1.42</v>
      </c>
      <c r="E61" s="26">
        <v>1.72</v>
      </c>
    </row>
    <row r="62" spans="1:5" x14ac:dyDescent="0.3">
      <c r="A62" s="26" t="s">
        <v>483</v>
      </c>
      <c r="B62" s="26" t="s">
        <v>7</v>
      </c>
      <c r="C62" s="26">
        <v>7</v>
      </c>
      <c r="D62" s="26">
        <v>0.9</v>
      </c>
      <c r="E62" s="26">
        <v>3.32</v>
      </c>
    </row>
    <row r="63" spans="1:5" x14ac:dyDescent="0.3">
      <c r="A63" s="26" t="s">
        <v>483</v>
      </c>
      <c r="B63" s="26" t="s">
        <v>8</v>
      </c>
      <c r="C63" s="26">
        <v>7</v>
      </c>
      <c r="D63" s="26">
        <v>1.17</v>
      </c>
      <c r="E63" s="26">
        <v>1.66</v>
      </c>
    </row>
    <row r="64" spans="1:5" x14ac:dyDescent="0.3">
      <c r="A64" s="26" t="s">
        <v>483</v>
      </c>
      <c r="B64" s="26" t="s">
        <v>7</v>
      </c>
      <c r="C64" s="26">
        <v>8</v>
      </c>
      <c r="D64" s="26">
        <v>1.05</v>
      </c>
      <c r="E64" s="26">
        <v>2.5</v>
      </c>
    </row>
    <row r="65" spans="1:5" x14ac:dyDescent="0.3">
      <c r="A65" s="26" t="s">
        <v>483</v>
      </c>
      <c r="B65" s="26" t="s">
        <v>8</v>
      </c>
      <c r="C65" s="26">
        <v>8</v>
      </c>
      <c r="D65" s="26">
        <v>0.92</v>
      </c>
      <c r="E65" s="26">
        <v>1.66</v>
      </c>
    </row>
    <row r="66" spans="1:5" x14ac:dyDescent="0.3">
      <c r="A66" s="26" t="s">
        <v>483</v>
      </c>
      <c r="B66" s="26" t="s">
        <v>7</v>
      </c>
      <c r="C66" s="26">
        <v>9</v>
      </c>
      <c r="D66" s="26">
        <v>1.34</v>
      </c>
      <c r="E66" s="26">
        <v>2.21</v>
      </c>
    </row>
    <row r="67" spans="1:5" x14ac:dyDescent="0.3">
      <c r="A67" s="26" t="s">
        <v>483</v>
      </c>
      <c r="B67" s="26" t="s">
        <v>8</v>
      </c>
      <c r="C67" s="26">
        <v>9</v>
      </c>
      <c r="D67" s="26">
        <v>1.22</v>
      </c>
      <c r="E67" s="26">
        <v>1.61</v>
      </c>
    </row>
    <row r="68" spans="1:5" x14ac:dyDescent="0.3">
      <c r="A68" s="26" t="s">
        <v>483</v>
      </c>
      <c r="B68" s="26" t="s">
        <v>7</v>
      </c>
      <c r="C68" s="26">
        <v>10</v>
      </c>
      <c r="D68" s="26">
        <v>0.96</v>
      </c>
      <c r="E68" s="26">
        <v>2.5299999999999998</v>
      </c>
    </row>
    <row r="69" spans="1:5" x14ac:dyDescent="0.3">
      <c r="A69" s="26" t="s">
        <v>483</v>
      </c>
      <c r="B69" s="26" t="s">
        <v>8</v>
      </c>
      <c r="C69" s="26">
        <v>10</v>
      </c>
      <c r="D69" s="26">
        <v>1.1599999999999999</v>
      </c>
      <c r="E69" s="26">
        <v>1.43</v>
      </c>
    </row>
    <row r="70" spans="1:5" x14ac:dyDescent="0.3">
      <c r="A70" s="26" t="s">
        <v>483</v>
      </c>
      <c r="B70" s="26" t="s">
        <v>7</v>
      </c>
      <c r="C70" s="26">
        <v>11</v>
      </c>
      <c r="D70" s="26">
        <v>0.95</v>
      </c>
      <c r="E70" s="26">
        <v>3.21</v>
      </c>
    </row>
    <row r="71" spans="1:5" x14ac:dyDescent="0.3">
      <c r="A71" s="26" t="s">
        <v>483</v>
      </c>
      <c r="B71" s="26" t="s">
        <v>8</v>
      </c>
      <c r="C71" s="26">
        <v>11</v>
      </c>
      <c r="D71" s="26">
        <v>0.89</v>
      </c>
      <c r="E71" s="26">
        <v>1.78</v>
      </c>
    </row>
    <row r="72" spans="1:5" x14ac:dyDescent="0.3">
      <c r="A72" s="26" t="s">
        <v>483</v>
      </c>
      <c r="B72" s="26" t="s">
        <v>7</v>
      </c>
      <c r="C72" s="26">
        <v>12</v>
      </c>
      <c r="D72" s="26">
        <v>0.97</v>
      </c>
      <c r="E72" s="26">
        <v>2.69</v>
      </c>
    </row>
    <row r="73" spans="1:5" x14ac:dyDescent="0.3">
      <c r="A73" s="26" t="s">
        <v>483</v>
      </c>
      <c r="B73" s="26" t="s">
        <v>7</v>
      </c>
      <c r="C73" s="26">
        <v>13</v>
      </c>
      <c r="D73" s="26">
        <v>0.9</v>
      </c>
      <c r="E73" s="26">
        <v>2.99</v>
      </c>
    </row>
    <row r="74" spans="1:5" x14ac:dyDescent="0.3">
      <c r="A74" s="26" t="s">
        <v>483</v>
      </c>
      <c r="B74" s="26" t="s">
        <v>8</v>
      </c>
      <c r="C74" s="26">
        <v>13</v>
      </c>
      <c r="D74" s="26">
        <v>1.1599999999999999</v>
      </c>
      <c r="E74" s="26">
        <v>1.32</v>
      </c>
    </row>
    <row r="75" spans="1:5" x14ac:dyDescent="0.3">
      <c r="A75" s="26" t="s">
        <v>483</v>
      </c>
      <c r="B75" s="26" t="s">
        <v>7</v>
      </c>
      <c r="C75" s="26">
        <v>14</v>
      </c>
      <c r="D75" s="26">
        <v>0.95</v>
      </c>
      <c r="E75" s="26">
        <v>2.91</v>
      </c>
    </row>
    <row r="76" spans="1:5" x14ac:dyDescent="0.3">
      <c r="A76" s="26" t="s">
        <v>483</v>
      </c>
      <c r="B76" s="26" t="s">
        <v>8</v>
      </c>
      <c r="C76" s="26">
        <v>14</v>
      </c>
      <c r="D76" s="26">
        <v>1.21</v>
      </c>
      <c r="E76" s="26">
        <v>1.57</v>
      </c>
    </row>
    <row r="77" spans="1:5" x14ac:dyDescent="0.3">
      <c r="A77" s="26" t="s">
        <v>483</v>
      </c>
      <c r="B77" s="26" t="s">
        <v>7</v>
      </c>
      <c r="C77" s="26">
        <v>15</v>
      </c>
      <c r="D77" s="26">
        <v>1.1000000000000001</v>
      </c>
      <c r="E77" s="26">
        <v>2.4900000000000002</v>
      </c>
    </row>
    <row r="78" spans="1:5" x14ac:dyDescent="0.3">
      <c r="A78" s="26" t="s">
        <v>483</v>
      </c>
      <c r="B78" s="26" t="s">
        <v>8</v>
      </c>
      <c r="C78" s="26">
        <v>15</v>
      </c>
      <c r="D78" s="26">
        <v>0.97</v>
      </c>
      <c r="E78" s="26">
        <v>1.79</v>
      </c>
    </row>
    <row r="79" spans="1:5" x14ac:dyDescent="0.3">
      <c r="A79" s="26" t="s">
        <v>483</v>
      </c>
      <c r="B79" s="26" t="s">
        <v>7</v>
      </c>
      <c r="C79" s="26">
        <v>16</v>
      </c>
      <c r="D79" s="26">
        <v>1.31</v>
      </c>
      <c r="E79" s="26">
        <v>2.2200000000000002</v>
      </c>
    </row>
    <row r="80" spans="1:5" x14ac:dyDescent="0.3">
      <c r="A80" s="26" t="s">
        <v>483</v>
      </c>
      <c r="B80" s="26" t="s">
        <v>8</v>
      </c>
      <c r="C80" s="26">
        <v>16</v>
      </c>
      <c r="D80" s="26">
        <v>1.3</v>
      </c>
      <c r="E80" s="26">
        <v>1.6</v>
      </c>
    </row>
    <row r="81" spans="1:5" x14ac:dyDescent="0.3">
      <c r="A81" s="26" t="s">
        <v>483</v>
      </c>
      <c r="B81" s="26" t="s">
        <v>7</v>
      </c>
      <c r="C81" s="26">
        <v>17</v>
      </c>
      <c r="D81" s="26">
        <v>0.79</v>
      </c>
      <c r="E81" s="26">
        <v>3.9</v>
      </c>
    </row>
    <row r="82" spans="1:5" x14ac:dyDescent="0.3">
      <c r="A82" s="26" t="s">
        <v>483</v>
      </c>
      <c r="B82" s="26" t="s">
        <v>8</v>
      </c>
      <c r="C82" s="26">
        <v>17</v>
      </c>
      <c r="D82" s="26">
        <v>1.1100000000000001</v>
      </c>
      <c r="E82" s="26">
        <v>2.35</v>
      </c>
    </row>
    <row r="83" spans="1:5" x14ac:dyDescent="0.3">
      <c r="A83" s="26" t="s">
        <v>483</v>
      </c>
      <c r="B83" s="26" t="s">
        <v>7</v>
      </c>
      <c r="C83" s="26">
        <v>18</v>
      </c>
      <c r="D83" s="26">
        <v>0.95</v>
      </c>
      <c r="E83" s="26">
        <v>2.41</v>
      </c>
    </row>
    <row r="84" spans="1:5" x14ac:dyDescent="0.3">
      <c r="A84" s="26" t="s">
        <v>483</v>
      </c>
      <c r="B84" s="26" t="s">
        <v>8</v>
      </c>
      <c r="C84" s="26">
        <v>18</v>
      </c>
      <c r="D84" s="26">
        <v>1.02</v>
      </c>
      <c r="E84" s="26">
        <v>1.49</v>
      </c>
    </row>
    <row r="85" spans="1:5" x14ac:dyDescent="0.3">
      <c r="A85" s="26" t="s">
        <v>483</v>
      </c>
      <c r="B85" s="26" t="s">
        <v>7</v>
      </c>
      <c r="C85" s="26">
        <v>19</v>
      </c>
      <c r="D85" s="26">
        <v>0.85</v>
      </c>
      <c r="E85" s="26">
        <v>2.75</v>
      </c>
    </row>
    <row r="86" spans="1:5" x14ac:dyDescent="0.3">
      <c r="A86" s="26" t="s">
        <v>483</v>
      </c>
      <c r="B86" s="26" t="s">
        <v>7</v>
      </c>
      <c r="C86" s="26">
        <v>20</v>
      </c>
      <c r="D86" s="26">
        <v>1.08</v>
      </c>
      <c r="E86" s="26">
        <v>3.27</v>
      </c>
    </row>
    <row r="87" spans="1:5" x14ac:dyDescent="0.3">
      <c r="A87" s="26" t="s">
        <v>483</v>
      </c>
      <c r="B87" s="26" t="s">
        <v>8</v>
      </c>
      <c r="C87" s="26">
        <v>20</v>
      </c>
      <c r="D87" s="26">
        <v>1.56</v>
      </c>
      <c r="E87" s="26">
        <v>1.6</v>
      </c>
    </row>
    <row r="88" spans="1:5" x14ac:dyDescent="0.3">
      <c r="A88" s="26" t="s">
        <v>483</v>
      </c>
      <c r="B88" s="26" t="s">
        <v>7</v>
      </c>
      <c r="C88" s="26">
        <v>21</v>
      </c>
      <c r="D88" s="26">
        <v>0.84</v>
      </c>
      <c r="E88" s="26">
        <v>2.87</v>
      </c>
    </row>
    <row r="89" spans="1:5" x14ac:dyDescent="0.3">
      <c r="A89" s="26" t="s">
        <v>483</v>
      </c>
      <c r="B89" s="26" t="s">
        <v>8</v>
      </c>
      <c r="C89" s="26">
        <v>21</v>
      </c>
      <c r="D89" s="26">
        <v>0.87</v>
      </c>
      <c r="E89" s="26">
        <v>1.88</v>
      </c>
    </row>
    <row r="90" spans="1:5" x14ac:dyDescent="0.3">
      <c r="A90" s="26" t="s">
        <v>483</v>
      </c>
      <c r="B90" s="26" t="s">
        <v>7</v>
      </c>
      <c r="C90" s="26">
        <v>22</v>
      </c>
      <c r="D90" s="26">
        <v>0.98</v>
      </c>
      <c r="E90" s="26">
        <v>3</v>
      </c>
    </row>
    <row r="91" spans="1:5" x14ac:dyDescent="0.3">
      <c r="A91" s="26" t="s">
        <v>483</v>
      </c>
      <c r="B91" s="26" t="s">
        <v>8</v>
      </c>
      <c r="C91" s="26">
        <v>22</v>
      </c>
      <c r="D91" s="26">
        <v>1.4</v>
      </c>
      <c r="E91" s="26">
        <v>1.72</v>
      </c>
    </row>
    <row r="92" spans="1:5" x14ac:dyDescent="0.3">
      <c r="A92" s="26" t="s">
        <v>483</v>
      </c>
      <c r="B92" s="26" t="s">
        <v>7</v>
      </c>
      <c r="C92" s="26">
        <v>23</v>
      </c>
      <c r="D92" s="26">
        <v>1.1100000000000001</v>
      </c>
      <c r="E92" s="26">
        <v>2.61</v>
      </c>
    </row>
    <row r="93" spans="1:5" x14ac:dyDescent="0.3">
      <c r="A93" s="26" t="s">
        <v>483</v>
      </c>
      <c r="B93" s="26" t="s">
        <v>8</v>
      </c>
      <c r="C93" s="26">
        <v>23</v>
      </c>
      <c r="D93" s="26">
        <v>1.26</v>
      </c>
      <c r="E93" s="26">
        <v>1.58</v>
      </c>
    </row>
    <row r="94" spans="1:5" x14ac:dyDescent="0.3">
      <c r="A94" s="26" t="s">
        <v>483</v>
      </c>
      <c r="B94" s="26" t="s">
        <v>7</v>
      </c>
      <c r="C94" s="26">
        <v>24</v>
      </c>
      <c r="D94" s="26">
        <v>0.98</v>
      </c>
      <c r="E94" s="26">
        <v>3.23</v>
      </c>
    </row>
    <row r="95" spans="1:5" x14ac:dyDescent="0.3">
      <c r="A95" s="26" t="s">
        <v>483</v>
      </c>
      <c r="B95" s="26" t="s">
        <v>7</v>
      </c>
      <c r="C95" s="26">
        <v>25</v>
      </c>
      <c r="D95" s="26">
        <v>1.19</v>
      </c>
      <c r="E95" s="26">
        <v>1.63</v>
      </c>
    </row>
    <row r="96" spans="1:5" ht="13.8" customHeight="1" x14ac:dyDescent="0.3">
      <c r="A96" s="26" t="s">
        <v>483</v>
      </c>
      <c r="B96" s="26" t="s">
        <v>8</v>
      </c>
      <c r="C96" s="26">
        <v>25</v>
      </c>
      <c r="D96" s="26">
        <v>1.31</v>
      </c>
      <c r="E96" s="26">
        <v>1.56</v>
      </c>
    </row>
    <row r="97" spans="1:5" x14ac:dyDescent="0.3">
      <c r="A97" s="26" t="s">
        <v>484</v>
      </c>
      <c r="B97" s="26" t="s">
        <v>7</v>
      </c>
      <c r="C97" s="26">
        <v>1</v>
      </c>
      <c r="D97" s="26">
        <v>1.21</v>
      </c>
      <c r="E97" s="26">
        <v>1.64</v>
      </c>
    </row>
    <row r="98" spans="1:5" x14ac:dyDescent="0.3">
      <c r="A98" s="26" t="s">
        <v>484</v>
      </c>
      <c r="B98" s="26" t="s">
        <v>8</v>
      </c>
      <c r="C98" s="26">
        <v>1</v>
      </c>
      <c r="D98" s="26">
        <v>1.4</v>
      </c>
      <c r="E98" s="26">
        <v>1.24</v>
      </c>
    </row>
    <row r="99" spans="1:5" x14ac:dyDescent="0.3">
      <c r="A99" s="26" t="s">
        <v>484</v>
      </c>
      <c r="B99" s="26" t="s">
        <v>7</v>
      </c>
      <c r="C99" s="26">
        <v>2</v>
      </c>
      <c r="D99" s="26">
        <v>1.27</v>
      </c>
      <c r="E99" s="26">
        <v>1.54</v>
      </c>
    </row>
    <row r="100" spans="1:5" x14ac:dyDescent="0.3">
      <c r="A100" s="26" t="s">
        <v>484</v>
      </c>
      <c r="B100" s="26" t="s">
        <v>8</v>
      </c>
      <c r="C100" s="26">
        <v>2</v>
      </c>
      <c r="D100" s="26">
        <v>1.19</v>
      </c>
      <c r="E100" s="26">
        <v>1.23</v>
      </c>
    </row>
    <row r="101" spans="1:5" x14ac:dyDescent="0.3">
      <c r="A101" s="26" t="s">
        <v>484</v>
      </c>
      <c r="B101" s="26" t="s">
        <v>7</v>
      </c>
      <c r="C101" s="26">
        <v>3</v>
      </c>
      <c r="D101" s="26">
        <v>1.1299999999999999</v>
      </c>
      <c r="E101" s="26">
        <v>1.79</v>
      </c>
    </row>
    <row r="102" spans="1:5" x14ac:dyDescent="0.3">
      <c r="A102" s="26" t="s">
        <v>484</v>
      </c>
      <c r="B102" s="26" t="s">
        <v>8</v>
      </c>
      <c r="C102" s="26">
        <v>3</v>
      </c>
      <c r="D102" s="26">
        <v>1.1299999999999999</v>
      </c>
      <c r="E102" s="26">
        <v>1.58</v>
      </c>
    </row>
    <row r="103" spans="1:5" x14ac:dyDescent="0.3">
      <c r="A103" s="26" t="s">
        <v>484</v>
      </c>
      <c r="B103" s="26" t="s">
        <v>7</v>
      </c>
      <c r="C103" s="26">
        <v>4</v>
      </c>
      <c r="D103" s="26">
        <v>1.39</v>
      </c>
      <c r="E103" s="26">
        <v>1.79</v>
      </c>
    </row>
    <row r="104" spans="1:5" x14ac:dyDescent="0.3">
      <c r="A104" s="26" t="s">
        <v>484</v>
      </c>
      <c r="B104" s="26" t="s">
        <v>8</v>
      </c>
      <c r="C104" s="26">
        <v>4</v>
      </c>
      <c r="D104" s="26">
        <v>1.31</v>
      </c>
      <c r="E104" s="26">
        <v>1.28</v>
      </c>
    </row>
    <row r="105" spans="1:5" x14ac:dyDescent="0.3">
      <c r="A105" s="26" t="s">
        <v>484</v>
      </c>
      <c r="B105" s="26" t="s">
        <v>7</v>
      </c>
      <c r="C105" s="26">
        <v>5</v>
      </c>
      <c r="D105" s="26">
        <v>1.19</v>
      </c>
      <c r="E105" s="26">
        <v>1.85</v>
      </c>
    </row>
    <row r="106" spans="1:5" x14ac:dyDescent="0.3">
      <c r="A106" s="26" t="s">
        <v>484</v>
      </c>
      <c r="B106" s="26" t="s">
        <v>8</v>
      </c>
      <c r="C106" s="26">
        <v>5</v>
      </c>
      <c r="D106" s="26">
        <v>1.59</v>
      </c>
      <c r="E106" s="26">
        <v>1.52</v>
      </c>
    </row>
    <row r="107" spans="1:5" x14ac:dyDescent="0.3">
      <c r="A107" s="26" t="s">
        <v>484</v>
      </c>
      <c r="B107" s="26" t="s">
        <v>7</v>
      </c>
      <c r="C107" s="26">
        <v>6</v>
      </c>
      <c r="D107" s="26">
        <v>1.23</v>
      </c>
      <c r="E107" s="26">
        <v>1.82</v>
      </c>
    </row>
    <row r="108" spans="1:5" x14ac:dyDescent="0.3">
      <c r="A108" s="26" t="s">
        <v>484</v>
      </c>
      <c r="B108" s="26" t="s">
        <v>8</v>
      </c>
      <c r="C108" s="26">
        <v>6</v>
      </c>
      <c r="D108" s="26">
        <v>0.97</v>
      </c>
      <c r="E108" s="26">
        <v>1.48</v>
      </c>
    </row>
    <row r="109" spans="1:5" x14ac:dyDescent="0.3">
      <c r="A109" s="26" t="s">
        <v>484</v>
      </c>
      <c r="B109" s="26" t="s">
        <v>7</v>
      </c>
      <c r="C109" s="26">
        <v>7</v>
      </c>
      <c r="D109" s="26">
        <v>0.56999999999999995</v>
      </c>
      <c r="E109" s="26">
        <v>0.96</v>
      </c>
    </row>
    <row r="110" spans="1:5" x14ac:dyDescent="0.3">
      <c r="A110" s="26" t="s">
        <v>484</v>
      </c>
      <c r="B110" s="26" t="s">
        <v>7</v>
      </c>
      <c r="C110" s="26">
        <v>8</v>
      </c>
      <c r="D110" s="26">
        <v>1.48</v>
      </c>
      <c r="E110" s="26">
        <v>2.25</v>
      </c>
    </row>
    <row r="111" spans="1:5" x14ac:dyDescent="0.3">
      <c r="A111" s="26" t="s">
        <v>484</v>
      </c>
      <c r="B111" s="26" t="s">
        <v>8</v>
      </c>
      <c r="C111" s="26">
        <v>8</v>
      </c>
      <c r="D111" s="26">
        <v>1.44</v>
      </c>
      <c r="E111" s="26">
        <v>1.54</v>
      </c>
    </row>
    <row r="112" spans="1:5" x14ac:dyDescent="0.3">
      <c r="A112" s="26" t="s">
        <v>484</v>
      </c>
      <c r="B112" s="26" t="s">
        <v>7</v>
      </c>
      <c r="C112" s="26">
        <v>9</v>
      </c>
      <c r="D112" s="26">
        <v>0.69</v>
      </c>
      <c r="E112" s="26">
        <v>1.45</v>
      </c>
    </row>
    <row r="113" spans="1:5" x14ac:dyDescent="0.3">
      <c r="A113" s="26" t="s">
        <v>484</v>
      </c>
      <c r="B113" s="26" t="s">
        <v>8</v>
      </c>
      <c r="C113" s="26">
        <v>9</v>
      </c>
      <c r="D113" s="26">
        <v>1.41</v>
      </c>
      <c r="E113" s="26">
        <v>0.82</v>
      </c>
    </row>
    <row r="114" spans="1:5" x14ac:dyDescent="0.3">
      <c r="A114" s="26" t="s">
        <v>484</v>
      </c>
      <c r="B114" s="26" t="s">
        <v>7</v>
      </c>
      <c r="C114" s="26">
        <v>10</v>
      </c>
      <c r="D114" s="26">
        <v>1.07</v>
      </c>
      <c r="E114" s="26">
        <v>1.75</v>
      </c>
    </row>
    <row r="115" spans="1:5" x14ac:dyDescent="0.3">
      <c r="A115" s="26" t="s">
        <v>484</v>
      </c>
      <c r="B115" s="26" t="s">
        <v>8</v>
      </c>
      <c r="C115" s="26">
        <v>10</v>
      </c>
      <c r="D115" s="26">
        <v>0.98</v>
      </c>
      <c r="E115" s="26">
        <v>0.95</v>
      </c>
    </row>
    <row r="116" spans="1:5" x14ac:dyDescent="0.3">
      <c r="A116" s="26" t="s">
        <v>484</v>
      </c>
      <c r="B116" s="26" t="s">
        <v>7</v>
      </c>
      <c r="C116" s="26">
        <v>11</v>
      </c>
      <c r="D116" s="26">
        <v>1.08</v>
      </c>
      <c r="E116" s="26">
        <v>1.91</v>
      </c>
    </row>
    <row r="117" spans="1:5" x14ac:dyDescent="0.3">
      <c r="A117" s="26" t="s">
        <v>484</v>
      </c>
      <c r="B117" s="26" t="s">
        <v>8</v>
      </c>
      <c r="C117" s="26">
        <v>11</v>
      </c>
      <c r="D117" s="26">
        <v>1.25</v>
      </c>
      <c r="E117" s="26">
        <v>1.76</v>
      </c>
    </row>
    <row r="118" spans="1:5" x14ac:dyDescent="0.3">
      <c r="A118" s="26" t="s">
        <v>484</v>
      </c>
      <c r="B118" s="26" t="s">
        <v>7</v>
      </c>
      <c r="C118" s="26">
        <v>12</v>
      </c>
      <c r="D118" s="26">
        <v>1.29</v>
      </c>
      <c r="E118" s="26">
        <v>1.56</v>
      </c>
    </row>
    <row r="119" spans="1:5" x14ac:dyDescent="0.3">
      <c r="A119" s="26" t="s">
        <v>484</v>
      </c>
      <c r="B119" s="26" t="s">
        <v>8</v>
      </c>
      <c r="C119" s="26">
        <v>12</v>
      </c>
      <c r="D119" s="26">
        <v>1.41</v>
      </c>
      <c r="E119" s="26">
        <v>1.41</v>
      </c>
    </row>
    <row r="120" spans="1:5" x14ac:dyDescent="0.3">
      <c r="A120" s="26" t="s">
        <v>484</v>
      </c>
      <c r="B120" s="26" t="s">
        <v>7</v>
      </c>
      <c r="C120" s="26">
        <v>13</v>
      </c>
      <c r="D120" s="26">
        <v>1.1599999999999999</v>
      </c>
      <c r="E120" s="26">
        <v>1.78</v>
      </c>
    </row>
    <row r="121" spans="1:5" x14ac:dyDescent="0.3">
      <c r="A121" s="26" t="s">
        <v>484</v>
      </c>
      <c r="B121" s="26" t="s">
        <v>8</v>
      </c>
      <c r="C121" s="26">
        <v>13</v>
      </c>
      <c r="D121" s="26">
        <v>1.18</v>
      </c>
      <c r="E121" s="26">
        <v>1.68</v>
      </c>
    </row>
    <row r="122" spans="1:5" x14ac:dyDescent="0.3">
      <c r="A122" s="26" t="s">
        <v>484</v>
      </c>
      <c r="B122" s="26" t="s">
        <v>7</v>
      </c>
      <c r="C122" s="26">
        <v>14</v>
      </c>
      <c r="D122" s="26">
        <v>1</v>
      </c>
      <c r="E122" s="26">
        <v>1.93</v>
      </c>
    </row>
    <row r="123" spans="1:5" x14ac:dyDescent="0.3">
      <c r="A123" s="26" t="s">
        <v>484</v>
      </c>
      <c r="B123" s="26" t="s">
        <v>8</v>
      </c>
      <c r="C123" s="26">
        <v>14</v>
      </c>
      <c r="D123" s="26">
        <v>1.07</v>
      </c>
      <c r="E123" s="26">
        <v>1.51</v>
      </c>
    </row>
    <row r="124" spans="1:5" x14ac:dyDescent="0.3">
      <c r="A124" s="26" t="s">
        <v>484</v>
      </c>
      <c r="B124" s="26" t="s">
        <v>7</v>
      </c>
      <c r="C124" s="26">
        <v>15</v>
      </c>
      <c r="D124" s="26">
        <v>0.67</v>
      </c>
      <c r="E124" s="26">
        <v>1.83</v>
      </c>
    </row>
    <row r="125" spans="1:5" x14ac:dyDescent="0.3">
      <c r="A125" s="26" t="s">
        <v>484</v>
      </c>
      <c r="B125" s="26" t="s">
        <v>8</v>
      </c>
      <c r="C125" s="26">
        <v>15</v>
      </c>
      <c r="D125" s="26">
        <v>1.48</v>
      </c>
      <c r="E125" s="26">
        <v>1.59</v>
      </c>
    </row>
    <row r="126" spans="1:5" x14ac:dyDescent="0.3">
      <c r="A126" s="26" t="s">
        <v>484</v>
      </c>
      <c r="B126" s="26" t="s">
        <v>7</v>
      </c>
      <c r="C126" s="26">
        <v>16</v>
      </c>
      <c r="D126" s="26">
        <v>1.07</v>
      </c>
      <c r="E126" s="26">
        <v>1.86</v>
      </c>
    </row>
    <row r="127" spans="1:5" x14ac:dyDescent="0.3">
      <c r="A127" s="26" t="s">
        <v>484</v>
      </c>
      <c r="B127" s="26" t="s">
        <v>8</v>
      </c>
      <c r="C127" s="26">
        <v>16</v>
      </c>
      <c r="D127" s="26">
        <v>1.27</v>
      </c>
      <c r="E127" s="26">
        <v>1.55</v>
      </c>
    </row>
    <row r="128" spans="1:5" x14ac:dyDescent="0.3">
      <c r="A128" s="26" t="s">
        <v>484</v>
      </c>
      <c r="B128" s="26" t="s">
        <v>7</v>
      </c>
      <c r="C128" s="26">
        <v>17</v>
      </c>
      <c r="D128" s="26">
        <v>1.22</v>
      </c>
      <c r="E128" s="26">
        <v>1.72</v>
      </c>
    </row>
    <row r="129" spans="1:5" x14ac:dyDescent="0.3">
      <c r="A129" s="26" t="s">
        <v>484</v>
      </c>
      <c r="B129" s="26" t="s">
        <v>8</v>
      </c>
      <c r="C129" s="26">
        <v>17</v>
      </c>
      <c r="D129" s="26">
        <v>1.43</v>
      </c>
      <c r="E129" s="26">
        <v>1.55</v>
      </c>
    </row>
    <row r="130" spans="1:5" x14ac:dyDescent="0.3">
      <c r="A130" s="26" t="s">
        <v>484</v>
      </c>
      <c r="B130" s="26" t="s">
        <v>7</v>
      </c>
      <c r="C130" s="26">
        <v>18</v>
      </c>
      <c r="D130" s="26">
        <v>1.34</v>
      </c>
      <c r="E130" s="26">
        <v>1.63</v>
      </c>
    </row>
    <row r="131" spans="1:5" ht="0.6" x14ac:dyDescent="0.3">
      <c r="A131" s="26" t="s">
        <v>484</v>
      </c>
      <c r="B131" s="26" t="s">
        <v>8</v>
      </c>
      <c r="C131" s="26">
        <v>18</v>
      </c>
      <c r="D131" s="26">
        <v>1.42</v>
      </c>
      <c r="E131" s="26">
        <v>1.47</v>
      </c>
    </row>
    <row r="132" spans="1:5" x14ac:dyDescent="0.3">
      <c r="A132" s="26" t="s">
        <v>484</v>
      </c>
      <c r="B132" s="26" t="s">
        <v>7</v>
      </c>
      <c r="C132" s="26">
        <v>19</v>
      </c>
      <c r="D132" s="26">
        <v>1.38</v>
      </c>
      <c r="E132" s="26">
        <v>1.74</v>
      </c>
    </row>
    <row r="133" spans="1:5" x14ac:dyDescent="0.3">
      <c r="A133" s="26" t="s">
        <v>484</v>
      </c>
      <c r="B133" s="26" t="s">
        <v>8</v>
      </c>
      <c r="C133" s="26">
        <v>19</v>
      </c>
      <c r="D133" s="26">
        <v>1.43</v>
      </c>
      <c r="E133" s="26">
        <v>1.48</v>
      </c>
    </row>
    <row r="134" spans="1:5" x14ac:dyDescent="0.3">
      <c r="A134" s="26" t="s">
        <v>484</v>
      </c>
      <c r="B134" s="26" t="s">
        <v>7</v>
      </c>
      <c r="C134" s="26">
        <v>20</v>
      </c>
      <c r="D134" s="26">
        <v>1.38</v>
      </c>
      <c r="E134" s="26">
        <v>1.58</v>
      </c>
    </row>
    <row r="135" spans="1:5" x14ac:dyDescent="0.3">
      <c r="A135" s="26" t="s">
        <v>484</v>
      </c>
      <c r="B135" s="26" t="s">
        <v>8</v>
      </c>
      <c r="C135" s="26">
        <v>20</v>
      </c>
      <c r="D135" s="26">
        <v>1.42</v>
      </c>
      <c r="E135" s="26">
        <v>1.72</v>
      </c>
    </row>
    <row r="136" spans="1:5" x14ac:dyDescent="0.3">
      <c r="A136" s="26" t="s">
        <v>484</v>
      </c>
      <c r="B136" s="26" t="s">
        <v>7</v>
      </c>
      <c r="C136" s="26">
        <v>21</v>
      </c>
      <c r="D136" s="26">
        <v>1.27</v>
      </c>
      <c r="E136" s="26">
        <v>1.65</v>
      </c>
    </row>
    <row r="137" spans="1:5" x14ac:dyDescent="0.3">
      <c r="A137" s="26" t="s">
        <v>484</v>
      </c>
      <c r="B137" s="26" t="s">
        <v>8</v>
      </c>
      <c r="C137" s="26">
        <v>21</v>
      </c>
      <c r="D137" s="26">
        <v>0.96</v>
      </c>
      <c r="E137" s="26">
        <v>1.46</v>
      </c>
    </row>
    <row r="138" spans="1:5" x14ac:dyDescent="0.3">
      <c r="A138" s="26" t="s">
        <v>484</v>
      </c>
      <c r="B138" s="26" t="s">
        <v>7</v>
      </c>
      <c r="C138" s="26">
        <v>22</v>
      </c>
      <c r="D138" s="26">
        <v>0.97</v>
      </c>
      <c r="E138" s="26">
        <v>1.59</v>
      </c>
    </row>
    <row r="139" spans="1:5" x14ac:dyDescent="0.3">
      <c r="A139" s="26" t="s">
        <v>484</v>
      </c>
      <c r="B139" s="26" t="s">
        <v>8</v>
      </c>
      <c r="C139" s="26">
        <v>22</v>
      </c>
      <c r="D139" s="26">
        <v>1.32</v>
      </c>
      <c r="E139" s="26">
        <v>1.54</v>
      </c>
    </row>
    <row r="140" spans="1:5" x14ac:dyDescent="0.3">
      <c r="A140" s="26" t="s">
        <v>484</v>
      </c>
      <c r="B140" s="26" t="s">
        <v>7</v>
      </c>
      <c r="C140" s="26">
        <v>23</v>
      </c>
      <c r="D140" s="26">
        <v>1.31</v>
      </c>
      <c r="E140" s="26">
        <v>1.84</v>
      </c>
    </row>
    <row r="141" spans="1:5" x14ac:dyDescent="0.3">
      <c r="A141" s="26" t="s">
        <v>484</v>
      </c>
      <c r="B141" s="26" t="s">
        <v>8</v>
      </c>
      <c r="C141" s="26">
        <v>23</v>
      </c>
      <c r="D141" s="26">
        <v>1.43</v>
      </c>
      <c r="E141" s="26">
        <v>1.37</v>
      </c>
    </row>
    <row r="142" spans="1:5" x14ac:dyDescent="0.3">
      <c r="A142" s="26" t="s">
        <v>484</v>
      </c>
      <c r="B142" s="26" t="s">
        <v>7</v>
      </c>
      <c r="C142" s="26">
        <v>24</v>
      </c>
      <c r="D142" s="26">
        <v>1.17</v>
      </c>
      <c r="E142" s="26">
        <v>1.98</v>
      </c>
    </row>
    <row r="143" spans="1:5" x14ac:dyDescent="0.3">
      <c r="A143" s="26" t="s">
        <v>484</v>
      </c>
      <c r="B143" s="26" t="s">
        <v>8</v>
      </c>
      <c r="C143" s="26">
        <v>24</v>
      </c>
      <c r="D143" s="26">
        <v>1.46</v>
      </c>
      <c r="E143" s="26">
        <v>1.53</v>
      </c>
    </row>
    <row r="144" spans="1:5" x14ac:dyDescent="0.3">
      <c r="A144" s="26" t="s">
        <v>484</v>
      </c>
      <c r="B144" s="26" t="s">
        <v>7</v>
      </c>
      <c r="C144" s="26">
        <v>25</v>
      </c>
      <c r="D144" s="26">
        <v>1.23</v>
      </c>
      <c r="E144" s="26">
        <v>1.58</v>
      </c>
    </row>
    <row r="145" spans="1:5" x14ac:dyDescent="0.3">
      <c r="A145" s="26" t="s">
        <v>484</v>
      </c>
      <c r="B145" s="26" t="s">
        <v>8</v>
      </c>
      <c r="C145" s="26">
        <v>25</v>
      </c>
      <c r="D145" s="26">
        <v>0.96</v>
      </c>
      <c r="E145" s="26">
        <v>1.66</v>
      </c>
    </row>
    <row r="146" spans="1:5" x14ac:dyDescent="0.3">
      <c r="A146" s="26" t="s">
        <v>484</v>
      </c>
      <c r="B146" s="26" t="s">
        <v>7</v>
      </c>
      <c r="C146" s="26">
        <v>26</v>
      </c>
      <c r="D146" s="26">
        <v>1.25</v>
      </c>
      <c r="E146" s="26">
        <v>1.7</v>
      </c>
    </row>
    <row r="147" spans="1:5" x14ac:dyDescent="0.3">
      <c r="A147" s="26" t="s">
        <v>484</v>
      </c>
      <c r="B147" s="26" t="s">
        <v>8</v>
      </c>
      <c r="C147" s="26">
        <v>26</v>
      </c>
      <c r="D147" s="26">
        <v>1.1399999999999999</v>
      </c>
      <c r="E147" s="26">
        <v>1.79</v>
      </c>
    </row>
    <row r="148" spans="1:5" x14ac:dyDescent="0.3">
      <c r="A148" s="26" t="s">
        <v>484</v>
      </c>
      <c r="B148" s="26" t="s">
        <v>7</v>
      </c>
      <c r="C148" s="26">
        <v>27</v>
      </c>
      <c r="D148" s="26">
        <v>1.07</v>
      </c>
      <c r="E148" s="26">
        <v>1.68</v>
      </c>
    </row>
    <row r="149" spans="1:5" x14ac:dyDescent="0.3">
      <c r="A149" s="26" t="s">
        <v>484</v>
      </c>
      <c r="B149" s="26" t="s">
        <v>8</v>
      </c>
      <c r="C149" s="26">
        <v>27</v>
      </c>
      <c r="D149" s="26">
        <v>1.1100000000000001</v>
      </c>
      <c r="E149" s="26">
        <v>1.41</v>
      </c>
    </row>
    <row r="150" spans="1:5" x14ac:dyDescent="0.3">
      <c r="A150" s="26" t="s">
        <v>484</v>
      </c>
      <c r="B150" s="26" t="s">
        <v>7</v>
      </c>
      <c r="C150" s="26">
        <v>28</v>
      </c>
      <c r="D150" s="26">
        <v>1.21</v>
      </c>
      <c r="E150" s="26">
        <v>1.56</v>
      </c>
    </row>
    <row r="151" spans="1:5" x14ac:dyDescent="0.3">
      <c r="A151" s="26" t="s">
        <v>484</v>
      </c>
      <c r="B151" s="26" t="s">
        <v>8</v>
      </c>
      <c r="C151" s="26">
        <v>28</v>
      </c>
      <c r="D151" s="26">
        <v>1.28</v>
      </c>
      <c r="E151" s="26">
        <v>1.56</v>
      </c>
    </row>
    <row r="152" spans="1:5" x14ac:dyDescent="0.3">
      <c r="A152" s="26" t="s">
        <v>484</v>
      </c>
      <c r="B152" s="26" t="s">
        <v>7</v>
      </c>
      <c r="C152" s="26">
        <v>29</v>
      </c>
      <c r="D152" s="26">
        <v>1.44</v>
      </c>
      <c r="E152" s="26">
        <v>1.6</v>
      </c>
    </row>
    <row r="153" spans="1:5" x14ac:dyDescent="0.3">
      <c r="A153" s="26" t="s">
        <v>484</v>
      </c>
      <c r="B153" s="26" t="s">
        <v>8</v>
      </c>
      <c r="C153" s="26">
        <v>29</v>
      </c>
      <c r="D153" s="26">
        <v>1.48</v>
      </c>
      <c r="E153" s="26">
        <v>1.39</v>
      </c>
    </row>
    <row r="154" spans="1:5" x14ac:dyDescent="0.3">
      <c r="A154" s="26" t="s">
        <v>484</v>
      </c>
      <c r="B154" s="26" t="s">
        <v>7</v>
      </c>
      <c r="C154" s="26">
        <v>30</v>
      </c>
      <c r="D154" s="26">
        <v>1.2</v>
      </c>
      <c r="E154" s="26">
        <v>1.61</v>
      </c>
    </row>
    <row r="155" spans="1:5" x14ac:dyDescent="0.3">
      <c r="A155" s="26" t="s">
        <v>484</v>
      </c>
      <c r="B155" s="26" t="s">
        <v>8</v>
      </c>
      <c r="C155" s="26">
        <v>30</v>
      </c>
      <c r="D155" s="26">
        <v>1.25</v>
      </c>
      <c r="E155" s="26">
        <v>1.55</v>
      </c>
    </row>
    <row r="156" spans="1:5" x14ac:dyDescent="0.3">
      <c r="A156" s="26" t="s">
        <v>484</v>
      </c>
      <c r="B156" s="26" t="s">
        <v>7</v>
      </c>
      <c r="C156" s="26">
        <v>31</v>
      </c>
      <c r="D156" s="26">
        <v>1.31</v>
      </c>
      <c r="E156" s="26">
        <v>1.71</v>
      </c>
    </row>
    <row r="157" spans="1:5" x14ac:dyDescent="0.3">
      <c r="A157" s="26" t="s">
        <v>484</v>
      </c>
      <c r="B157" s="26" t="s">
        <v>8</v>
      </c>
      <c r="C157" s="26">
        <v>31</v>
      </c>
      <c r="D157" s="26">
        <v>1.43</v>
      </c>
      <c r="E157" s="26">
        <v>1.55</v>
      </c>
    </row>
    <row r="158" spans="1:5" x14ac:dyDescent="0.3">
      <c r="A158" s="26" t="s">
        <v>484</v>
      </c>
      <c r="B158" s="26" t="s">
        <v>7</v>
      </c>
      <c r="C158" s="26">
        <v>32</v>
      </c>
      <c r="D158" s="26">
        <v>1.35</v>
      </c>
      <c r="E158" s="26">
        <v>1.68</v>
      </c>
    </row>
    <row r="159" spans="1:5" x14ac:dyDescent="0.3">
      <c r="A159" s="26" t="s">
        <v>484</v>
      </c>
      <c r="B159" s="26" t="s">
        <v>8</v>
      </c>
      <c r="C159" s="26">
        <v>32</v>
      </c>
      <c r="D159" s="26">
        <v>1.77</v>
      </c>
      <c r="E159" s="26">
        <v>1.17</v>
      </c>
    </row>
    <row r="160" spans="1:5" x14ac:dyDescent="0.3">
      <c r="A160" s="26" t="s">
        <v>484</v>
      </c>
      <c r="B160" s="26" t="s">
        <v>7</v>
      </c>
      <c r="C160" s="26">
        <v>33</v>
      </c>
      <c r="D160" s="26">
        <v>1.2</v>
      </c>
      <c r="E160" s="26">
        <v>1.78</v>
      </c>
    </row>
    <row r="161" spans="1:5" x14ac:dyDescent="0.3">
      <c r="A161" s="26" t="s">
        <v>484</v>
      </c>
      <c r="B161" s="26" t="s">
        <v>8</v>
      </c>
      <c r="C161" s="26">
        <v>33</v>
      </c>
      <c r="D161" s="26">
        <v>1.26</v>
      </c>
      <c r="E161" s="26">
        <v>1.62</v>
      </c>
    </row>
    <row r="162" spans="1:5" x14ac:dyDescent="0.3">
      <c r="A162" s="26" t="s">
        <v>484</v>
      </c>
      <c r="B162" s="26" t="s">
        <v>7</v>
      </c>
      <c r="C162" s="26">
        <v>34</v>
      </c>
      <c r="D162" s="26">
        <v>1.1200000000000001</v>
      </c>
      <c r="E162" s="26">
        <v>2.09</v>
      </c>
    </row>
    <row r="163" spans="1:5" x14ac:dyDescent="0.3">
      <c r="A163" s="26" t="s">
        <v>484</v>
      </c>
      <c r="B163" s="26" t="s">
        <v>8</v>
      </c>
      <c r="C163" s="26">
        <v>34</v>
      </c>
      <c r="D163" s="26">
        <v>1.25</v>
      </c>
      <c r="E163" s="26">
        <v>1.65</v>
      </c>
    </row>
    <row r="164" spans="1:5" x14ac:dyDescent="0.3">
      <c r="A164" s="26" t="s">
        <v>484</v>
      </c>
      <c r="B164" s="26" t="s">
        <v>7</v>
      </c>
      <c r="C164" s="26">
        <v>35</v>
      </c>
      <c r="D164" s="26">
        <v>1.26</v>
      </c>
      <c r="E164" s="26">
        <v>1.56</v>
      </c>
    </row>
    <row r="165" spans="1:5" x14ac:dyDescent="0.3">
      <c r="A165" s="26" t="s">
        <v>484</v>
      </c>
      <c r="B165" s="26" t="s">
        <v>8</v>
      </c>
      <c r="C165" s="26">
        <v>35</v>
      </c>
      <c r="D165" s="26">
        <v>1.28</v>
      </c>
      <c r="E165" s="26">
        <v>1.31</v>
      </c>
    </row>
    <row r="166" spans="1:5" x14ac:dyDescent="0.3">
      <c r="A166" s="26" t="s">
        <v>484</v>
      </c>
      <c r="B166" s="26" t="s">
        <v>7</v>
      </c>
      <c r="C166" s="26">
        <v>36</v>
      </c>
      <c r="D166" s="26">
        <v>1.25</v>
      </c>
      <c r="E166" s="26">
        <v>1.6</v>
      </c>
    </row>
    <row r="167" spans="1:5" x14ac:dyDescent="0.3">
      <c r="A167" s="26" t="s">
        <v>484</v>
      </c>
      <c r="B167" s="26" t="s">
        <v>8</v>
      </c>
      <c r="C167" s="26">
        <v>36</v>
      </c>
      <c r="D167" s="26">
        <v>1.4</v>
      </c>
      <c r="E167" s="26">
        <v>1.1000000000000001</v>
      </c>
    </row>
    <row r="168" spans="1:5" x14ac:dyDescent="0.3">
      <c r="A168" s="26" t="s">
        <v>484</v>
      </c>
      <c r="B168" s="26" t="s">
        <v>7</v>
      </c>
      <c r="C168" s="26">
        <v>37</v>
      </c>
      <c r="D168" s="26">
        <v>0.75</v>
      </c>
      <c r="E168" s="26">
        <v>1.56</v>
      </c>
    </row>
    <row r="169" spans="1:5" x14ac:dyDescent="0.3">
      <c r="A169" s="26" t="s">
        <v>484</v>
      </c>
      <c r="B169" s="26" t="s">
        <v>8</v>
      </c>
      <c r="C169" s="26">
        <v>37</v>
      </c>
      <c r="D169" s="26">
        <v>1.39</v>
      </c>
      <c r="E169" s="26">
        <v>1.4</v>
      </c>
    </row>
    <row r="170" spans="1:5" x14ac:dyDescent="0.3">
      <c r="A170" s="26" t="s">
        <v>484</v>
      </c>
      <c r="B170" s="26" t="s">
        <v>7</v>
      </c>
      <c r="C170" s="26">
        <v>38</v>
      </c>
      <c r="D170" s="26">
        <v>1.1399999999999999</v>
      </c>
      <c r="E170" s="26">
        <v>1.58</v>
      </c>
    </row>
    <row r="171" spans="1:5" x14ac:dyDescent="0.3">
      <c r="A171" s="26" t="s">
        <v>484</v>
      </c>
      <c r="B171" s="26" t="s">
        <v>8</v>
      </c>
      <c r="C171" s="26">
        <v>38</v>
      </c>
      <c r="D171" s="26">
        <v>1.36</v>
      </c>
      <c r="E171" s="26">
        <v>1.39</v>
      </c>
    </row>
    <row r="172" spans="1:5" x14ac:dyDescent="0.3">
      <c r="A172" s="26" t="s">
        <v>484</v>
      </c>
      <c r="B172" s="26" t="s">
        <v>7</v>
      </c>
      <c r="C172" s="26">
        <v>39</v>
      </c>
      <c r="D172" s="26">
        <v>1.19</v>
      </c>
      <c r="E172" s="26">
        <v>2.0099999999999998</v>
      </c>
    </row>
    <row r="173" spans="1:5" x14ac:dyDescent="0.3">
      <c r="A173" s="26" t="s">
        <v>484</v>
      </c>
      <c r="B173" s="26" t="s">
        <v>8</v>
      </c>
      <c r="C173" s="26">
        <v>39</v>
      </c>
      <c r="D173" s="26">
        <v>1.37</v>
      </c>
      <c r="E173" s="26">
        <v>0.67</v>
      </c>
    </row>
    <row r="174" spans="1:5" x14ac:dyDescent="0.3">
      <c r="A174" s="26" t="s">
        <v>484</v>
      </c>
      <c r="B174" s="26" t="s">
        <v>7</v>
      </c>
      <c r="C174" s="26">
        <v>40</v>
      </c>
      <c r="D174" s="26">
        <v>1.45</v>
      </c>
      <c r="E174" s="26">
        <v>1.67</v>
      </c>
    </row>
    <row r="175" spans="1:5" x14ac:dyDescent="0.3">
      <c r="A175" s="26" t="s">
        <v>484</v>
      </c>
      <c r="B175" s="26" t="s">
        <v>8</v>
      </c>
      <c r="C175" s="26">
        <v>40</v>
      </c>
      <c r="D175" s="26">
        <v>1.29</v>
      </c>
      <c r="E175" s="26">
        <v>1.29</v>
      </c>
    </row>
    <row r="176" spans="1:5" x14ac:dyDescent="0.3">
      <c r="A176" s="26" t="s">
        <v>484</v>
      </c>
      <c r="B176" s="26" t="s">
        <v>7</v>
      </c>
      <c r="C176" s="26">
        <v>41</v>
      </c>
      <c r="D176" s="26">
        <v>1.25</v>
      </c>
      <c r="E176" s="26">
        <v>1.67</v>
      </c>
    </row>
    <row r="177" spans="1:5" x14ac:dyDescent="0.3">
      <c r="A177" s="26" t="s">
        <v>484</v>
      </c>
      <c r="B177" s="26" t="s">
        <v>8</v>
      </c>
      <c r="C177" s="26">
        <v>41</v>
      </c>
      <c r="D177" s="26">
        <v>1.44</v>
      </c>
      <c r="E177" s="26">
        <v>1.5</v>
      </c>
    </row>
    <row r="178" spans="1:5" x14ac:dyDescent="0.3">
      <c r="A178" s="26" t="s">
        <v>484</v>
      </c>
      <c r="B178" s="26" t="s">
        <v>7</v>
      </c>
      <c r="C178" s="26">
        <v>42</v>
      </c>
      <c r="D178" s="26">
        <v>1.36</v>
      </c>
      <c r="E178" s="26">
        <v>1.91</v>
      </c>
    </row>
    <row r="179" spans="1:5" x14ac:dyDescent="0.3">
      <c r="A179" s="26" t="s">
        <v>484</v>
      </c>
      <c r="B179" s="26" t="s">
        <v>8</v>
      </c>
      <c r="C179" s="26">
        <v>42</v>
      </c>
      <c r="D179" s="26">
        <v>1.52</v>
      </c>
      <c r="E179" s="26">
        <v>1.33</v>
      </c>
    </row>
    <row r="180" spans="1:5" x14ac:dyDescent="0.3">
      <c r="A180" s="26" t="s">
        <v>484</v>
      </c>
      <c r="B180" s="26" t="s">
        <v>7</v>
      </c>
      <c r="C180" s="26">
        <v>43</v>
      </c>
      <c r="D180" s="26">
        <v>1.1399999999999999</v>
      </c>
      <c r="E180" s="26">
        <v>1.95</v>
      </c>
    </row>
    <row r="181" spans="1:5" x14ac:dyDescent="0.3">
      <c r="A181" s="26" t="s">
        <v>484</v>
      </c>
      <c r="B181" s="26" t="s">
        <v>8</v>
      </c>
      <c r="C181" s="26">
        <v>43</v>
      </c>
      <c r="D181" s="26">
        <v>1.03</v>
      </c>
      <c r="E181" s="26">
        <v>1.51</v>
      </c>
    </row>
    <row r="182" spans="1:5" x14ac:dyDescent="0.3">
      <c r="A182" s="26" t="s">
        <v>484</v>
      </c>
      <c r="B182" s="26" t="s">
        <v>7</v>
      </c>
      <c r="C182" s="26">
        <v>44</v>
      </c>
      <c r="D182" s="26">
        <v>1.1499999999999999</v>
      </c>
      <c r="E182" s="26">
        <v>1.61</v>
      </c>
    </row>
    <row r="183" spans="1:5" x14ac:dyDescent="0.3">
      <c r="A183" s="26" t="s">
        <v>484</v>
      </c>
      <c r="B183" s="26" t="s">
        <v>8</v>
      </c>
      <c r="C183" s="26">
        <v>44</v>
      </c>
      <c r="D183" s="26">
        <v>1.32</v>
      </c>
      <c r="E183" s="26">
        <v>1.62</v>
      </c>
    </row>
    <row r="184" spans="1:5" x14ac:dyDescent="0.3">
      <c r="A184" s="26" t="s">
        <v>484</v>
      </c>
      <c r="B184" s="26" t="s">
        <v>7</v>
      </c>
      <c r="C184" s="26">
        <v>45</v>
      </c>
      <c r="D184" s="26">
        <v>1.28</v>
      </c>
      <c r="E184" s="26">
        <v>1.78</v>
      </c>
    </row>
    <row r="185" spans="1:5" x14ac:dyDescent="0.3">
      <c r="A185" s="26" t="s">
        <v>484</v>
      </c>
      <c r="B185" s="26" t="s">
        <v>8</v>
      </c>
      <c r="C185" s="26">
        <v>45</v>
      </c>
      <c r="D185" s="26">
        <v>1.35</v>
      </c>
      <c r="E185" s="26">
        <v>1.45</v>
      </c>
    </row>
    <row r="186" spans="1:5" x14ac:dyDescent="0.3">
      <c r="A186" s="26" t="s">
        <v>484</v>
      </c>
      <c r="B186" s="26" t="s">
        <v>7</v>
      </c>
      <c r="C186" s="26">
        <v>46</v>
      </c>
      <c r="D186" s="26">
        <v>1.53</v>
      </c>
      <c r="E186" s="26">
        <v>1.56</v>
      </c>
    </row>
    <row r="187" spans="1:5" x14ac:dyDescent="0.3">
      <c r="A187" s="26" t="s">
        <v>484</v>
      </c>
      <c r="B187" s="26" t="s">
        <v>8</v>
      </c>
      <c r="C187" s="26">
        <v>46</v>
      </c>
      <c r="D187" s="26">
        <v>1.3</v>
      </c>
      <c r="E187" s="26">
        <v>1.61</v>
      </c>
    </row>
    <row r="188" spans="1:5" x14ac:dyDescent="0.3">
      <c r="A188" s="26" t="s">
        <v>484</v>
      </c>
      <c r="B188" s="26" t="s">
        <v>7</v>
      </c>
      <c r="C188" s="26">
        <v>47</v>
      </c>
      <c r="D188" s="26">
        <v>0.95</v>
      </c>
      <c r="E188" s="26">
        <v>1.9</v>
      </c>
    </row>
    <row r="189" spans="1:5" x14ac:dyDescent="0.3">
      <c r="A189" s="26" t="s">
        <v>484</v>
      </c>
      <c r="B189" s="26" t="s">
        <v>8</v>
      </c>
      <c r="C189" s="26">
        <v>47</v>
      </c>
      <c r="D189" s="26">
        <v>1.1499999999999999</v>
      </c>
      <c r="E189" s="26">
        <v>1.75</v>
      </c>
    </row>
  </sheetData>
  <autoFilter ref="C1:C189" xr:uid="{702345AD-5A7D-4E4F-9CDE-D4226A598AF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A7A6D-EC38-44EA-8F08-09145A3C9216}">
  <dimension ref="A1:F209"/>
  <sheetViews>
    <sheetView workbookViewId="0">
      <selection activeCell="E3" sqref="E3"/>
    </sheetView>
  </sheetViews>
  <sheetFormatPr defaultRowHeight="14.4" x14ac:dyDescent="0.3"/>
  <cols>
    <col min="3" max="3" width="35" customWidth="1"/>
    <col min="4" max="4" width="18.44140625" customWidth="1"/>
    <col min="5" max="5" width="23.88671875" customWidth="1"/>
    <col min="6" max="6" width="18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1.1599999999999999</v>
      </c>
      <c r="D2">
        <v>2.62</v>
      </c>
      <c r="E2">
        <v>44.8</v>
      </c>
      <c r="F2">
        <v>45.588000000000001</v>
      </c>
    </row>
    <row r="3" spans="1:6" x14ac:dyDescent="0.3">
      <c r="A3" t="s">
        <v>6</v>
      </c>
      <c r="B3" t="s">
        <v>8</v>
      </c>
      <c r="C3">
        <v>1.26</v>
      </c>
      <c r="D3">
        <v>1.55</v>
      </c>
      <c r="E3">
        <v>26.94</v>
      </c>
      <c r="F3">
        <v>29.295000000000002</v>
      </c>
    </row>
    <row r="4" spans="1:6" x14ac:dyDescent="0.3">
      <c r="A4" t="s">
        <v>6</v>
      </c>
      <c r="B4" t="s">
        <v>7</v>
      </c>
      <c r="C4">
        <v>1.1599999999999999</v>
      </c>
      <c r="D4">
        <v>2.44</v>
      </c>
      <c r="E4">
        <v>39.99</v>
      </c>
      <c r="F4">
        <v>42.455999999999996</v>
      </c>
    </row>
    <row r="5" spans="1:6" x14ac:dyDescent="0.3">
      <c r="A5" t="s">
        <v>6</v>
      </c>
      <c r="B5" t="s">
        <v>8</v>
      </c>
      <c r="C5">
        <v>1.37</v>
      </c>
      <c r="D5">
        <v>1.43</v>
      </c>
      <c r="E5">
        <v>29.15</v>
      </c>
      <c r="F5">
        <v>29.386500000000002</v>
      </c>
    </row>
    <row r="6" spans="1:6" x14ac:dyDescent="0.3">
      <c r="A6" t="s">
        <v>6</v>
      </c>
      <c r="B6" t="s">
        <v>7</v>
      </c>
      <c r="C6">
        <v>1.1499999999999999</v>
      </c>
      <c r="D6">
        <v>2.35</v>
      </c>
      <c r="E6">
        <v>40.159999999999997</v>
      </c>
      <c r="F6">
        <v>40.537499999999994</v>
      </c>
    </row>
    <row r="7" spans="1:6" x14ac:dyDescent="0.3">
      <c r="A7" t="s">
        <v>6</v>
      </c>
      <c r="B7" t="s">
        <v>8</v>
      </c>
      <c r="C7">
        <v>1.43</v>
      </c>
      <c r="D7">
        <v>1.6</v>
      </c>
      <c r="E7">
        <v>33.97</v>
      </c>
      <c r="F7">
        <v>34.32</v>
      </c>
    </row>
    <row r="8" spans="1:6" x14ac:dyDescent="0.3">
      <c r="A8" t="s">
        <v>6</v>
      </c>
      <c r="B8" t="s">
        <v>7</v>
      </c>
      <c r="C8">
        <v>0.99</v>
      </c>
      <c r="D8">
        <v>2.2400000000000002</v>
      </c>
      <c r="E8">
        <v>32.729999999999997</v>
      </c>
      <c r="F8">
        <v>33.264000000000003</v>
      </c>
    </row>
    <row r="9" spans="1:6" x14ac:dyDescent="0.3">
      <c r="A9" t="s">
        <v>6</v>
      </c>
      <c r="B9" t="s">
        <v>8</v>
      </c>
      <c r="C9">
        <v>1.26</v>
      </c>
      <c r="D9">
        <v>1.58</v>
      </c>
      <c r="E9">
        <v>29.23</v>
      </c>
      <c r="F9">
        <v>29.862000000000002</v>
      </c>
    </row>
    <row r="10" spans="1:6" x14ac:dyDescent="0.3">
      <c r="A10" t="s">
        <v>6</v>
      </c>
      <c r="B10" t="s">
        <v>7</v>
      </c>
      <c r="C10">
        <v>1.41</v>
      </c>
      <c r="D10">
        <v>2.52</v>
      </c>
      <c r="E10">
        <v>52.88</v>
      </c>
      <c r="F10">
        <v>53.298000000000002</v>
      </c>
    </row>
    <row r="11" spans="1:6" x14ac:dyDescent="0.3">
      <c r="A11" t="s">
        <v>6</v>
      </c>
      <c r="B11" t="s">
        <v>8</v>
      </c>
      <c r="C11">
        <v>1.79</v>
      </c>
      <c r="D11">
        <v>1.07</v>
      </c>
      <c r="E11">
        <v>28.3</v>
      </c>
      <c r="F11">
        <v>28.729500000000002</v>
      </c>
    </row>
    <row r="12" spans="1:6" x14ac:dyDescent="0.3">
      <c r="A12" t="s">
        <v>6</v>
      </c>
      <c r="B12" t="s">
        <v>7</v>
      </c>
      <c r="C12">
        <v>1.1299999999999999</v>
      </c>
      <c r="D12">
        <v>2.71</v>
      </c>
      <c r="E12">
        <v>45.69</v>
      </c>
      <c r="F12">
        <v>45.934499999999993</v>
      </c>
    </row>
    <row r="13" spans="1:6" x14ac:dyDescent="0.3">
      <c r="A13" t="s">
        <v>6</v>
      </c>
      <c r="B13" t="s">
        <v>8</v>
      </c>
      <c r="C13">
        <v>1.37</v>
      </c>
      <c r="D13">
        <v>1.6</v>
      </c>
      <c r="E13">
        <v>32.14</v>
      </c>
      <c r="F13">
        <v>32.880000000000003</v>
      </c>
    </row>
    <row r="14" spans="1:6" x14ac:dyDescent="0.3">
      <c r="A14" t="s">
        <v>6</v>
      </c>
      <c r="B14" t="s">
        <v>7</v>
      </c>
      <c r="C14">
        <v>0.88</v>
      </c>
      <c r="D14">
        <v>2.7</v>
      </c>
      <c r="E14">
        <v>35.17</v>
      </c>
      <c r="F14">
        <v>35.640000000000008</v>
      </c>
    </row>
    <row r="15" spans="1:6" x14ac:dyDescent="0.3">
      <c r="A15" t="s">
        <v>6</v>
      </c>
      <c r="B15" t="s">
        <v>8</v>
      </c>
      <c r="C15">
        <v>0.95</v>
      </c>
      <c r="D15">
        <v>1.24</v>
      </c>
      <c r="E15">
        <v>17.329999999999998</v>
      </c>
      <c r="F15">
        <v>17.669999999999998</v>
      </c>
    </row>
    <row r="16" spans="1:6" x14ac:dyDescent="0.3">
      <c r="A16" t="s">
        <v>6</v>
      </c>
      <c r="B16" t="s">
        <v>7</v>
      </c>
      <c r="C16">
        <v>1.37</v>
      </c>
      <c r="D16">
        <v>2.09</v>
      </c>
      <c r="E16">
        <v>42.18</v>
      </c>
      <c r="F16">
        <v>42.9495</v>
      </c>
    </row>
    <row r="17" spans="1:6" x14ac:dyDescent="0.3">
      <c r="A17" t="s">
        <v>6</v>
      </c>
      <c r="B17" t="s">
        <v>8</v>
      </c>
      <c r="C17">
        <v>1.36</v>
      </c>
      <c r="D17">
        <v>1.87</v>
      </c>
      <c r="E17">
        <v>37.56</v>
      </c>
      <c r="F17">
        <v>38.148000000000003</v>
      </c>
    </row>
    <row r="18" spans="1:6" x14ac:dyDescent="0.3">
      <c r="A18" t="s">
        <v>6</v>
      </c>
      <c r="B18" t="s">
        <v>7</v>
      </c>
      <c r="C18">
        <v>0.87</v>
      </c>
      <c r="D18">
        <v>2.54</v>
      </c>
      <c r="E18">
        <v>32.82</v>
      </c>
      <c r="F18">
        <v>33.146999999999998</v>
      </c>
    </row>
    <row r="19" spans="1:6" x14ac:dyDescent="0.3">
      <c r="A19" t="s">
        <v>6</v>
      </c>
      <c r="B19" t="s">
        <v>8</v>
      </c>
      <c r="C19">
        <v>1.43</v>
      </c>
      <c r="D19">
        <v>1.5</v>
      </c>
      <c r="E19">
        <v>31.11</v>
      </c>
      <c r="F19">
        <v>32.174999999999997</v>
      </c>
    </row>
    <row r="20" spans="1:6" x14ac:dyDescent="0.3">
      <c r="A20" t="s">
        <v>6</v>
      </c>
      <c r="B20" t="s">
        <v>7</v>
      </c>
      <c r="C20">
        <v>1.31</v>
      </c>
      <c r="D20">
        <v>2.25</v>
      </c>
      <c r="E20">
        <v>43.35</v>
      </c>
      <c r="F20">
        <v>44.212500000000006</v>
      </c>
    </row>
    <row r="21" spans="1:6" x14ac:dyDescent="0.3">
      <c r="A21" t="s">
        <v>6</v>
      </c>
      <c r="B21" t="s">
        <v>8</v>
      </c>
      <c r="C21">
        <v>1.54</v>
      </c>
      <c r="D21">
        <v>1.51</v>
      </c>
      <c r="E21">
        <v>33.979999999999997</v>
      </c>
      <c r="F21">
        <v>34.881</v>
      </c>
    </row>
    <row r="22" spans="1:6" x14ac:dyDescent="0.3">
      <c r="A22" t="s">
        <v>6</v>
      </c>
      <c r="B22" t="s">
        <v>7</v>
      </c>
      <c r="C22">
        <v>1.08</v>
      </c>
      <c r="D22">
        <v>2.79</v>
      </c>
      <c r="E22">
        <v>43.16</v>
      </c>
      <c r="F22">
        <v>45.198000000000008</v>
      </c>
    </row>
    <row r="23" spans="1:6" x14ac:dyDescent="0.3">
      <c r="A23" t="s">
        <v>6</v>
      </c>
      <c r="B23" t="s">
        <v>8</v>
      </c>
      <c r="C23">
        <v>1.0900000000000001</v>
      </c>
      <c r="D23">
        <v>1.79</v>
      </c>
      <c r="E23">
        <v>27.89</v>
      </c>
      <c r="F23">
        <v>29.266500000000004</v>
      </c>
    </row>
    <row r="24" spans="1:6" x14ac:dyDescent="0.3">
      <c r="A24" t="s">
        <v>6</v>
      </c>
      <c r="B24" t="s">
        <v>7</v>
      </c>
      <c r="C24">
        <v>0.95</v>
      </c>
      <c r="D24">
        <v>2.87</v>
      </c>
      <c r="E24">
        <v>39.51</v>
      </c>
      <c r="F24">
        <v>40.897500000000001</v>
      </c>
    </row>
    <row r="25" spans="1:6" x14ac:dyDescent="0.3">
      <c r="A25" t="s">
        <v>6</v>
      </c>
      <c r="B25" t="s">
        <v>8</v>
      </c>
      <c r="C25">
        <v>1.1100000000000001</v>
      </c>
      <c r="D25">
        <v>1.63</v>
      </c>
      <c r="E25">
        <v>26.34</v>
      </c>
      <c r="F25">
        <v>27.139500000000002</v>
      </c>
    </row>
    <row r="26" spans="1:6" x14ac:dyDescent="0.3">
      <c r="A26" t="s">
        <v>6</v>
      </c>
      <c r="B26" t="s">
        <v>7</v>
      </c>
      <c r="C26">
        <v>1.04</v>
      </c>
      <c r="D26">
        <v>2.72</v>
      </c>
      <c r="E26">
        <v>41.79</v>
      </c>
      <c r="F26">
        <v>42.432000000000002</v>
      </c>
    </row>
    <row r="27" spans="1:6" x14ac:dyDescent="0.3">
      <c r="A27" t="s">
        <v>6</v>
      </c>
      <c r="B27" t="s">
        <v>8</v>
      </c>
      <c r="C27">
        <v>1.48</v>
      </c>
      <c r="D27">
        <v>1.26</v>
      </c>
      <c r="E27">
        <v>26.81</v>
      </c>
      <c r="F27">
        <v>27.972000000000001</v>
      </c>
    </row>
    <row r="28" spans="1:6" x14ac:dyDescent="0.3">
      <c r="A28" t="s">
        <v>6</v>
      </c>
      <c r="B28" t="s">
        <v>7</v>
      </c>
      <c r="C28">
        <v>1.04</v>
      </c>
      <c r="D28">
        <v>2.46</v>
      </c>
      <c r="E28">
        <v>37.130000000000003</v>
      </c>
      <c r="F28">
        <v>38.376000000000005</v>
      </c>
    </row>
    <row r="29" spans="1:6" x14ac:dyDescent="0.3">
      <c r="A29" t="s">
        <v>6</v>
      </c>
      <c r="B29" t="s">
        <v>8</v>
      </c>
      <c r="C29">
        <v>1.41</v>
      </c>
      <c r="D29">
        <v>1.55</v>
      </c>
      <c r="E29">
        <v>32.119999999999997</v>
      </c>
      <c r="F29">
        <v>32.782499999999999</v>
      </c>
    </row>
    <row r="30" spans="1:6" x14ac:dyDescent="0.3">
      <c r="A30" t="s">
        <v>6</v>
      </c>
      <c r="B30" t="s">
        <v>7</v>
      </c>
      <c r="C30">
        <v>0.92</v>
      </c>
      <c r="D30">
        <v>2.92</v>
      </c>
      <c r="E30">
        <v>40.229999999999997</v>
      </c>
      <c r="F30">
        <v>40.295999999999999</v>
      </c>
    </row>
    <row r="31" spans="1:6" x14ac:dyDescent="0.3">
      <c r="A31" t="s">
        <v>6</v>
      </c>
      <c r="B31" t="s">
        <v>8</v>
      </c>
      <c r="C31">
        <v>1.03</v>
      </c>
      <c r="D31">
        <v>1.8</v>
      </c>
      <c r="E31">
        <v>26.64</v>
      </c>
      <c r="F31">
        <v>27.810000000000002</v>
      </c>
    </row>
    <row r="32" spans="1:6" x14ac:dyDescent="0.3">
      <c r="A32" t="s">
        <v>6</v>
      </c>
      <c r="B32" t="s">
        <v>7</v>
      </c>
      <c r="C32">
        <v>1.1299999999999999</v>
      </c>
      <c r="D32">
        <v>2.66</v>
      </c>
      <c r="E32">
        <v>44.65</v>
      </c>
      <c r="F32">
        <v>45.086999999999996</v>
      </c>
    </row>
    <row r="33" spans="1:6" x14ac:dyDescent="0.3">
      <c r="A33" t="s">
        <v>6</v>
      </c>
      <c r="B33" t="s">
        <v>8</v>
      </c>
      <c r="C33">
        <v>1.49</v>
      </c>
      <c r="D33">
        <v>1.63</v>
      </c>
      <c r="E33">
        <v>36.08</v>
      </c>
      <c r="F33">
        <v>36.430499999999995</v>
      </c>
    </row>
    <row r="34" spans="1:6" x14ac:dyDescent="0.3">
      <c r="A34" t="s">
        <v>6</v>
      </c>
      <c r="B34" t="s">
        <v>7</v>
      </c>
      <c r="C34">
        <v>1.17</v>
      </c>
      <c r="D34">
        <v>2.5099999999999998</v>
      </c>
      <c r="E34">
        <v>43.16</v>
      </c>
      <c r="F34">
        <v>44.050499999999992</v>
      </c>
    </row>
    <row r="35" spans="1:6" x14ac:dyDescent="0.3">
      <c r="A35" t="s">
        <v>6</v>
      </c>
      <c r="B35" t="s">
        <v>8</v>
      </c>
      <c r="C35">
        <v>1.61</v>
      </c>
      <c r="D35">
        <v>1.48</v>
      </c>
      <c r="E35">
        <v>35.130000000000003</v>
      </c>
      <c r="F35">
        <v>35.741999999999997</v>
      </c>
    </row>
    <row r="36" spans="1:6" x14ac:dyDescent="0.3">
      <c r="A36" t="s">
        <v>6</v>
      </c>
      <c r="B36" t="s">
        <v>7</v>
      </c>
      <c r="C36">
        <v>1.08</v>
      </c>
      <c r="D36">
        <v>2.8</v>
      </c>
      <c r="E36">
        <v>43.83</v>
      </c>
      <c r="F36">
        <v>45.36</v>
      </c>
    </row>
    <row r="37" spans="1:6" x14ac:dyDescent="0.3">
      <c r="A37" t="s">
        <v>6</v>
      </c>
      <c r="B37" t="s">
        <v>8</v>
      </c>
      <c r="C37">
        <v>1.39</v>
      </c>
      <c r="D37">
        <v>1.61</v>
      </c>
      <c r="E37">
        <v>32.799999999999997</v>
      </c>
      <c r="F37">
        <v>33.5685</v>
      </c>
    </row>
    <row r="38" spans="1:6" x14ac:dyDescent="0.3">
      <c r="A38" t="s">
        <v>6</v>
      </c>
      <c r="B38" t="s">
        <v>7</v>
      </c>
      <c r="C38">
        <v>1.03</v>
      </c>
      <c r="D38">
        <v>3.12</v>
      </c>
      <c r="E38">
        <v>47.38</v>
      </c>
      <c r="F38">
        <v>48.204000000000001</v>
      </c>
    </row>
    <row r="39" spans="1:6" x14ac:dyDescent="0.3">
      <c r="A39" t="s">
        <v>6</v>
      </c>
      <c r="B39" t="s">
        <v>8</v>
      </c>
      <c r="C39">
        <v>1.39</v>
      </c>
      <c r="D39">
        <v>1.42</v>
      </c>
      <c r="E39">
        <v>28.59</v>
      </c>
      <c r="F39">
        <v>29.606999999999996</v>
      </c>
    </row>
    <row r="40" spans="1:6" x14ac:dyDescent="0.3">
      <c r="A40" t="s">
        <v>6</v>
      </c>
      <c r="B40" t="s">
        <v>7</v>
      </c>
      <c r="C40">
        <v>1.39</v>
      </c>
      <c r="D40">
        <v>2.35</v>
      </c>
      <c r="E40">
        <v>47.84</v>
      </c>
      <c r="F40">
        <v>48.997499999999995</v>
      </c>
    </row>
    <row r="41" spans="1:6" x14ac:dyDescent="0.3">
      <c r="A41" t="s">
        <v>6</v>
      </c>
      <c r="B41" t="s">
        <v>8</v>
      </c>
      <c r="C41">
        <v>1.72</v>
      </c>
      <c r="D41">
        <v>1.46</v>
      </c>
      <c r="E41">
        <v>35.96</v>
      </c>
      <c r="F41">
        <v>37.667999999999999</v>
      </c>
    </row>
    <row r="42" spans="1:6" x14ac:dyDescent="0.3">
      <c r="A42" t="s">
        <v>6</v>
      </c>
      <c r="B42" t="s">
        <v>7</v>
      </c>
      <c r="C42">
        <v>1.04</v>
      </c>
      <c r="D42">
        <v>2.64</v>
      </c>
      <c r="E42">
        <v>40.64</v>
      </c>
      <c r="F42">
        <v>41.183999999999997</v>
      </c>
    </row>
    <row r="43" spans="1:6" x14ac:dyDescent="0.3">
      <c r="A43" t="s">
        <v>6</v>
      </c>
      <c r="B43" t="s">
        <v>8</v>
      </c>
      <c r="C43">
        <v>1.1499999999999999</v>
      </c>
      <c r="D43">
        <v>1.87</v>
      </c>
      <c r="E43">
        <v>31.36</v>
      </c>
      <c r="F43">
        <v>32.2575</v>
      </c>
    </row>
    <row r="44" spans="1:6" x14ac:dyDescent="0.3">
      <c r="A44" t="s">
        <v>6</v>
      </c>
      <c r="B44" t="s">
        <v>7</v>
      </c>
      <c r="C44">
        <v>1.17</v>
      </c>
      <c r="D44">
        <v>2.98</v>
      </c>
      <c r="E44">
        <v>50.87</v>
      </c>
      <c r="F44">
        <v>52.298999999999992</v>
      </c>
    </row>
    <row r="45" spans="1:6" x14ac:dyDescent="0.3">
      <c r="A45" t="s">
        <v>6</v>
      </c>
      <c r="B45" t="s">
        <v>8</v>
      </c>
      <c r="C45">
        <v>1.36</v>
      </c>
      <c r="D45">
        <v>1.55</v>
      </c>
      <c r="E45">
        <v>31.14</v>
      </c>
      <c r="F45">
        <v>31.62</v>
      </c>
    </row>
    <row r="46" spans="1:6" x14ac:dyDescent="0.3">
      <c r="A46" t="s">
        <v>6</v>
      </c>
      <c r="B46" t="s">
        <v>7</v>
      </c>
      <c r="C46">
        <v>1.17</v>
      </c>
      <c r="D46">
        <v>3.26</v>
      </c>
      <c r="E46">
        <v>56.99</v>
      </c>
      <c r="F46">
        <v>57.212999999999994</v>
      </c>
    </row>
    <row r="47" spans="1:6" x14ac:dyDescent="0.3">
      <c r="A47" t="s">
        <v>6</v>
      </c>
      <c r="B47" t="s">
        <v>8</v>
      </c>
      <c r="C47">
        <v>1.4</v>
      </c>
      <c r="D47">
        <v>1.77</v>
      </c>
      <c r="E47">
        <v>36.97</v>
      </c>
      <c r="F47">
        <v>37.169999999999995</v>
      </c>
    </row>
    <row r="48" spans="1:6" x14ac:dyDescent="0.3">
      <c r="A48" t="s">
        <v>6</v>
      </c>
      <c r="B48" t="s">
        <v>7</v>
      </c>
      <c r="C48">
        <v>1.07</v>
      </c>
      <c r="D48">
        <v>3.32</v>
      </c>
      <c r="E48">
        <v>52.91</v>
      </c>
      <c r="F48">
        <v>53.286000000000001</v>
      </c>
    </row>
    <row r="49" spans="1:6" x14ac:dyDescent="0.3">
      <c r="A49" t="s">
        <v>6</v>
      </c>
      <c r="B49" t="s">
        <v>8</v>
      </c>
      <c r="C49">
        <v>1.21</v>
      </c>
      <c r="D49">
        <v>1.69</v>
      </c>
      <c r="E49">
        <v>29.46</v>
      </c>
      <c r="F49">
        <v>30.673499999999997</v>
      </c>
    </row>
    <row r="51" spans="1:6" x14ac:dyDescent="0.3">
      <c r="A51" t="s">
        <v>9</v>
      </c>
      <c r="C51">
        <v>1.235625</v>
      </c>
      <c r="D51">
        <v>2.1108333333333329</v>
      </c>
      <c r="E51">
        <v>37.017916666666672</v>
      </c>
      <c r="F51">
        <f>AVERAGE(F2:F49)</f>
        <v>37.853374999999993</v>
      </c>
    </row>
    <row r="52" spans="1:6" x14ac:dyDescent="0.3">
      <c r="A52" t="s">
        <v>10</v>
      </c>
      <c r="C52">
        <v>1.17</v>
      </c>
      <c r="D52">
        <v>1.98</v>
      </c>
      <c r="E52">
        <v>36.019999999999996</v>
      </c>
      <c r="F52">
        <f>MEDIAN(F2:F49)</f>
        <v>36.800249999999991</v>
      </c>
    </row>
    <row r="53" spans="1:6" x14ac:dyDescent="0.3">
      <c r="A53" t="s">
        <v>11</v>
      </c>
      <c r="C53">
        <v>0.21553403492897724</v>
      </c>
      <c r="D53">
        <v>0.61307329516806564</v>
      </c>
      <c r="E53">
        <v>8.2888520259322167</v>
      </c>
      <c r="F53">
        <f>STDEV(F2:F49)</f>
        <v>8.269054188692504</v>
      </c>
    </row>
    <row r="57" spans="1:6" x14ac:dyDescent="0.3">
      <c r="A57" t="s">
        <v>12</v>
      </c>
      <c r="B57" t="s">
        <v>7</v>
      </c>
      <c r="C57">
        <v>1.06</v>
      </c>
      <c r="D57">
        <v>2.96</v>
      </c>
      <c r="E57">
        <v>46.89</v>
      </c>
      <c r="F57">
        <v>47.064</v>
      </c>
    </row>
    <row r="58" spans="1:6" x14ac:dyDescent="0.3">
      <c r="A58" t="s">
        <v>12</v>
      </c>
      <c r="B58" t="s">
        <v>8</v>
      </c>
      <c r="C58">
        <v>1.43</v>
      </c>
      <c r="D58">
        <v>1.65</v>
      </c>
      <c r="E58">
        <v>34.76</v>
      </c>
      <c r="F58">
        <v>35.392499999999998</v>
      </c>
    </row>
    <row r="59" spans="1:6" x14ac:dyDescent="0.3">
      <c r="A59" t="s">
        <v>12</v>
      </c>
      <c r="B59" t="s">
        <v>7</v>
      </c>
      <c r="C59">
        <v>1.1599999999999999</v>
      </c>
      <c r="D59">
        <v>2.6</v>
      </c>
      <c r="E59">
        <v>44.92</v>
      </c>
      <c r="F59">
        <v>45.24</v>
      </c>
    </row>
    <row r="60" spans="1:6" x14ac:dyDescent="0.3">
      <c r="A60" t="s">
        <v>12</v>
      </c>
      <c r="B60" t="s">
        <v>8</v>
      </c>
      <c r="C60">
        <v>1.22</v>
      </c>
      <c r="D60">
        <v>1.55</v>
      </c>
      <c r="E60">
        <v>27.75</v>
      </c>
      <c r="F60">
        <v>28.365000000000002</v>
      </c>
    </row>
    <row r="61" spans="1:6" x14ac:dyDescent="0.3">
      <c r="A61" t="s">
        <v>12</v>
      </c>
      <c r="B61" t="s">
        <v>7</v>
      </c>
      <c r="C61">
        <v>1.04</v>
      </c>
      <c r="D61">
        <v>2.72</v>
      </c>
      <c r="E61">
        <v>41.87</v>
      </c>
      <c r="F61">
        <v>42.432000000000002</v>
      </c>
    </row>
    <row r="62" spans="1:6" x14ac:dyDescent="0.3">
      <c r="A62" t="s">
        <v>12</v>
      </c>
      <c r="B62" t="s">
        <v>8</v>
      </c>
      <c r="C62">
        <v>0.95</v>
      </c>
      <c r="D62">
        <v>2.04</v>
      </c>
      <c r="E62">
        <v>28.82</v>
      </c>
      <c r="F62">
        <v>29.07</v>
      </c>
    </row>
    <row r="63" spans="1:6" x14ac:dyDescent="0.3">
      <c r="A63" t="s">
        <v>12</v>
      </c>
      <c r="B63" t="s">
        <v>7</v>
      </c>
      <c r="C63">
        <v>0.64</v>
      </c>
      <c r="D63">
        <v>3.6</v>
      </c>
      <c r="E63">
        <v>34.68</v>
      </c>
      <c r="F63">
        <v>34.56</v>
      </c>
    </row>
    <row r="64" spans="1:6" x14ac:dyDescent="0.3">
      <c r="A64" t="s">
        <v>12</v>
      </c>
      <c r="B64" t="s">
        <v>8</v>
      </c>
      <c r="C64">
        <v>0.92</v>
      </c>
      <c r="D64">
        <v>1.79</v>
      </c>
      <c r="E64">
        <v>24.46</v>
      </c>
      <c r="F64">
        <v>24.702000000000002</v>
      </c>
    </row>
    <row r="65" spans="1:6" x14ac:dyDescent="0.3">
      <c r="A65" t="s">
        <v>12</v>
      </c>
      <c r="B65" t="s">
        <v>7</v>
      </c>
      <c r="C65">
        <v>1.1399999999999999</v>
      </c>
      <c r="D65">
        <v>2.91</v>
      </c>
      <c r="E65">
        <v>47.93</v>
      </c>
      <c r="F65">
        <v>49.760999999999996</v>
      </c>
    </row>
    <row r="66" spans="1:6" x14ac:dyDescent="0.3">
      <c r="A66" t="s">
        <v>12</v>
      </c>
      <c r="B66" t="s">
        <v>8</v>
      </c>
      <c r="C66">
        <v>1.21</v>
      </c>
      <c r="D66">
        <v>1.62</v>
      </c>
      <c r="E66">
        <v>28.69</v>
      </c>
      <c r="F66">
        <v>29.403000000000002</v>
      </c>
    </row>
    <row r="67" spans="1:6" x14ac:dyDescent="0.3">
      <c r="A67" t="s">
        <v>12</v>
      </c>
      <c r="B67" t="s">
        <v>7</v>
      </c>
      <c r="C67">
        <v>1.0900000000000001</v>
      </c>
      <c r="D67">
        <v>2.79</v>
      </c>
      <c r="E67">
        <v>44.71</v>
      </c>
      <c r="F67">
        <v>45.616500000000002</v>
      </c>
    </row>
    <row r="68" spans="1:6" x14ac:dyDescent="0.3">
      <c r="A68" t="s">
        <v>12</v>
      </c>
      <c r="B68" t="s">
        <v>8</v>
      </c>
      <c r="C68">
        <v>1.42</v>
      </c>
      <c r="D68">
        <v>1.72</v>
      </c>
      <c r="E68">
        <v>36.22</v>
      </c>
      <c r="F68">
        <v>36.635999999999996</v>
      </c>
    </row>
    <row r="69" spans="1:6" x14ac:dyDescent="0.3">
      <c r="A69" t="s">
        <v>12</v>
      </c>
      <c r="B69" t="s">
        <v>7</v>
      </c>
      <c r="C69">
        <v>0.9</v>
      </c>
      <c r="D69">
        <v>3.32</v>
      </c>
      <c r="E69">
        <v>44.57</v>
      </c>
      <c r="F69">
        <v>44.82</v>
      </c>
    </row>
    <row r="70" spans="1:6" x14ac:dyDescent="0.3">
      <c r="A70" t="s">
        <v>12</v>
      </c>
      <c r="B70" t="s">
        <v>8</v>
      </c>
      <c r="C70">
        <v>1.17</v>
      </c>
      <c r="D70">
        <v>1.66</v>
      </c>
      <c r="E70">
        <v>28.33</v>
      </c>
      <c r="F70">
        <v>29.132999999999996</v>
      </c>
    </row>
    <row r="71" spans="1:6" x14ac:dyDescent="0.3">
      <c r="A71" t="s">
        <v>12</v>
      </c>
      <c r="B71" t="s">
        <v>7</v>
      </c>
      <c r="C71">
        <v>1.05</v>
      </c>
      <c r="D71">
        <v>2.5</v>
      </c>
      <c r="E71">
        <v>38.89</v>
      </c>
      <c r="F71">
        <v>39.375</v>
      </c>
    </row>
    <row r="72" spans="1:6" x14ac:dyDescent="0.3">
      <c r="A72" t="s">
        <v>12</v>
      </c>
      <c r="B72" t="s">
        <v>8</v>
      </c>
      <c r="C72">
        <v>0.92</v>
      </c>
      <c r="D72">
        <v>1.66</v>
      </c>
      <c r="E72">
        <v>22.88</v>
      </c>
      <c r="F72">
        <v>22.907999999999998</v>
      </c>
    </row>
    <row r="73" spans="1:6" x14ac:dyDescent="0.3">
      <c r="A73" t="s">
        <v>12</v>
      </c>
      <c r="B73" t="s">
        <v>7</v>
      </c>
      <c r="C73">
        <v>1.34</v>
      </c>
      <c r="D73">
        <v>2.21</v>
      </c>
      <c r="E73">
        <v>43.95</v>
      </c>
      <c r="F73">
        <v>44.421000000000006</v>
      </c>
    </row>
    <row r="74" spans="1:6" x14ac:dyDescent="0.3">
      <c r="A74" t="s">
        <v>12</v>
      </c>
      <c r="B74" t="s">
        <v>8</v>
      </c>
      <c r="C74">
        <v>1.22</v>
      </c>
      <c r="D74">
        <v>1.61</v>
      </c>
      <c r="E74">
        <v>29.05</v>
      </c>
      <c r="F74">
        <v>29.463000000000001</v>
      </c>
    </row>
    <row r="75" spans="1:6" x14ac:dyDescent="0.3">
      <c r="A75" t="s">
        <v>12</v>
      </c>
      <c r="B75" t="s">
        <v>7</v>
      </c>
      <c r="C75">
        <v>0.96</v>
      </c>
      <c r="D75">
        <v>2.5299999999999998</v>
      </c>
      <c r="E75">
        <v>36.01</v>
      </c>
      <c r="F75">
        <v>36.431999999999995</v>
      </c>
    </row>
    <row r="76" spans="1:6" x14ac:dyDescent="0.3">
      <c r="A76" t="s">
        <v>12</v>
      </c>
      <c r="B76" t="s">
        <v>8</v>
      </c>
      <c r="C76">
        <v>1.1599999999999999</v>
      </c>
      <c r="D76">
        <v>1.43</v>
      </c>
      <c r="E76">
        <v>24.56</v>
      </c>
      <c r="F76">
        <v>24.881999999999998</v>
      </c>
    </row>
    <row r="77" spans="1:6" x14ac:dyDescent="0.3">
      <c r="A77" t="s">
        <v>12</v>
      </c>
      <c r="B77" t="s">
        <v>7</v>
      </c>
      <c r="C77">
        <v>0.95</v>
      </c>
      <c r="D77">
        <v>3.21</v>
      </c>
      <c r="E77">
        <v>45.51</v>
      </c>
      <c r="F77">
        <v>45.742499999999993</v>
      </c>
    </row>
    <row r="78" spans="1:6" x14ac:dyDescent="0.3">
      <c r="A78" t="s">
        <v>12</v>
      </c>
      <c r="B78" t="s">
        <v>8</v>
      </c>
      <c r="C78">
        <v>0.89</v>
      </c>
      <c r="D78">
        <v>1.78</v>
      </c>
      <c r="E78">
        <v>22.65</v>
      </c>
      <c r="F78">
        <v>23.763000000000002</v>
      </c>
    </row>
    <row r="79" spans="1:6" x14ac:dyDescent="0.3">
      <c r="A79" t="s">
        <v>12</v>
      </c>
      <c r="B79" t="s">
        <v>7</v>
      </c>
      <c r="C79">
        <v>0.97</v>
      </c>
      <c r="D79">
        <v>2.69</v>
      </c>
      <c r="E79">
        <v>37.340000000000003</v>
      </c>
      <c r="F79">
        <v>39.139499999999998</v>
      </c>
    </row>
    <row r="80" spans="1:6" x14ac:dyDescent="0.3">
      <c r="A80" t="s">
        <v>12</v>
      </c>
      <c r="B80" t="s">
        <v>7</v>
      </c>
      <c r="C80">
        <v>0.9</v>
      </c>
      <c r="D80">
        <v>2.99</v>
      </c>
      <c r="E80">
        <v>40.33</v>
      </c>
      <c r="F80">
        <v>40.365000000000002</v>
      </c>
    </row>
    <row r="81" spans="1:6" x14ac:dyDescent="0.3">
      <c r="A81" t="s">
        <v>12</v>
      </c>
      <c r="B81" t="s">
        <v>8</v>
      </c>
      <c r="C81">
        <v>1.1599999999999999</v>
      </c>
      <c r="D81">
        <v>1.32</v>
      </c>
      <c r="E81">
        <v>22.21</v>
      </c>
      <c r="F81">
        <v>22.968</v>
      </c>
    </row>
    <row r="82" spans="1:6" x14ac:dyDescent="0.3">
      <c r="A82" t="s">
        <v>12</v>
      </c>
      <c r="B82" t="s">
        <v>7</v>
      </c>
      <c r="C82">
        <v>0.95</v>
      </c>
      <c r="D82">
        <v>2.91</v>
      </c>
      <c r="E82">
        <v>40.619999999999997</v>
      </c>
      <c r="F82">
        <v>41.467500000000001</v>
      </c>
    </row>
    <row r="83" spans="1:6" x14ac:dyDescent="0.3">
      <c r="A83" t="s">
        <v>12</v>
      </c>
      <c r="B83" t="s">
        <v>8</v>
      </c>
      <c r="C83">
        <v>1.21</v>
      </c>
      <c r="D83">
        <v>1.57</v>
      </c>
      <c r="E83">
        <v>26.94</v>
      </c>
      <c r="F83">
        <v>28.4955</v>
      </c>
    </row>
    <row r="84" spans="1:6" x14ac:dyDescent="0.3">
      <c r="A84" t="s">
        <v>12</v>
      </c>
      <c r="B84" t="s">
        <v>7</v>
      </c>
      <c r="C84">
        <v>1.1000000000000001</v>
      </c>
      <c r="D84">
        <v>2.4900000000000002</v>
      </c>
      <c r="E84">
        <v>40.700000000000003</v>
      </c>
      <c r="F84">
        <v>41.085000000000008</v>
      </c>
    </row>
    <row r="85" spans="1:6" x14ac:dyDescent="0.3">
      <c r="A85" t="s">
        <v>12</v>
      </c>
      <c r="B85" t="s">
        <v>8</v>
      </c>
      <c r="C85">
        <v>0.97</v>
      </c>
      <c r="D85">
        <v>1.79</v>
      </c>
      <c r="E85">
        <v>25.76</v>
      </c>
      <c r="F85">
        <v>26.044499999999999</v>
      </c>
    </row>
    <row r="86" spans="1:6" x14ac:dyDescent="0.3">
      <c r="A86" t="s">
        <v>12</v>
      </c>
      <c r="B86" t="s">
        <v>7</v>
      </c>
      <c r="C86">
        <v>1.31</v>
      </c>
      <c r="D86">
        <v>2.2200000000000002</v>
      </c>
      <c r="E86">
        <v>43.2</v>
      </c>
      <c r="F86">
        <v>43.623000000000005</v>
      </c>
    </row>
    <row r="87" spans="1:6" x14ac:dyDescent="0.3">
      <c r="A87" t="s">
        <v>12</v>
      </c>
      <c r="B87" t="s">
        <v>8</v>
      </c>
      <c r="C87">
        <v>1.3</v>
      </c>
      <c r="D87">
        <v>1.6</v>
      </c>
      <c r="E87">
        <v>30.91</v>
      </c>
      <c r="F87">
        <v>31.200000000000003</v>
      </c>
    </row>
    <row r="88" spans="1:6" x14ac:dyDescent="0.3">
      <c r="A88" t="s">
        <v>12</v>
      </c>
      <c r="B88" t="s">
        <v>7</v>
      </c>
      <c r="C88">
        <v>0.79</v>
      </c>
      <c r="D88">
        <v>3.9</v>
      </c>
      <c r="E88">
        <v>46.07</v>
      </c>
      <c r="F88">
        <v>46.214999999999996</v>
      </c>
    </row>
    <row r="89" spans="1:6" x14ac:dyDescent="0.3">
      <c r="A89" t="s">
        <v>12</v>
      </c>
      <c r="B89" t="s">
        <v>8</v>
      </c>
      <c r="C89">
        <v>1.1100000000000001</v>
      </c>
      <c r="D89">
        <v>2.35</v>
      </c>
      <c r="E89">
        <v>38.450000000000003</v>
      </c>
      <c r="F89">
        <v>39.127500000000005</v>
      </c>
    </row>
    <row r="90" spans="1:6" x14ac:dyDescent="0.3">
      <c r="A90" t="s">
        <v>12</v>
      </c>
      <c r="B90" t="s">
        <v>7</v>
      </c>
      <c r="C90">
        <v>0.95</v>
      </c>
      <c r="D90">
        <v>2.41</v>
      </c>
      <c r="E90">
        <v>34.08</v>
      </c>
      <c r="F90">
        <v>34.342500000000001</v>
      </c>
    </row>
    <row r="91" spans="1:6" x14ac:dyDescent="0.3">
      <c r="A91" t="s">
        <v>12</v>
      </c>
      <c r="B91" t="s">
        <v>8</v>
      </c>
      <c r="C91">
        <v>1.02</v>
      </c>
      <c r="D91">
        <v>1.49</v>
      </c>
      <c r="E91">
        <v>20.84</v>
      </c>
      <c r="F91">
        <v>22.797000000000001</v>
      </c>
    </row>
    <row r="92" spans="1:6" x14ac:dyDescent="0.3">
      <c r="A92" t="s">
        <v>12</v>
      </c>
      <c r="B92" t="s">
        <v>7</v>
      </c>
      <c r="C92">
        <v>0.85</v>
      </c>
      <c r="D92">
        <v>2.75</v>
      </c>
      <c r="E92">
        <v>34.94</v>
      </c>
      <c r="F92">
        <v>35.0625</v>
      </c>
    </row>
    <row r="93" spans="1:6" x14ac:dyDescent="0.3">
      <c r="A93" t="s">
        <v>12</v>
      </c>
      <c r="B93" t="s">
        <v>7</v>
      </c>
      <c r="C93">
        <v>1.08</v>
      </c>
      <c r="D93">
        <v>3.27</v>
      </c>
      <c r="E93">
        <v>52.58</v>
      </c>
      <c r="F93">
        <v>52.974000000000004</v>
      </c>
    </row>
    <row r="94" spans="1:6" x14ac:dyDescent="0.3">
      <c r="A94" t="s">
        <v>12</v>
      </c>
      <c r="B94" t="s">
        <v>8</v>
      </c>
      <c r="C94">
        <v>1.56</v>
      </c>
      <c r="D94">
        <v>1.6</v>
      </c>
      <c r="E94">
        <v>36.83</v>
      </c>
      <c r="F94">
        <v>37.440000000000005</v>
      </c>
    </row>
    <row r="95" spans="1:6" x14ac:dyDescent="0.3">
      <c r="A95" t="s">
        <v>12</v>
      </c>
      <c r="B95" t="s">
        <v>7</v>
      </c>
      <c r="C95">
        <v>0.84</v>
      </c>
      <c r="D95">
        <v>2.87</v>
      </c>
      <c r="E95">
        <v>34.31</v>
      </c>
      <c r="F95">
        <v>36.161999999999999</v>
      </c>
    </row>
    <row r="96" spans="1:6" x14ac:dyDescent="0.3">
      <c r="A96" t="s">
        <v>12</v>
      </c>
      <c r="B96" t="s">
        <v>8</v>
      </c>
      <c r="C96">
        <v>0.87</v>
      </c>
      <c r="D96">
        <v>1.88</v>
      </c>
      <c r="E96">
        <v>23.02</v>
      </c>
      <c r="F96">
        <v>24.533999999999999</v>
      </c>
    </row>
    <row r="97" spans="1:6" x14ac:dyDescent="0.3">
      <c r="A97" t="s">
        <v>12</v>
      </c>
      <c r="B97" t="s">
        <v>7</v>
      </c>
      <c r="C97">
        <v>0.98</v>
      </c>
      <c r="D97">
        <v>3</v>
      </c>
      <c r="E97">
        <v>43.62</v>
      </c>
      <c r="F97">
        <v>44.1</v>
      </c>
    </row>
    <row r="98" spans="1:6" x14ac:dyDescent="0.3">
      <c r="A98" t="s">
        <v>12</v>
      </c>
      <c r="B98" t="s">
        <v>8</v>
      </c>
      <c r="C98">
        <v>1.4</v>
      </c>
      <c r="D98">
        <v>1.72</v>
      </c>
      <c r="E98">
        <v>35.090000000000003</v>
      </c>
      <c r="F98">
        <v>36.119999999999997</v>
      </c>
    </row>
    <row r="99" spans="1:6" x14ac:dyDescent="0.3">
      <c r="A99" t="s">
        <v>12</v>
      </c>
      <c r="B99" t="s">
        <v>7</v>
      </c>
      <c r="C99">
        <v>1.1100000000000001</v>
      </c>
      <c r="D99">
        <v>2.61</v>
      </c>
      <c r="E99">
        <v>41.98</v>
      </c>
      <c r="F99">
        <v>43.456499999999998</v>
      </c>
    </row>
    <row r="100" spans="1:6" x14ac:dyDescent="0.3">
      <c r="A100" t="s">
        <v>12</v>
      </c>
      <c r="B100" t="s">
        <v>8</v>
      </c>
      <c r="C100">
        <v>1.26</v>
      </c>
      <c r="D100">
        <v>1.58</v>
      </c>
      <c r="E100">
        <v>29.08</v>
      </c>
      <c r="F100">
        <v>29.862000000000002</v>
      </c>
    </row>
    <row r="101" spans="1:6" x14ac:dyDescent="0.3">
      <c r="A101" t="s">
        <v>12</v>
      </c>
      <c r="B101" t="s">
        <v>7</v>
      </c>
      <c r="C101">
        <v>0.98</v>
      </c>
      <c r="D101">
        <v>3.23</v>
      </c>
      <c r="E101">
        <v>46.84</v>
      </c>
      <c r="F101">
        <v>47.481000000000002</v>
      </c>
    </row>
    <row r="103" spans="1:6" x14ac:dyDescent="0.3">
      <c r="A103" t="s">
        <v>9</v>
      </c>
      <c r="C103">
        <v>1.0779999999999998</v>
      </c>
      <c r="D103">
        <v>2.313333333333333</v>
      </c>
      <c r="E103">
        <v>35.640888888888874</v>
      </c>
      <c r="F103">
        <f>AVERAGE(F57:F101)</f>
        <v>36.2943</v>
      </c>
    </row>
    <row r="104" spans="1:6" x14ac:dyDescent="0.3">
      <c r="A104" t="s">
        <v>10</v>
      </c>
      <c r="C104">
        <v>1.06</v>
      </c>
      <c r="D104">
        <v>2.35</v>
      </c>
      <c r="E104">
        <v>36.01</v>
      </c>
      <c r="F104">
        <f>MEDIAN(F57:F101)</f>
        <v>36.431999999999995</v>
      </c>
    </row>
    <row r="105" spans="1:6" x14ac:dyDescent="0.3">
      <c r="A105" t="s">
        <v>13</v>
      </c>
      <c r="C105">
        <v>0.19041342580625253</v>
      </c>
      <c r="D105">
        <v>0.68019382264442763</v>
      </c>
      <c r="E105">
        <v>8.4560303447847076</v>
      </c>
      <c r="F105">
        <f>STDEV(F57:F101)</f>
        <v>8.3839960486144065</v>
      </c>
    </row>
    <row r="108" spans="1:6" x14ac:dyDescent="0.3">
      <c r="A108" t="s">
        <v>14</v>
      </c>
      <c r="B108" t="s">
        <v>7</v>
      </c>
      <c r="C108">
        <v>1.19</v>
      </c>
      <c r="D108">
        <v>1.63</v>
      </c>
      <c r="E108">
        <v>28.77</v>
      </c>
      <c r="F108">
        <v>29.095499999999998</v>
      </c>
    </row>
    <row r="109" spans="1:6" x14ac:dyDescent="0.3">
      <c r="A109" t="s">
        <v>14</v>
      </c>
      <c r="B109" t="s">
        <v>8</v>
      </c>
      <c r="C109">
        <v>1.31</v>
      </c>
      <c r="D109">
        <v>1.56</v>
      </c>
      <c r="E109">
        <v>30.4</v>
      </c>
      <c r="F109">
        <v>30.654</v>
      </c>
    </row>
    <row r="110" spans="1:6" x14ac:dyDescent="0.3">
      <c r="A110" t="s">
        <v>14</v>
      </c>
      <c r="B110" t="s">
        <v>7</v>
      </c>
      <c r="C110">
        <v>1.21</v>
      </c>
      <c r="D110">
        <v>1.64</v>
      </c>
      <c r="E110">
        <v>29.17</v>
      </c>
      <c r="F110">
        <v>29.765999999999995</v>
      </c>
    </row>
    <row r="111" spans="1:6" x14ac:dyDescent="0.3">
      <c r="A111" t="s">
        <v>14</v>
      </c>
      <c r="B111" t="s">
        <v>8</v>
      </c>
      <c r="C111">
        <v>1.4</v>
      </c>
      <c r="D111">
        <v>1.24</v>
      </c>
      <c r="E111">
        <v>25.03</v>
      </c>
      <c r="F111">
        <v>26.04</v>
      </c>
    </row>
    <row r="112" spans="1:6" x14ac:dyDescent="0.3">
      <c r="A112" t="s">
        <v>14</v>
      </c>
      <c r="B112" t="s">
        <v>7</v>
      </c>
      <c r="C112">
        <v>1.27</v>
      </c>
      <c r="D112">
        <v>1.54</v>
      </c>
      <c r="E112">
        <v>28.5</v>
      </c>
      <c r="F112">
        <v>29.337</v>
      </c>
    </row>
    <row r="113" spans="1:6" x14ac:dyDescent="0.3">
      <c r="A113" t="s">
        <v>14</v>
      </c>
      <c r="B113" t="s">
        <v>8</v>
      </c>
      <c r="C113">
        <v>1.19</v>
      </c>
      <c r="D113">
        <v>1.23</v>
      </c>
      <c r="E113">
        <v>20.59</v>
      </c>
      <c r="F113">
        <v>21.955500000000001</v>
      </c>
    </row>
    <row r="114" spans="1:6" x14ac:dyDescent="0.3">
      <c r="A114" t="s">
        <v>14</v>
      </c>
      <c r="B114" t="s">
        <v>7</v>
      </c>
      <c r="C114">
        <v>1.1299999999999999</v>
      </c>
      <c r="D114">
        <v>1.79</v>
      </c>
      <c r="E114">
        <v>29.72</v>
      </c>
      <c r="F114">
        <v>30.340499999999999</v>
      </c>
    </row>
    <row r="115" spans="1:6" x14ac:dyDescent="0.3">
      <c r="A115" t="s">
        <v>14</v>
      </c>
      <c r="B115" t="s">
        <v>8</v>
      </c>
      <c r="C115">
        <v>1.1299999999999999</v>
      </c>
      <c r="D115">
        <v>1.58</v>
      </c>
      <c r="E115">
        <v>25.97</v>
      </c>
      <c r="F115">
        <v>26.780999999999999</v>
      </c>
    </row>
    <row r="116" spans="1:6" x14ac:dyDescent="0.3">
      <c r="A116" t="s">
        <v>14</v>
      </c>
      <c r="B116" t="s">
        <v>7</v>
      </c>
      <c r="C116">
        <v>1.39</v>
      </c>
      <c r="D116">
        <v>1.79</v>
      </c>
      <c r="E116">
        <v>35.770000000000003</v>
      </c>
      <c r="F116">
        <v>37.321499999999993</v>
      </c>
    </row>
    <row r="117" spans="1:6" x14ac:dyDescent="0.3">
      <c r="A117" t="s">
        <v>14</v>
      </c>
      <c r="B117" t="s">
        <v>8</v>
      </c>
      <c r="C117">
        <v>1.31</v>
      </c>
      <c r="D117">
        <v>1.28</v>
      </c>
      <c r="E117">
        <v>24.55</v>
      </c>
      <c r="F117">
        <v>25.152000000000001</v>
      </c>
    </row>
    <row r="118" spans="1:6" x14ac:dyDescent="0.3">
      <c r="A118" t="s">
        <v>14</v>
      </c>
      <c r="B118" t="s">
        <v>7</v>
      </c>
      <c r="C118">
        <v>1.19</v>
      </c>
      <c r="D118">
        <v>1.85</v>
      </c>
      <c r="E118">
        <v>32.97</v>
      </c>
      <c r="F118">
        <v>33.022499999999994</v>
      </c>
    </row>
    <row r="119" spans="1:6" x14ac:dyDescent="0.3">
      <c r="A119" t="s">
        <v>14</v>
      </c>
      <c r="B119" t="s">
        <v>8</v>
      </c>
      <c r="C119">
        <v>1.59</v>
      </c>
      <c r="D119">
        <v>1.52</v>
      </c>
      <c r="E119">
        <v>33.4</v>
      </c>
      <c r="F119">
        <v>36.252000000000002</v>
      </c>
    </row>
    <row r="120" spans="1:6" x14ac:dyDescent="0.3">
      <c r="A120" t="s">
        <v>14</v>
      </c>
      <c r="B120" t="s">
        <v>7</v>
      </c>
      <c r="C120">
        <v>1.23</v>
      </c>
      <c r="D120">
        <v>1.82</v>
      </c>
      <c r="E120">
        <v>31.96</v>
      </c>
      <c r="F120">
        <v>33.579000000000001</v>
      </c>
    </row>
    <row r="121" spans="1:6" x14ac:dyDescent="0.3">
      <c r="A121" t="s">
        <v>14</v>
      </c>
      <c r="B121" t="s">
        <v>8</v>
      </c>
      <c r="C121">
        <v>0.97</v>
      </c>
      <c r="D121">
        <v>1.48</v>
      </c>
      <c r="E121">
        <v>19.75</v>
      </c>
      <c r="F121">
        <v>21.533999999999999</v>
      </c>
    </row>
    <row r="122" spans="1:6" x14ac:dyDescent="0.3">
      <c r="A122" t="s">
        <v>14</v>
      </c>
      <c r="B122" t="s">
        <v>7</v>
      </c>
      <c r="C122">
        <v>0.56999999999999995</v>
      </c>
      <c r="D122">
        <v>0.96</v>
      </c>
      <c r="E122">
        <v>7.73</v>
      </c>
      <c r="F122">
        <v>8.2079999999999984</v>
      </c>
    </row>
    <row r="123" spans="1:6" x14ac:dyDescent="0.3">
      <c r="A123" t="s">
        <v>14</v>
      </c>
      <c r="B123" t="s">
        <v>7</v>
      </c>
      <c r="C123">
        <v>1.48</v>
      </c>
      <c r="D123">
        <v>2.25</v>
      </c>
      <c r="E123">
        <v>48.97</v>
      </c>
      <c r="F123">
        <v>49.95</v>
      </c>
    </row>
    <row r="124" spans="1:6" x14ac:dyDescent="0.3">
      <c r="A124" t="s">
        <v>14</v>
      </c>
      <c r="B124" t="s">
        <v>8</v>
      </c>
      <c r="C124">
        <v>1.44</v>
      </c>
      <c r="D124">
        <v>1.54</v>
      </c>
      <c r="E124">
        <v>32.659999999999997</v>
      </c>
      <c r="F124">
        <v>33.264000000000003</v>
      </c>
    </row>
    <row r="125" spans="1:6" x14ac:dyDescent="0.3">
      <c r="A125" t="s">
        <v>14</v>
      </c>
      <c r="B125" t="s">
        <v>7</v>
      </c>
      <c r="C125">
        <v>0.69</v>
      </c>
      <c r="D125">
        <v>1.45</v>
      </c>
      <c r="E125">
        <v>14.24</v>
      </c>
      <c r="F125">
        <v>15.007499999999999</v>
      </c>
    </row>
    <row r="126" spans="1:6" x14ac:dyDescent="0.3">
      <c r="A126" t="s">
        <v>14</v>
      </c>
      <c r="B126" t="s">
        <v>8</v>
      </c>
      <c r="C126">
        <v>1.41</v>
      </c>
      <c r="D126">
        <v>0.82</v>
      </c>
      <c r="E126">
        <v>15.89</v>
      </c>
      <c r="F126">
        <v>17.343</v>
      </c>
    </row>
    <row r="127" spans="1:6" x14ac:dyDescent="0.3">
      <c r="A127" t="s">
        <v>14</v>
      </c>
      <c r="B127" t="s">
        <v>7</v>
      </c>
      <c r="C127">
        <v>1.07</v>
      </c>
      <c r="D127">
        <v>1.75</v>
      </c>
      <c r="E127">
        <v>26.7</v>
      </c>
      <c r="F127">
        <v>28.087500000000002</v>
      </c>
    </row>
    <row r="128" spans="1:6" x14ac:dyDescent="0.3">
      <c r="A128" t="s">
        <v>14</v>
      </c>
      <c r="B128" t="s">
        <v>8</v>
      </c>
      <c r="C128">
        <v>0.98</v>
      </c>
      <c r="D128">
        <v>0.95</v>
      </c>
      <c r="E128">
        <v>13.16</v>
      </c>
      <c r="F128">
        <v>13.965</v>
      </c>
    </row>
    <row r="129" spans="1:6" x14ac:dyDescent="0.3">
      <c r="A129" t="s">
        <v>14</v>
      </c>
      <c r="B129" t="s">
        <v>7</v>
      </c>
      <c r="C129">
        <v>1.08</v>
      </c>
      <c r="D129">
        <v>1.91</v>
      </c>
      <c r="E129">
        <v>30.43</v>
      </c>
      <c r="F129">
        <v>30.942000000000004</v>
      </c>
    </row>
    <row r="130" spans="1:6" x14ac:dyDescent="0.3">
      <c r="A130" t="s">
        <v>14</v>
      </c>
      <c r="B130" t="s">
        <v>8</v>
      </c>
      <c r="C130">
        <v>1.25</v>
      </c>
      <c r="D130">
        <v>1.76</v>
      </c>
      <c r="E130">
        <v>30.25</v>
      </c>
      <c r="F130">
        <v>33</v>
      </c>
    </row>
    <row r="131" spans="1:6" x14ac:dyDescent="0.3">
      <c r="A131" t="s">
        <v>14</v>
      </c>
      <c r="B131" t="s">
        <v>7</v>
      </c>
      <c r="C131">
        <v>1.29</v>
      </c>
      <c r="D131">
        <v>1.56</v>
      </c>
      <c r="E131">
        <v>29.38</v>
      </c>
      <c r="F131">
        <v>30.186</v>
      </c>
    </row>
    <row r="132" spans="1:6" x14ac:dyDescent="0.3">
      <c r="A132" t="s">
        <v>14</v>
      </c>
      <c r="B132" t="s">
        <v>8</v>
      </c>
      <c r="C132">
        <v>1.41</v>
      </c>
      <c r="D132">
        <v>1.41</v>
      </c>
      <c r="E132">
        <v>29.09</v>
      </c>
      <c r="F132">
        <v>29.821499999999997</v>
      </c>
    </row>
    <row r="133" spans="1:6" x14ac:dyDescent="0.3">
      <c r="A133" t="s">
        <v>14</v>
      </c>
      <c r="B133" t="s">
        <v>7</v>
      </c>
      <c r="C133">
        <v>1.1599999999999999</v>
      </c>
      <c r="D133">
        <v>1.78</v>
      </c>
      <c r="E133">
        <v>29.54</v>
      </c>
      <c r="F133">
        <v>30.972000000000001</v>
      </c>
    </row>
    <row r="134" spans="1:6" x14ac:dyDescent="0.3">
      <c r="A134" t="s">
        <v>14</v>
      </c>
      <c r="B134" t="s">
        <v>8</v>
      </c>
      <c r="C134">
        <v>1.18</v>
      </c>
      <c r="D134">
        <v>1.68</v>
      </c>
      <c r="E134">
        <v>27.2</v>
      </c>
      <c r="F134">
        <v>29.735999999999997</v>
      </c>
    </row>
    <row r="135" spans="1:6" x14ac:dyDescent="0.3">
      <c r="A135" t="s">
        <v>14</v>
      </c>
      <c r="B135" t="s">
        <v>7</v>
      </c>
      <c r="C135">
        <v>1</v>
      </c>
      <c r="D135">
        <v>1.93</v>
      </c>
      <c r="E135">
        <v>28.86</v>
      </c>
      <c r="F135">
        <v>28.95</v>
      </c>
    </row>
    <row r="136" spans="1:6" x14ac:dyDescent="0.3">
      <c r="A136" t="s">
        <v>14</v>
      </c>
      <c r="B136" t="s">
        <v>8</v>
      </c>
      <c r="C136">
        <v>1.07</v>
      </c>
      <c r="D136">
        <v>1.51</v>
      </c>
      <c r="E136">
        <v>23.5</v>
      </c>
      <c r="F136">
        <v>24.235500000000002</v>
      </c>
    </row>
    <row r="137" spans="1:6" x14ac:dyDescent="0.3">
      <c r="A137" t="s">
        <v>14</v>
      </c>
      <c r="B137" t="s">
        <v>7</v>
      </c>
      <c r="C137">
        <v>0.67</v>
      </c>
      <c r="D137">
        <v>1.83</v>
      </c>
      <c r="E137">
        <v>17.91</v>
      </c>
      <c r="F137">
        <v>18.391500000000004</v>
      </c>
    </row>
    <row r="138" spans="1:6" x14ac:dyDescent="0.3">
      <c r="A138" t="s">
        <v>14</v>
      </c>
      <c r="B138" t="s">
        <v>8</v>
      </c>
      <c r="C138">
        <v>1.48</v>
      </c>
      <c r="D138">
        <v>1.59</v>
      </c>
      <c r="E138">
        <v>33.28</v>
      </c>
      <c r="F138">
        <v>35.298000000000002</v>
      </c>
    </row>
    <row r="139" spans="1:6" x14ac:dyDescent="0.3">
      <c r="A139" t="s">
        <v>14</v>
      </c>
      <c r="B139" t="s">
        <v>7</v>
      </c>
      <c r="C139">
        <v>1.07</v>
      </c>
      <c r="D139">
        <v>1.86</v>
      </c>
      <c r="E139">
        <v>29.14</v>
      </c>
      <c r="F139">
        <v>29.853000000000002</v>
      </c>
    </row>
    <row r="140" spans="1:6" x14ac:dyDescent="0.3">
      <c r="A140" t="s">
        <v>14</v>
      </c>
      <c r="B140" t="s">
        <v>8</v>
      </c>
      <c r="C140">
        <v>1.27</v>
      </c>
      <c r="D140">
        <v>1.55</v>
      </c>
      <c r="E140">
        <v>28.88</v>
      </c>
      <c r="F140">
        <v>29.527500000000003</v>
      </c>
    </row>
    <row r="141" spans="1:6" x14ac:dyDescent="0.3">
      <c r="A141" t="s">
        <v>14</v>
      </c>
      <c r="B141" t="s">
        <v>7</v>
      </c>
      <c r="C141">
        <v>1.22</v>
      </c>
      <c r="D141">
        <v>1.72</v>
      </c>
      <c r="E141">
        <v>30.9</v>
      </c>
      <c r="F141">
        <v>31.475999999999999</v>
      </c>
    </row>
    <row r="142" spans="1:6" x14ac:dyDescent="0.3">
      <c r="A142" t="s">
        <v>14</v>
      </c>
      <c r="B142" t="s">
        <v>8</v>
      </c>
      <c r="C142">
        <v>1.43</v>
      </c>
      <c r="D142">
        <v>1.55</v>
      </c>
      <c r="E142">
        <v>32.51</v>
      </c>
      <c r="F142">
        <v>33.247500000000002</v>
      </c>
    </row>
    <row r="143" spans="1:6" x14ac:dyDescent="0.3">
      <c r="A143" t="s">
        <v>14</v>
      </c>
      <c r="B143" t="s">
        <v>7</v>
      </c>
      <c r="C143">
        <v>1.34</v>
      </c>
      <c r="D143">
        <v>1.63</v>
      </c>
      <c r="E143">
        <v>32.17</v>
      </c>
      <c r="F143">
        <v>32.763000000000005</v>
      </c>
    </row>
    <row r="144" spans="1:6" x14ac:dyDescent="0.3">
      <c r="A144" t="s">
        <v>14</v>
      </c>
      <c r="B144" t="s">
        <v>8</v>
      </c>
      <c r="C144">
        <v>1.42</v>
      </c>
      <c r="D144">
        <v>1.47</v>
      </c>
      <c r="E144">
        <v>30.87</v>
      </c>
      <c r="F144">
        <v>31.310999999999996</v>
      </c>
    </row>
    <row r="145" spans="1:6" x14ac:dyDescent="0.3">
      <c r="A145" t="s">
        <v>14</v>
      </c>
      <c r="B145" t="s">
        <v>7</v>
      </c>
      <c r="C145">
        <v>1.38</v>
      </c>
      <c r="D145">
        <v>1.74</v>
      </c>
      <c r="E145">
        <v>35.53</v>
      </c>
      <c r="F145">
        <v>36.017999999999994</v>
      </c>
    </row>
    <row r="146" spans="1:6" x14ac:dyDescent="0.3">
      <c r="A146" t="s">
        <v>14</v>
      </c>
      <c r="B146" t="s">
        <v>8</v>
      </c>
      <c r="C146">
        <v>1.43</v>
      </c>
      <c r="D146">
        <v>1.48</v>
      </c>
      <c r="E146">
        <v>30.47</v>
      </c>
      <c r="F146">
        <v>31.746000000000002</v>
      </c>
    </row>
    <row r="147" spans="1:6" x14ac:dyDescent="0.3">
      <c r="A147" t="s">
        <v>14</v>
      </c>
      <c r="B147" t="s">
        <v>7</v>
      </c>
      <c r="C147">
        <v>1.38</v>
      </c>
      <c r="D147">
        <v>1.58</v>
      </c>
      <c r="E147">
        <v>29.83</v>
      </c>
      <c r="F147">
        <v>32.706000000000003</v>
      </c>
    </row>
    <row r="148" spans="1:6" x14ac:dyDescent="0.3">
      <c r="A148" t="s">
        <v>14</v>
      </c>
      <c r="B148" t="s">
        <v>8</v>
      </c>
      <c r="C148">
        <v>1.42</v>
      </c>
      <c r="D148">
        <v>1.72</v>
      </c>
      <c r="E148">
        <v>34.93</v>
      </c>
      <c r="F148">
        <v>36.635999999999996</v>
      </c>
    </row>
    <row r="149" spans="1:6" x14ac:dyDescent="0.3">
      <c r="A149" t="s">
        <v>14</v>
      </c>
      <c r="B149" t="s">
        <v>7</v>
      </c>
      <c r="C149">
        <v>1.27</v>
      </c>
      <c r="D149">
        <v>1.65</v>
      </c>
      <c r="E149">
        <v>30.28</v>
      </c>
      <c r="F149">
        <v>31.432499999999997</v>
      </c>
    </row>
    <row r="150" spans="1:6" x14ac:dyDescent="0.3">
      <c r="A150" t="s">
        <v>14</v>
      </c>
      <c r="B150" t="s">
        <v>8</v>
      </c>
      <c r="C150">
        <v>0.96</v>
      </c>
      <c r="D150">
        <v>1.46</v>
      </c>
      <c r="E150">
        <v>19.79</v>
      </c>
      <c r="F150">
        <v>21.024000000000001</v>
      </c>
    </row>
    <row r="151" spans="1:6" x14ac:dyDescent="0.3">
      <c r="A151" t="s">
        <v>14</v>
      </c>
      <c r="B151" t="s">
        <v>7</v>
      </c>
      <c r="C151">
        <v>0.97</v>
      </c>
      <c r="D151">
        <v>1.59</v>
      </c>
      <c r="E151">
        <v>22.27</v>
      </c>
      <c r="F151">
        <v>23.134499999999999</v>
      </c>
    </row>
    <row r="152" spans="1:6" x14ac:dyDescent="0.3">
      <c r="A152" t="s">
        <v>14</v>
      </c>
      <c r="B152" t="s">
        <v>8</v>
      </c>
      <c r="C152">
        <v>1.32</v>
      </c>
      <c r="D152">
        <v>1.54</v>
      </c>
      <c r="E152">
        <v>29.85</v>
      </c>
      <c r="F152">
        <v>30.491999999999997</v>
      </c>
    </row>
    <row r="153" spans="1:6" x14ac:dyDescent="0.3">
      <c r="A153" t="s">
        <v>14</v>
      </c>
      <c r="B153" t="s">
        <v>7</v>
      </c>
      <c r="C153">
        <v>1.31</v>
      </c>
      <c r="D153">
        <v>1.84</v>
      </c>
      <c r="E153">
        <v>34.14</v>
      </c>
      <c r="F153">
        <v>36.155999999999999</v>
      </c>
    </row>
    <row r="154" spans="1:6" x14ac:dyDescent="0.3">
      <c r="A154" t="s">
        <v>14</v>
      </c>
      <c r="B154" t="s">
        <v>8</v>
      </c>
      <c r="C154">
        <v>1.43</v>
      </c>
      <c r="D154">
        <v>1.37</v>
      </c>
      <c r="E154">
        <v>28.17</v>
      </c>
      <c r="F154">
        <v>29.386500000000002</v>
      </c>
    </row>
    <row r="155" spans="1:6" x14ac:dyDescent="0.3">
      <c r="A155" t="s">
        <v>14</v>
      </c>
      <c r="B155" t="s">
        <v>7</v>
      </c>
      <c r="C155">
        <v>1.17</v>
      </c>
      <c r="D155">
        <v>1.98</v>
      </c>
      <c r="E155">
        <v>33.450000000000003</v>
      </c>
      <c r="F155">
        <v>34.748999999999995</v>
      </c>
    </row>
    <row r="156" spans="1:6" x14ac:dyDescent="0.3">
      <c r="A156" t="s">
        <v>14</v>
      </c>
      <c r="B156" t="s">
        <v>8</v>
      </c>
      <c r="C156">
        <v>1.46</v>
      </c>
      <c r="D156">
        <v>1.53</v>
      </c>
      <c r="E156">
        <v>32.25</v>
      </c>
      <c r="F156">
        <v>33.506999999999998</v>
      </c>
    </row>
    <row r="157" spans="1:6" x14ac:dyDescent="0.3">
      <c r="A157" t="s">
        <v>14</v>
      </c>
      <c r="B157" t="s">
        <v>7</v>
      </c>
      <c r="C157">
        <v>1.23</v>
      </c>
      <c r="D157">
        <v>1.58</v>
      </c>
      <c r="E157">
        <v>27.41</v>
      </c>
      <c r="F157">
        <v>29.151</v>
      </c>
    </row>
    <row r="158" spans="1:6" x14ac:dyDescent="0.3">
      <c r="A158" t="s">
        <v>14</v>
      </c>
      <c r="B158" t="s">
        <v>8</v>
      </c>
      <c r="C158">
        <v>0.96</v>
      </c>
      <c r="D158">
        <v>1.66</v>
      </c>
      <c r="E158">
        <v>23.05</v>
      </c>
      <c r="F158">
        <v>23.904</v>
      </c>
    </row>
    <row r="159" spans="1:6" x14ac:dyDescent="0.3">
      <c r="A159" t="s">
        <v>14</v>
      </c>
      <c r="B159" t="s">
        <v>7</v>
      </c>
      <c r="C159">
        <v>1.25</v>
      </c>
      <c r="D159">
        <v>1.7</v>
      </c>
      <c r="E159">
        <v>30.66</v>
      </c>
      <c r="F159">
        <v>31.875</v>
      </c>
    </row>
    <row r="160" spans="1:6" x14ac:dyDescent="0.3">
      <c r="A160" t="s">
        <v>14</v>
      </c>
      <c r="B160" t="s">
        <v>8</v>
      </c>
      <c r="C160">
        <v>1.1399999999999999</v>
      </c>
      <c r="D160">
        <v>1.79</v>
      </c>
      <c r="E160">
        <v>30.01</v>
      </c>
      <c r="F160">
        <v>30.608999999999998</v>
      </c>
    </row>
    <row r="161" spans="1:6" x14ac:dyDescent="0.3">
      <c r="A161" t="s">
        <v>14</v>
      </c>
      <c r="B161" t="s">
        <v>7</v>
      </c>
      <c r="C161">
        <v>1.07</v>
      </c>
      <c r="D161">
        <v>1.68</v>
      </c>
      <c r="E161">
        <v>26.48</v>
      </c>
      <c r="F161">
        <v>26.964000000000002</v>
      </c>
    </row>
    <row r="162" spans="1:6" x14ac:dyDescent="0.3">
      <c r="A162" t="s">
        <v>14</v>
      </c>
      <c r="B162" t="s">
        <v>8</v>
      </c>
      <c r="C162">
        <v>1.1100000000000001</v>
      </c>
      <c r="D162">
        <v>1.41</v>
      </c>
      <c r="E162">
        <v>22.34</v>
      </c>
      <c r="F162">
        <v>23.476500000000001</v>
      </c>
    </row>
    <row r="163" spans="1:6" x14ac:dyDescent="0.3">
      <c r="A163" t="s">
        <v>14</v>
      </c>
      <c r="B163" t="s">
        <v>7</v>
      </c>
      <c r="C163">
        <v>1.21</v>
      </c>
      <c r="D163">
        <v>1.56</v>
      </c>
      <c r="E163">
        <v>28.31</v>
      </c>
      <c r="F163">
        <v>28.314</v>
      </c>
    </row>
    <row r="164" spans="1:6" x14ac:dyDescent="0.3">
      <c r="A164" t="s">
        <v>14</v>
      </c>
      <c r="B164" t="s">
        <v>8</v>
      </c>
      <c r="C164">
        <v>1.28</v>
      </c>
      <c r="D164">
        <v>1.56</v>
      </c>
      <c r="E164">
        <v>29.59</v>
      </c>
      <c r="F164">
        <v>29.952000000000002</v>
      </c>
    </row>
    <row r="165" spans="1:6" x14ac:dyDescent="0.3">
      <c r="A165" t="s">
        <v>14</v>
      </c>
      <c r="B165" t="s">
        <v>7</v>
      </c>
      <c r="C165">
        <v>1.44</v>
      </c>
      <c r="D165">
        <v>1.6</v>
      </c>
      <c r="E165">
        <v>34.229999999999997</v>
      </c>
      <c r="F165">
        <v>34.559999999999995</v>
      </c>
    </row>
    <row r="166" spans="1:6" x14ac:dyDescent="0.3">
      <c r="A166" t="s">
        <v>14</v>
      </c>
      <c r="B166" t="s">
        <v>8</v>
      </c>
      <c r="C166">
        <v>1.48</v>
      </c>
      <c r="D166">
        <v>1.39</v>
      </c>
      <c r="E166">
        <v>28.79</v>
      </c>
      <c r="F166">
        <v>30.857999999999997</v>
      </c>
    </row>
    <row r="167" spans="1:6" x14ac:dyDescent="0.3">
      <c r="A167" t="s">
        <v>14</v>
      </c>
      <c r="B167" t="s">
        <v>7</v>
      </c>
      <c r="C167">
        <v>1.2</v>
      </c>
      <c r="D167">
        <v>1.61</v>
      </c>
      <c r="E167">
        <v>26.89</v>
      </c>
      <c r="F167">
        <v>28.98</v>
      </c>
    </row>
    <row r="168" spans="1:6" x14ac:dyDescent="0.3">
      <c r="A168" t="s">
        <v>14</v>
      </c>
      <c r="B168" t="s">
        <v>8</v>
      </c>
      <c r="C168">
        <v>1.25</v>
      </c>
      <c r="D168">
        <v>1.55</v>
      </c>
      <c r="E168">
        <v>28.69</v>
      </c>
      <c r="F168">
        <v>29.0625</v>
      </c>
    </row>
    <row r="169" spans="1:6" x14ac:dyDescent="0.3">
      <c r="A169" t="s">
        <v>14</v>
      </c>
      <c r="B169" t="s">
        <v>7</v>
      </c>
      <c r="C169">
        <v>1.31</v>
      </c>
      <c r="D169">
        <v>1.71</v>
      </c>
      <c r="E169">
        <v>33.04</v>
      </c>
      <c r="F169">
        <v>33.601500000000001</v>
      </c>
    </row>
    <row r="170" spans="1:6" x14ac:dyDescent="0.3">
      <c r="A170" t="s">
        <v>14</v>
      </c>
      <c r="B170" t="s">
        <v>8</v>
      </c>
      <c r="C170">
        <v>1.43</v>
      </c>
      <c r="D170">
        <v>1.55</v>
      </c>
      <c r="E170">
        <v>32.49</v>
      </c>
      <c r="F170">
        <v>33.247500000000002</v>
      </c>
    </row>
    <row r="171" spans="1:6" x14ac:dyDescent="0.3">
      <c r="A171" t="s">
        <v>14</v>
      </c>
      <c r="B171" t="s">
        <v>7</v>
      </c>
      <c r="C171">
        <v>1.35</v>
      </c>
      <c r="D171">
        <v>1.68</v>
      </c>
      <c r="E171">
        <v>32.96</v>
      </c>
      <c r="F171">
        <v>34.020000000000003</v>
      </c>
    </row>
    <row r="172" spans="1:6" x14ac:dyDescent="0.3">
      <c r="A172" t="s">
        <v>14</v>
      </c>
      <c r="B172" t="s">
        <v>8</v>
      </c>
      <c r="C172">
        <v>1.77</v>
      </c>
      <c r="D172">
        <v>1.17</v>
      </c>
      <c r="E172">
        <v>30.06</v>
      </c>
      <c r="F172">
        <v>31.063499999999998</v>
      </c>
    </row>
    <row r="173" spans="1:6" x14ac:dyDescent="0.3">
      <c r="A173" t="s">
        <v>14</v>
      </c>
      <c r="B173" t="s">
        <v>7</v>
      </c>
      <c r="C173">
        <v>1.2</v>
      </c>
      <c r="D173">
        <v>1.78</v>
      </c>
      <c r="E173">
        <v>31.53</v>
      </c>
      <c r="F173">
        <v>32.04</v>
      </c>
    </row>
    <row r="174" spans="1:6" x14ac:dyDescent="0.3">
      <c r="A174" t="s">
        <v>14</v>
      </c>
      <c r="B174" t="s">
        <v>8</v>
      </c>
      <c r="C174">
        <v>1.26</v>
      </c>
      <c r="D174">
        <v>1.62</v>
      </c>
      <c r="E174">
        <v>29.47</v>
      </c>
      <c r="F174">
        <v>30.618000000000006</v>
      </c>
    </row>
    <row r="175" spans="1:6" x14ac:dyDescent="0.3">
      <c r="A175" t="s">
        <v>14</v>
      </c>
      <c r="B175" t="s">
        <v>7</v>
      </c>
      <c r="C175">
        <v>1.1200000000000001</v>
      </c>
      <c r="D175">
        <v>2.09</v>
      </c>
      <c r="E175">
        <v>33.29</v>
      </c>
      <c r="F175">
        <v>35.112000000000002</v>
      </c>
    </row>
    <row r="176" spans="1:6" x14ac:dyDescent="0.3">
      <c r="A176" t="s">
        <v>14</v>
      </c>
      <c r="B176" t="s">
        <v>8</v>
      </c>
      <c r="C176">
        <v>1.25</v>
      </c>
      <c r="D176">
        <v>1.65</v>
      </c>
      <c r="E176">
        <v>29.04</v>
      </c>
      <c r="F176">
        <v>30.9375</v>
      </c>
    </row>
    <row r="177" spans="1:6" x14ac:dyDescent="0.3">
      <c r="A177" t="s">
        <v>14</v>
      </c>
      <c r="B177" t="s">
        <v>7</v>
      </c>
      <c r="C177">
        <v>1.26</v>
      </c>
      <c r="D177">
        <v>1.56</v>
      </c>
      <c r="E177">
        <v>28.84</v>
      </c>
      <c r="F177">
        <v>29.484000000000002</v>
      </c>
    </row>
    <row r="178" spans="1:6" x14ac:dyDescent="0.3">
      <c r="A178" t="s">
        <v>14</v>
      </c>
      <c r="B178" t="s">
        <v>8</v>
      </c>
      <c r="C178">
        <v>1.28</v>
      </c>
      <c r="D178">
        <v>1.31</v>
      </c>
      <c r="E178">
        <v>24.1</v>
      </c>
      <c r="F178">
        <v>25.152000000000001</v>
      </c>
    </row>
    <row r="179" spans="1:6" x14ac:dyDescent="0.3">
      <c r="A179" t="s">
        <v>14</v>
      </c>
      <c r="B179" t="s">
        <v>7</v>
      </c>
      <c r="C179">
        <v>1.25</v>
      </c>
      <c r="D179">
        <v>1.6</v>
      </c>
      <c r="E179">
        <v>27.16</v>
      </c>
      <c r="F179">
        <v>30</v>
      </c>
    </row>
    <row r="180" spans="1:6" x14ac:dyDescent="0.3">
      <c r="A180" t="s">
        <v>14</v>
      </c>
      <c r="B180" t="s">
        <v>8</v>
      </c>
      <c r="C180">
        <v>1.4</v>
      </c>
      <c r="D180">
        <v>1.1000000000000001</v>
      </c>
      <c r="E180">
        <v>21.7</v>
      </c>
      <c r="F180">
        <v>23.1</v>
      </c>
    </row>
    <row r="181" spans="1:6" x14ac:dyDescent="0.3">
      <c r="A181" t="s">
        <v>14</v>
      </c>
      <c r="B181" t="s">
        <v>7</v>
      </c>
      <c r="C181">
        <v>0.75</v>
      </c>
      <c r="D181">
        <v>1.56</v>
      </c>
      <c r="E181">
        <v>16.010000000000002</v>
      </c>
      <c r="F181">
        <v>17.549999999999997</v>
      </c>
    </row>
    <row r="182" spans="1:6" x14ac:dyDescent="0.3">
      <c r="A182" t="s">
        <v>14</v>
      </c>
      <c r="B182" t="s">
        <v>8</v>
      </c>
      <c r="C182">
        <v>1.39</v>
      </c>
      <c r="D182">
        <v>1.4</v>
      </c>
      <c r="E182">
        <v>25.13</v>
      </c>
      <c r="F182">
        <v>29.189999999999998</v>
      </c>
    </row>
    <row r="183" spans="1:6" x14ac:dyDescent="0.3">
      <c r="A183" t="s">
        <v>14</v>
      </c>
      <c r="B183" t="s">
        <v>7</v>
      </c>
      <c r="C183">
        <v>1.1399999999999999</v>
      </c>
      <c r="D183">
        <v>1.58</v>
      </c>
      <c r="E183">
        <v>26.2</v>
      </c>
      <c r="F183">
        <v>27.017999999999997</v>
      </c>
    </row>
    <row r="184" spans="1:6" x14ac:dyDescent="0.3">
      <c r="A184" t="s">
        <v>14</v>
      </c>
      <c r="B184" t="s">
        <v>8</v>
      </c>
      <c r="C184">
        <v>1.36</v>
      </c>
      <c r="D184">
        <v>1.39</v>
      </c>
      <c r="E184">
        <v>27.27</v>
      </c>
      <c r="F184">
        <v>28.356000000000002</v>
      </c>
    </row>
    <row r="185" spans="1:6" x14ac:dyDescent="0.3">
      <c r="A185" t="s">
        <v>14</v>
      </c>
      <c r="B185" t="s">
        <v>7</v>
      </c>
      <c r="C185">
        <v>1.19</v>
      </c>
      <c r="D185">
        <v>2.0099999999999998</v>
      </c>
      <c r="E185">
        <v>33.31</v>
      </c>
      <c r="F185">
        <v>35.878499999999995</v>
      </c>
    </row>
    <row r="186" spans="1:6" x14ac:dyDescent="0.3">
      <c r="A186" t="s">
        <v>14</v>
      </c>
      <c r="B186" t="s">
        <v>8</v>
      </c>
      <c r="C186">
        <v>1.37</v>
      </c>
      <c r="D186">
        <v>0.67</v>
      </c>
      <c r="E186">
        <v>11.94</v>
      </c>
      <c r="F186">
        <v>13.768500000000003</v>
      </c>
    </row>
    <row r="187" spans="1:6" x14ac:dyDescent="0.3">
      <c r="A187" t="s">
        <v>14</v>
      </c>
      <c r="B187" t="s">
        <v>7</v>
      </c>
      <c r="C187">
        <v>1.45</v>
      </c>
      <c r="D187">
        <v>1.67</v>
      </c>
      <c r="E187">
        <v>35.549999999999997</v>
      </c>
      <c r="F187">
        <v>36.322499999999998</v>
      </c>
    </row>
    <row r="188" spans="1:6" x14ac:dyDescent="0.3">
      <c r="A188" t="s">
        <v>14</v>
      </c>
      <c r="B188" t="s">
        <v>8</v>
      </c>
      <c r="C188">
        <v>1.29</v>
      </c>
      <c r="D188">
        <v>1.29</v>
      </c>
      <c r="E188">
        <v>23.64</v>
      </c>
      <c r="F188">
        <v>24.961500000000001</v>
      </c>
    </row>
    <row r="189" spans="1:6" x14ac:dyDescent="0.3">
      <c r="A189" t="s">
        <v>14</v>
      </c>
      <c r="B189" t="s">
        <v>7</v>
      </c>
      <c r="C189">
        <v>1.25</v>
      </c>
      <c r="D189">
        <v>1.67</v>
      </c>
      <c r="E189">
        <v>30.32</v>
      </c>
      <c r="F189">
        <v>31.3125</v>
      </c>
    </row>
    <row r="190" spans="1:6" x14ac:dyDescent="0.3">
      <c r="A190" t="s">
        <v>14</v>
      </c>
      <c r="B190" t="s">
        <v>8</v>
      </c>
      <c r="C190">
        <v>1.44</v>
      </c>
      <c r="D190">
        <v>1.5</v>
      </c>
      <c r="E190">
        <v>30.54</v>
      </c>
      <c r="F190">
        <v>32.400000000000006</v>
      </c>
    </row>
    <row r="191" spans="1:6" x14ac:dyDescent="0.3">
      <c r="A191" t="s">
        <v>14</v>
      </c>
      <c r="B191" t="s">
        <v>7</v>
      </c>
      <c r="C191">
        <v>1.36</v>
      </c>
      <c r="D191">
        <v>1.91</v>
      </c>
      <c r="E191">
        <v>38.22</v>
      </c>
      <c r="F191">
        <v>38.963999999999999</v>
      </c>
    </row>
    <row r="192" spans="1:6" x14ac:dyDescent="0.3">
      <c r="A192" t="s">
        <v>14</v>
      </c>
      <c r="B192" t="s">
        <v>8</v>
      </c>
      <c r="C192">
        <v>1.52</v>
      </c>
      <c r="D192">
        <v>1.33</v>
      </c>
      <c r="E192">
        <v>29.65</v>
      </c>
      <c r="F192">
        <v>30.324000000000005</v>
      </c>
    </row>
    <row r="193" spans="1:6" x14ac:dyDescent="0.3">
      <c r="A193" t="s">
        <v>14</v>
      </c>
      <c r="B193" t="s">
        <v>7</v>
      </c>
      <c r="C193">
        <v>1.1399999999999999</v>
      </c>
      <c r="D193">
        <v>1.95</v>
      </c>
      <c r="E193">
        <v>31.13</v>
      </c>
      <c r="F193">
        <v>33.344999999999999</v>
      </c>
    </row>
    <row r="194" spans="1:6" x14ac:dyDescent="0.3">
      <c r="A194" t="s">
        <v>14</v>
      </c>
      <c r="B194" t="s">
        <v>8</v>
      </c>
      <c r="C194">
        <v>1.03</v>
      </c>
      <c r="D194">
        <v>1.51</v>
      </c>
      <c r="E194">
        <v>23.11</v>
      </c>
      <c r="F194">
        <v>23.329500000000003</v>
      </c>
    </row>
    <row r="195" spans="1:6" x14ac:dyDescent="0.3">
      <c r="A195" t="s">
        <v>14</v>
      </c>
      <c r="B195" t="s">
        <v>7</v>
      </c>
      <c r="C195">
        <v>1.1499999999999999</v>
      </c>
      <c r="D195">
        <v>1.61</v>
      </c>
      <c r="E195">
        <v>27.67</v>
      </c>
      <c r="F195">
        <v>27.772499999999997</v>
      </c>
    </row>
    <row r="196" spans="1:6" x14ac:dyDescent="0.3">
      <c r="A196" t="s">
        <v>14</v>
      </c>
      <c r="B196" t="s">
        <v>8</v>
      </c>
      <c r="C196">
        <v>1.32</v>
      </c>
      <c r="D196">
        <v>1.62</v>
      </c>
      <c r="E196">
        <v>30.4</v>
      </c>
      <c r="F196">
        <v>32.076000000000008</v>
      </c>
    </row>
    <row r="197" spans="1:6" x14ac:dyDescent="0.3">
      <c r="A197" t="s">
        <v>14</v>
      </c>
      <c r="B197" t="s">
        <v>7</v>
      </c>
      <c r="C197">
        <v>1.28</v>
      </c>
      <c r="D197">
        <v>1.78</v>
      </c>
      <c r="E197">
        <v>31.77</v>
      </c>
      <c r="F197">
        <v>34.176000000000002</v>
      </c>
    </row>
    <row r="198" spans="1:6" x14ac:dyDescent="0.3">
      <c r="A198" t="s">
        <v>14</v>
      </c>
      <c r="B198" t="s">
        <v>8</v>
      </c>
      <c r="C198">
        <v>1.35</v>
      </c>
      <c r="D198">
        <v>1.45</v>
      </c>
      <c r="E198">
        <v>28.43</v>
      </c>
      <c r="F198">
        <v>29.362500000000001</v>
      </c>
    </row>
    <row r="199" spans="1:6" x14ac:dyDescent="0.3">
      <c r="A199" t="s">
        <v>14</v>
      </c>
      <c r="B199" t="s">
        <v>7</v>
      </c>
      <c r="C199">
        <v>1.53</v>
      </c>
      <c r="D199">
        <v>1.56</v>
      </c>
      <c r="E199">
        <v>35.25</v>
      </c>
      <c r="F199">
        <v>35.802</v>
      </c>
    </row>
    <row r="200" spans="1:6" x14ac:dyDescent="0.3">
      <c r="A200" t="s">
        <v>14</v>
      </c>
      <c r="B200" t="s">
        <v>8</v>
      </c>
      <c r="C200">
        <v>1.3</v>
      </c>
      <c r="D200">
        <v>1.61</v>
      </c>
      <c r="E200">
        <v>30.02</v>
      </c>
      <c r="F200">
        <v>31.395000000000007</v>
      </c>
    </row>
    <row r="201" spans="1:6" x14ac:dyDescent="0.3">
      <c r="A201" t="s">
        <v>14</v>
      </c>
      <c r="B201" t="s">
        <v>7</v>
      </c>
      <c r="C201">
        <v>0.95</v>
      </c>
      <c r="D201">
        <v>1.9</v>
      </c>
      <c r="E201">
        <v>26.33</v>
      </c>
      <c r="F201">
        <v>27.074999999999999</v>
      </c>
    </row>
    <row r="202" spans="1:6" x14ac:dyDescent="0.3">
      <c r="A202" t="s">
        <v>14</v>
      </c>
      <c r="B202" t="s">
        <v>8</v>
      </c>
      <c r="C202">
        <v>1.1499999999999999</v>
      </c>
      <c r="D202">
        <v>1.75</v>
      </c>
      <c r="E202">
        <v>29.12</v>
      </c>
      <c r="F202">
        <v>30.187499999999996</v>
      </c>
    </row>
    <row r="204" spans="1:6" x14ac:dyDescent="0.3">
      <c r="A204" t="s">
        <v>9</v>
      </c>
      <c r="C204">
        <v>1.2442105263157899</v>
      </c>
      <c r="D204">
        <v>1.5844210526315796</v>
      </c>
      <c r="E204">
        <v>28.335894736842103</v>
      </c>
      <c r="F204">
        <f>AVERAGE(F108:F202)</f>
        <v>29.473705263157889</v>
      </c>
    </row>
    <row r="205" spans="1:6" x14ac:dyDescent="0.3">
      <c r="A205" t="s">
        <v>10</v>
      </c>
      <c r="C205">
        <v>1.26</v>
      </c>
      <c r="D205">
        <v>1.59</v>
      </c>
      <c r="E205">
        <v>29.38</v>
      </c>
      <c r="F205">
        <f>MEDIAN(F108:F202)</f>
        <v>30.324000000000005</v>
      </c>
    </row>
    <row r="206" spans="1:6" x14ac:dyDescent="0.3">
      <c r="A206" t="s">
        <v>13</v>
      </c>
      <c r="C206">
        <v>0.1964448866859046</v>
      </c>
      <c r="D206">
        <v>0.2513906673629242</v>
      </c>
      <c r="E206">
        <v>5.9079437137613455</v>
      </c>
      <c r="F206">
        <f>STDEV(F108:F202)</f>
        <v>5.9597611237001704</v>
      </c>
    </row>
    <row r="209" spans="1:6" x14ac:dyDescent="0.3">
      <c r="A209" t="s">
        <v>15</v>
      </c>
      <c r="C209">
        <v>3.5578355263157899</v>
      </c>
      <c r="D209">
        <v>6.0085877192982462</v>
      </c>
      <c r="E209">
        <v>100.99470029239799</v>
      </c>
      <c r="F209">
        <f>F51+F103+F204</f>
        <v>103.62138026315787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40A69-6261-41DB-BC80-BEFABE126D9F}">
  <dimension ref="A1:P225"/>
  <sheetViews>
    <sheetView topLeftCell="G1" workbookViewId="0">
      <selection activeCell="K4" sqref="K4"/>
    </sheetView>
  </sheetViews>
  <sheetFormatPr defaultRowHeight="14.4" x14ac:dyDescent="0.3"/>
  <cols>
    <col min="1" max="1" width="19.5546875" customWidth="1"/>
    <col min="2" max="2" width="14.88671875" customWidth="1"/>
    <col min="3" max="3" width="31.88671875" customWidth="1"/>
    <col min="4" max="4" width="21.44140625" customWidth="1"/>
    <col min="5" max="5" width="21.109375" customWidth="1"/>
    <col min="11" max="11" width="39.109375" customWidth="1"/>
    <col min="12" max="12" width="12.33203125" customWidth="1"/>
    <col min="13" max="14" width="13.44140625" customWidth="1"/>
    <col min="15" max="15" width="11.44140625" customWidth="1"/>
    <col min="16" max="16" width="17.44140625" customWidth="1"/>
  </cols>
  <sheetData>
    <row r="1" spans="1:16" x14ac:dyDescent="0.3">
      <c r="A1" t="s">
        <v>16</v>
      </c>
      <c r="B1" t="s">
        <v>17</v>
      </c>
      <c r="C1" t="s">
        <v>2</v>
      </c>
      <c r="D1" t="s">
        <v>3</v>
      </c>
      <c r="E1" t="s">
        <v>4</v>
      </c>
      <c r="F1" t="s">
        <v>18</v>
      </c>
      <c r="J1" t="s">
        <v>0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</row>
    <row r="2" spans="1:16" x14ac:dyDescent="0.3">
      <c r="A2" t="s">
        <v>6</v>
      </c>
      <c r="B2" t="s">
        <v>7</v>
      </c>
      <c r="C2">
        <v>1.1599999999999999</v>
      </c>
      <c r="D2">
        <v>2.62</v>
      </c>
      <c r="E2">
        <v>44.8</v>
      </c>
      <c r="F2">
        <v>45.588000000000001</v>
      </c>
      <c r="J2" t="s">
        <v>25</v>
      </c>
      <c r="K2" t="s">
        <v>7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 x14ac:dyDescent="0.3">
      <c r="A3" t="s">
        <v>6</v>
      </c>
      <c r="B3" t="s">
        <v>7</v>
      </c>
      <c r="C3">
        <v>1.1599999999999999</v>
      </c>
      <c r="D3">
        <v>2.44</v>
      </c>
      <c r="E3">
        <v>39.99</v>
      </c>
      <c r="F3">
        <v>42.455999999999996</v>
      </c>
      <c r="K3" t="s">
        <v>8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</row>
    <row r="4" spans="1:16" x14ac:dyDescent="0.3">
      <c r="A4" t="s">
        <v>6</v>
      </c>
      <c r="B4" t="s">
        <v>7</v>
      </c>
      <c r="C4">
        <v>1.1499999999999999</v>
      </c>
      <c r="D4">
        <v>2.35</v>
      </c>
      <c r="E4">
        <v>40.159999999999997</v>
      </c>
      <c r="F4">
        <v>40.537499999999994</v>
      </c>
      <c r="K4" t="s">
        <v>36</v>
      </c>
      <c r="L4" t="s">
        <v>37</v>
      </c>
      <c r="M4" t="s">
        <v>38</v>
      </c>
      <c r="N4" t="s">
        <v>39</v>
      </c>
      <c r="O4" t="s">
        <v>40</v>
      </c>
      <c r="P4" t="s">
        <v>41</v>
      </c>
    </row>
    <row r="5" spans="1:16" x14ac:dyDescent="0.3">
      <c r="A5" t="s">
        <v>6</v>
      </c>
      <c r="B5" t="s">
        <v>7</v>
      </c>
      <c r="C5">
        <v>0.99</v>
      </c>
      <c r="D5">
        <v>2.2400000000000002</v>
      </c>
      <c r="E5">
        <v>32.729999999999997</v>
      </c>
      <c r="F5">
        <v>33.264000000000003</v>
      </c>
      <c r="J5" t="s">
        <v>12</v>
      </c>
      <c r="K5" t="s">
        <v>7</v>
      </c>
      <c r="L5" t="s">
        <v>42</v>
      </c>
      <c r="M5" t="s">
        <v>43</v>
      </c>
      <c r="N5" t="s">
        <v>44</v>
      </c>
      <c r="O5" t="s">
        <v>45</v>
      </c>
      <c r="P5" t="s">
        <v>46</v>
      </c>
    </row>
    <row r="6" spans="1:16" x14ac:dyDescent="0.3">
      <c r="A6" t="s">
        <v>6</v>
      </c>
      <c r="B6" t="s">
        <v>7</v>
      </c>
      <c r="C6">
        <v>1.41</v>
      </c>
      <c r="D6">
        <v>2.52</v>
      </c>
      <c r="E6">
        <v>52.88</v>
      </c>
      <c r="F6">
        <v>53.298000000000002</v>
      </c>
      <c r="K6" t="s">
        <v>8</v>
      </c>
      <c r="L6" t="s">
        <v>47</v>
      </c>
      <c r="M6" t="s">
        <v>48</v>
      </c>
      <c r="N6" t="s">
        <v>49</v>
      </c>
      <c r="O6" t="s">
        <v>50</v>
      </c>
      <c r="P6" t="s">
        <v>51</v>
      </c>
    </row>
    <row r="7" spans="1:16" x14ac:dyDescent="0.3">
      <c r="A7" t="s">
        <v>6</v>
      </c>
      <c r="B7" t="s">
        <v>7</v>
      </c>
      <c r="C7">
        <v>1.1299999999999999</v>
      </c>
      <c r="D7">
        <v>2.71</v>
      </c>
      <c r="E7">
        <v>45.69</v>
      </c>
      <c r="F7">
        <v>45.934499999999993</v>
      </c>
      <c r="K7" t="s">
        <v>36</v>
      </c>
      <c r="L7" t="s">
        <v>52</v>
      </c>
      <c r="M7" t="s">
        <v>53</v>
      </c>
      <c r="N7" t="s">
        <v>54</v>
      </c>
      <c r="O7" t="s">
        <v>55</v>
      </c>
      <c r="P7" t="s">
        <v>56</v>
      </c>
    </row>
    <row r="8" spans="1:16" x14ac:dyDescent="0.3">
      <c r="A8" t="s">
        <v>6</v>
      </c>
      <c r="B8" t="s">
        <v>7</v>
      </c>
      <c r="C8">
        <v>0.88</v>
      </c>
      <c r="D8">
        <v>2.7</v>
      </c>
      <c r="E8">
        <v>35.17</v>
      </c>
      <c r="F8">
        <v>35.640000000000008</v>
      </c>
      <c r="J8" t="s">
        <v>14</v>
      </c>
      <c r="K8" t="s">
        <v>7</v>
      </c>
      <c r="L8" t="s">
        <v>57</v>
      </c>
      <c r="M8" t="s">
        <v>58</v>
      </c>
      <c r="N8" t="s">
        <v>59</v>
      </c>
      <c r="O8" t="s">
        <v>60</v>
      </c>
      <c r="P8" t="s">
        <v>61</v>
      </c>
    </row>
    <row r="9" spans="1:16" x14ac:dyDescent="0.3">
      <c r="A9" t="s">
        <v>6</v>
      </c>
      <c r="B9" t="s">
        <v>7</v>
      </c>
      <c r="C9">
        <v>1.37</v>
      </c>
      <c r="D9">
        <v>2.09</v>
      </c>
      <c r="E9">
        <v>42.18</v>
      </c>
      <c r="F9">
        <v>42.9495</v>
      </c>
      <c r="K9" t="s">
        <v>8</v>
      </c>
      <c r="L9" t="s">
        <v>62</v>
      </c>
      <c r="M9" t="s">
        <v>63</v>
      </c>
      <c r="N9" t="s">
        <v>64</v>
      </c>
      <c r="O9" t="s">
        <v>65</v>
      </c>
      <c r="P9" t="s">
        <v>66</v>
      </c>
    </row>
    <row r="10" spans="1:16" x14ac:dyDescent="0.3">
      <c r="A10" t="s">
        <v>6</v>
      </c>
      <c r="B10" t="s">
        <v>7</v>
      </c>
      <c r="C10">
        <v>0.87</v>
      </c>
      <c r="D10">
        <v>2.54</v>
      </c>
      <c r="E10">
        <v>32.82</v>
      </c>
      <c r="F10">
        <v>33.146999999999998</v>
      </c>
      <c r="K10" t="s">
        <v>36</v>
      </c>
      <c r="L10" t="s">
        <v>67</v>
      </c>
      <c r="M10" t="s">
        <v>68</v>
      </c>
      <c r="N10" t="s">
        <v>69</v>
      </c>
      <c r="O10" t="s">
        <v>70</v>
      </c>
      <c r="P10" t="s">
        <v>71</v>
      </c>
    </row>
    <row r="11" spans="1:16" x14ac:dyDescent="0.3">
      <c r="A11" t="s">
        <v>6</v>
      </c>
      <c r="B11" t="s">
        <v>7</v>
      </c>
      <c r="C11">
        <v>1.31</v>
      </c>
      <c r="D11">
        <v>2.25</v>
      </c>
      <c r="E11">
        <v>43.35</v>
      </c>
      <c r="F11">
        <v>44.212500000000006</v>
      </c>
    </row>
    <row r="12" spans="1:16" x14ac:dyDescent="0.3">
      <c r="A12" t="s">
        <v>6</v>
      </c>
      <c r="B12" t="s">
        <v>7</v>
      </c>
      <c r="C12">
        <v>1.08</v>
      </c>
      <c r="D12">
        <v>2.79</v>
      </c>
      <c r="E12">
        <v>43.16</v>
      </c>
      <c r="F12">
        <v>45.198000000000008</v>
      </c>
      <c r="K12" t="s">
        <v>72</v>
      </c>
    </row>
    <row r="13" spans="1:16" x14ac:dyDescent="0.3">
      <c r="A13" t="s">
        <v>6</v>
      </c>
      <c r="B13" t="s">
        <v>7</v>
      </c>
      <c r="C13">
        <v>0.95</v>
      </c>
      <c r="D13">
        <v>2.87</v>
      </c>
      <c r="E13">
        <v>39.51</v>
      </c>
      <c r="F13">
        <v>40.897500000000001</v>
      </c>
      <c r="K13" t="s">
        <v>73</v>
      </c>
    </row>
    <row r="14" spans="1:16" x14ac:dyDescent="0.3">
      <c r="A14" t="s">
        <v>6</v>
      </c>
      <c r="B14" t="s">
        <v>7</v>
      </c>
      <c r="C14">
        <v>1.04</v>
      </c>
      <c r="D14">
        <v>2.72</v>
      </c>
      <c r="E14">
        <v>41.79</v>
      </c>
      <c r="F14">
        <v>42.432000000000002</v>
      </c>
      <c r="K14" t="s">
        <v>74</v>
      </c>
    </row>
    <row r="15" spans="1:16" x14ac:dyDescent="0.3">
      <c r="A15" t="s">
        <v>6</v>
      </c>
      <c r="B15" t="s">
        <v>7</v>
      </c>
      <c r="C15">
        <v>1.04</v>
      </c>
      <c r="D15">
        <v>2.46</v>
      </c>
      <c r="E15">
        <v>37.130000000000003</v>
      </c>
      <c r="F15">
        <v>38.376000000000005</v>
      </c>
    </row>
    <row r="16" spans="1:16" x14ac:dyDescent="0.3">
      <c r="A16" t="s">
        <v>6</v>
      </c>
      <c r="B16" t="s">
        <v>7</v>
      </c>
      <c r="C16">
        <v>0.92</v>
      </c>
      <c r="D16">
        <v>2.92</v>
      </c>
      <c r="E16">
        <v>40.229999999999997</v>
      </c>
      <c r="F16">
        <v>40.295999999999999</v>
      </c>
    </row>
    <row r="17" spans="1:14" x14ac:dyDescent="0.3">
      <c r="A17" t="s">
        <v>6</v>
      </c>
      <c r="B17" t="s">
        <v>7</v>
      </c>
      <c r="C17">
        <v>1.1299999999999999</v>
      </c>
      <c r="D17">
        <v>2.66</v>
      </c>
      <c r="E17">
        <v>44.65</v>
      </c>
      <c r="F17">
        <v>45.086999999999996</v>
      </c>
    </row>
    <row r="18" spans="1:14" x14ac:dyDescent="0.3">
      <c r="A18" t="s">
        <v>6</v>
      </c>
      <c r="B18" t="s">
        <v>7</v>
      </c>
      <c r="C18">
        <v>1.17</v>
      </c>
      <c r="D18">
        <v>2.5099999999999998</v>
      </c>
      <c r="E18">
        <v>43.16</v>
      </c>
      <c r="F18">
        <v>44.050499999999992</v>
      </c>
    </row>
    <row r="19" spans="1:14" x14ac:dyDescent="0.3">
      <c r="A19" t="s">
        <v>6</v>
      </c>
      <c r="B19" t="s">
        <v>7</v>
      </c>
      <c r="C19">
        <v>1.08</v>
      </c>
      <c r="D19">
        <v>2.8</v>
      </c>
      <c r="E19">
        <v>43.83</v>
      </c>
      <c r="F19">
        <v>45.36</v>
      </c>
      <c r="K19" t="s">
        <v>75</v>
      </c>
      <c r="L19">
        <v>35.278592000000003</v>
      </c>
    </row>
    <row r="20" spans="1:14" x14ac:dyDescent="0.3">
      <c r="A20" t="s">
        <v>6</v>
      </c>
      <c r="B20" t="s">
        <v>7</v>
      </c>
      <c r="C20">
        <v>1.03</v>
      </c>
      <c r="D20">
        <v>3.12</v>
      </c>
      <c r="E20">
        <v>47.38</v>
      </c>
      <c r="F20">
        <v>48.204000000000001</v>
      </c>
      <c r="K20" t="s">
        <v>76</v>
      </c>
      <c r="L20">
        <v>140.48870400000001</v>
      </c>
    </row>
    <row r="21" spans="1:14" x14ac:dyDescent="0.3">
      <c r="A21" t="s">
        <v>6</v>
      </c>
      <c r="B21" t="s">
        <v>7</v>
      </c>
      <c r="C21">
        <v>1.39</v>
      </c>
      <c r="D21">
        <v>2.35</v>
      </c>
      <c r="E21">
        <v>47.84</v>
      </c>
      <c r="F21">
        <v>48.997499999999995</v>
      </c>
      <c r="K21" t="s">
        <v>77</v>
      </c>
      <c r="L21">
        <v>175.76729599999999</v>
      </c>
    </row>
    <row r="22" spans="1:14" x14ac:dyDescent="0.3">
      <c r="A22" t="s">
        <v>6</v>
      </c>
      <c r="B22" t="s">
        <v>7</v>
      </c>
      <c r="C22">
        <v>1.04</v>
      </c>
      <c r="D22">
        <v>2.64</v>
      </c>
      <c r="E22">
        <v>40.64</v>
      </c>
      <c r="F22">
        <v>41.183999999999997</v>
      </c>
      <c r="K22" t="s">
        <v>78</v>
      </c>
      <c r="L22">
        <v>75.449560439560429</v>
      </c>
    </row>
    <row r="23" spans="1:14" x14ac:dyDescent="0.3">
      <c r="A23" t="s">
        <v>6</v>
      </c>
      <c r="B23" t="s">
        <v>7</v>
      </c>
      <c r="C23">
        <v>1.17</v>
      </c>
      <c r="D23">
        <v>2.98</v>
      </c>
      <c r="E23">
        <v>50.87</v>
      </c>
      <c r="F23">
        <v>52.298999999999992</v>
      </c>
      <c r="K23" t="s">
        <v>79</v>
      </c>
      <c r="L23">
        <v>58.87</v>
      </c>
    </row>
    <row r="24" spans="1:14" x14ac:dyDescent="0.3">
      <c r="A24" t="s">
        <v>6</v>
      </c>
      <c r="B24" t="s">
        <v>7</v>
      </c>
      <c r="C24">
        <v>1.17</v>
      </c>
      <c r="D24">
        <v>3.26</v>
      </c>
      <c r="E24">
        <v>56.99</v>
      </c>
      <c r="F24">
        <v>57.212999999999994</v>
      </c>
    </row>
    <row r="25" spans="1:14" x14ac:dyDescent="0.3">
      <c r="A25" t="s">
        <v>6</v>
      </c>
      <c r="B25" t="s">
        <v>7</v>
      </c>
      <c r="C25">
        <v>1.07</v>
      </c>
      <c r="D25">
        <v>3.32</v>
      </c>
      <c r="E25">
        <v>52.91</v>
      </c>
      <c r="F25">
        <v>53.286000000000001</v>
      </c>
      <c r="K25" t="s">
        <v>80</v>
      </c>
    </row>
    <row r="26" spans="1:14" x14ac:dyDescent="0.3">
      <c r="A26" t="s">
        <v>9</v>
      </c>
      <c r="C26">
        <v>1.1129166666666668</v>
      </c>
      <c r="D26">
        <v>2.6608333333333327</v>
      </c>
      <c r="E26">
        <v>43.327500000000008</v>
      </c>
      <c r="F26">
        <v>44.419286458333325</v>
      </c>
      <c r="K26" t="s">
        <v>81</v>
      </c>
      <c r="L26">
        <v>16.579560439560431</v>
      </c>
      <c r="M26" t="s">
        <v>82</v>
      </c>
    </row>
    <row r="27" spans="1:14" x14ac:dyDescent="0.3">
      <c r="A27" t="s">
        <v>10</v>
      </c>
      <c r="C27">
        <v>1.105</v>
      </c>
      <c r="D27">
        <v>2.6500000000000004</v>
      </c>
      <c r="E27">
        <v>43.16</v>
      </c>
      <c r="F27">
        <v>43.923750000000005</v>
      </c>
      <c r="K27" t="s">
        <v>83</v>
      </c>
      <c r="L27">
        <v>0.55300000000000005</v>
      </c>
      <c r="M27" t="s">
        <v>84</v>
      </c>
      <c r="N27" t="s">
        <v>85</v>
      </c>
    </row>
    <row r="28" spans="1:14" x14ac:dyDescent="0.3">
      <c r="A28" t="s">
        <v>13</v>
      </c>
      <c r="C28">
        <v>0.1481913911325386</v>
      </c>
      <c r="D28">
        <v>0.3144341593715837</v>
      </c>
      <c r="E28">
        <v>6.1046398960846835</v>
      </c>
      <c r="F28">
        <v>0.69894653245298011</v>
      </c>
    </row>
    <row r="29" spans="1:14" x14ac:dyDescent="0.3">
      <c r="F29">
        <v>0</v>
      </c>
    </row>
    <row r="30" spans="1:14" x14ac:dyDescent="0.3">
      <c r="F30">
        <v>0</v>
      </c>
      <c r="K30" t="s">
        <v>86</v>
      </c>
      <c r="L30" t="s">
        <v>87</v>
      </c>
    </row>
    <row r="31" spans="1:14" x14ac:dyDescent="0.3">
      <c r="A31" t="s">
        <v>88</v>
      </c>
      <c r="B31" t="s">
        <v>7</v>
      </c>
      <c r="C31">
        <v>1.06</v>
      </c>
      <c r="D31">
        <v>2.96</v>
      </c>
      <c r="E31">
        <v>46.89</v>
      </c>
      <c r="F31">
        <v>47.064</v>
      </c>
      <c r="K31" t="s">
        <v>89</v>
      </c>
      <c r="L31">
        <v>0.52</v>
      </c>
    </row>
    <row r="32" spans="1:14" x14ac:dyDescent="0.3">
      <c r="A32" t="s">
        <v>88</v>
      </c>
      <c r="B32" t="s">
        <v>7</v>
      </c>
      <c r="C32">
        <v>1.1599999999999999</v>
      </c>
      <c r="D32">
        <v>2.6</v>
      </c>
      <c r="E32">
        <v>44.92</v>
      </c>
      <c r="F32">
        <v>45.24</v>
      </c>
    </row>
    <row r="33" spans="1:6" x14ac:dyDescent="0.3">
      <c r="A33" t="s">
        <v>88</v>
      </c>
      <c r="B33" t="s">
        <v>7</v>
      </c>
      <c r="C33">
        <v>1.04</v>
      </c>
      <c r="D33">
        <v>2.72</v>
      </c>
      <c r="E33">
        <v>41.87</v>
      </c>
      <c r="F33">
        <v>42.432000000000002</v>
      </c>
    </row>
    <row r="34" spans="1:6" x14ac:dyDescent="0.3">
      <c r="A34" t="s">
        <v>88</v>
      </c>
      <c r="B34" t="s">
        <v>7</v>
      </c>
      <c r="C34">
        <v>0.64</v>
      </c>
      <c r="D34">
        <v>3.6</v>
      </c>
      <c r="E34">
        <v>34.68</v>
      </c>
      <c r="F34">
        <v>34.56</v>
      </c>
    </row>
    <row r="35" spans="1:6" x14ac:dyDescent="0.3">
      <c r="A35" t="s">
        <v>88</v>
      </c>
      <c r="B35" t="s">
        <v>7</v>
      </c>
      <c r="C35">
        <v>1.1399999999999999</v>
      </c>
      <c r="D35">
        <v>2.91</v>
      </c>
      <c r="E35">
        <v>47.93</v>
      </c>
      <c r="F35">
        <v>49.760999999999996</v>
      </c>
    </row>
    <row r="36" spans="1:6" x14ac:dyDescent="0.3">
      <c r="A36" t="s">
        <v>88</v>
      </c>
      <c r="B36" t="s">
        <v>7</v>
      </c>
      <c r="C36">
        <v>1.0900000000000001</v>
      </c>
      <c r="D36">
        <v>2.79</v>
      </c>
      <c r="E36">
        <v>44.71</v>
      </c>
      <c r="F36">
        <v>45.616500000000002</v>
      </c>
    </row>
    <row r="37" spans="1:6" x14ac:dyDescent="0.3">
      <c r="A37" t="s">
        <v>88</v>
      </c>
      <c r="B37" t="s">
        <v>7</v>
      </c>
      <c r="C37">
        <v>0.9</v>
      </c>
      <c r="D37">
        <v>3.32</v>
      </c>
      <c r="E37">
        <v>44.57</v>
      </c>
      <c r="F37">
        <v>44.82</v>
      </c>
    </row>
    <row r="38" spans="1:6" x14ac:dyDescent="0.3">
      <c r="A38" t="s">
        <v>88</v>
      </c>
      <c r="B38" t="s">
        <v>7</v>
      </c>
      <c r="C38">
        <v>1.05</v>
      </c>
      <c r="D38">
        <v>2.5</v>
      </c>
      <c r="E38">
        <v>38.89</v>
      </c>
      <c r="F38">
        <v>39.375</v>
      </c>
    </row>
    <row r="39" spans="1:6" x14ac:dyDescent="0.3">
      <c r="A39" t="s">
        <v>88</v>
      </c>
      <c r="B39" t="s">
        <v>7</v>
      </c>
      <c r="C39">
        <v>1.34</v>
      </c>
      <c r="D39">
        <v>2.21</v>
      </c>
      <c r="E39">
        <v>43.95</v>
      </c>
      <c r="F39">
        <v>44.421000000000006</v>
      </c>
    </row>
    <row r="40" spans="1:6" x14ac:dyDescent="0.3">
      <c r="A40" t="s">
        <v>88</v>
      </c>
      <c r="B40" t="s">
        <v>7</v>
      </c>
      <c r="C40">
        <v>0.96</v>
      </c>
      <c r="D40">
        <v>2.5299999999999998</v>
      </c>
      <c r="E40">
        <v>36.01</v>
      </c>
      <c r="F40">
        <v>36.431999999999995</v>
      </c>
    </row>
    <row r="41" spans="1:6" x14ac:dyDescent="0.3">
      <c r="A41" t="s">
        <v>88</v>
      </c>
      <c r="B41" t="s">
        <v>7</v>
      </c>
      <c r="C41">
        <v>0.95</v>
      </c>
      <c r="D41">
        <v>3.21</v>
      </c>
      <c r="E41">
        <v>45.51</v>
      </c>
      <c r="F41">
        <v>45.742499999999993</v>
      </c>
    </row>
    <row r="42" spans="1:6" x14ac:dyDescent="0.3">
      <c r="A42" t="s">
        <v>88</v>
      </c>
      <c r="B42" t="s">
        <v>7</v>
      </c>
      <c r="C42">
        <v>0.97</v>
      </c>
      <c r="D42">
        <v>2.69</v>
      </c>
      <c r="E42">
        <v>37.340000000000003</v>
      </c>
      <c r="F42">
        <v>39.139499999999998</v>
      </c>
    </row>
    <row r="43" spans="1:6" x14ac:dyDescent="0.3">
      <c r="A43" t="s">
        <v>88</v>
      </c>
      <c r="B43" t="s">
        <v>7</v>
      </c>
      <c r="C43">
        <v>0.9</v>
      </c>
      <c r="D43">
        <v>2.99</v>
      </c>
      <c r="E43">
        <v>40.33</v>
      </c>
      <c r="F43">
        <v>40.365000000000002</v>
      </c>
    </row>
    <row r="44" spans="1:6" x14ac:dyDescent="0.3">
      <c r="A44" t="s">
        <v>88</v>
      </c>
      <c r="B44" t="s">
        <v>7</v>
      </c>
      <c r="C44">
        <v>0.95</v>
      </c>
      <c r="D44">
        <v>2.91</v>
      </c>
      <c r="E44">
        <v>40.619999999999997</v>
      </c>
      <c r="F44">
        <v>41.467500000000001</v>
      </c>
    </row>
    <row r="45" spans="1:6" x14ac:dyDescent="0.3">
      <c r="A45" t="s">
        <v>88</v>
      </c>
      <c r="B45" t="s">
        <v>7</v>
      </c>
      <c r="C45">
        <v>1.1000000000000001</v>
      </c>
      <c r="D45">
        <v>2.4900000000000002</v>
      </c>
      <c r="E45">
        <v>40.700000000000003</v>
      </c>
      <c r="F45">
        <v>41.085000000000008</v>
      </c>
    </row>
    <row r="46" spans="1:6" x14ac:dyDescent="0.3">
      <c r="A46" t="s">
        <v>88</v>
      </c>
      <c r="B46" t="s">
        <v>7</v>
      </c>
      <c r="C46">
        <v>1.31</v>
      </c>
      <c r="D46">
        <v>2.2200000000000002</v>
      </c>
      <c r="E46">
        <v>43.2</v>
      </c>
      <c r="F46">
        <v>43.623000000000005</v>
      </c>
    </row>
    <row r="47" spans="1:6" x14ac:dyDescent="0.3">
      <c r="A47" t="s">
        <v>88</v>
      </c>
      <c r="B47" t="s">
        <v>7</v>
      </c>
      <c r="C47">
        <v>0.79</v>
      </c>
      <c r="D47">
        <v>3.9</v>
      </c>
      <c r="E47">
        <v>46.07</v>
      </c>
      <c r="F47">
        <v>46.214999999999996</v>
      </c>
    </row>
    <row r="48" spans="1:6" x14ac:dyDescent="0.3">
      <c r="A48" t="s">
        <v>88</v>
      </c>
      <c r="B48" t="s">
        <v>7</v>
      </c>
      <c r="C48">
        <v>0.95</v>
      </c>
      <c r="D48">
        <v>2.41</v>
      </c>
      <c r="E48">
        <v>34.08</v>
      </c>
      <c r="F48">
        <v>34.342500000000001</v>
      </c>
    </row>
    <row r="49" spans="1:6" x14ac:dyDescent="0.3">
      <c r="A49" t="s">
        <v>88</v>
      </c>
      <c r="B49" t="s">
        <v>7</v>
      </c>
      <c r="C49">
        <v>0.85</v>
      </c>
      <c r="D49">
        <v>2.75</v>
      </c>
      <c r="E49">
        <v>34.94</v>
      </c>
      <c r="F49">
        <v>35.0625</v>
      </c>
    </row>
    <row r="50" spans="1:6" x14ac:dyDescent="0.3">
      <c r="A50" t="s">
        <v>88</v>
      </c>
      <c r="B50" t="s">
        <v>7</v>
      </c>
      <c r="C50">
        <v>1.08</v>
      </c>
      <c r="D50">
        <v>3.27</v>
      </c>
      <c r="E50">
        <v>52.58</v>
      </c>
      <c r="F50">
        <v>52.974000000000004</v>
      </c>
    </row>
    <row r="51" spans="1:6" x14ac:dyDescent="0.3">
      <c r="A51" t="s">
        <v>88</v>
      </c>
      <c r="B51" t="s">
        <v>7</v>
      </c>
      <c r="C51">
        <v>0.84</v>
      </c>
      <c r="D51">
        <v>2.87</v>
      </c>
      <c r="E51">
        <v>34.31</v>
      </c>
      <c r="F51">
        <v>36.161999999999999</v>
      </c>
    </row>
    <row r="52" spans="1:6" x14ac:dyDescent="0.3">
      <c r="A52" t="s">
        <v>88</v>
      </c>
      <c r="B52" t="s">
        <v>7</v>
      </c>
      <c r="C52">
        <v>0.98</v>
      </c>
      <c r="D52">
        <v>3</v>
      </c>
      <c r="E52">
        <v>43.62</v>
      </c>
      <c r="F52">
        <v>44.1</v>
      </c>
    </row>
    <row r="53" spans="1:6" x14ac:dyDescent="0.3">
      <c r="A53" t="s">
        <v>88</v>
      </c>
      <c r="B53" t="s">
        <v>7</v>
      </c>
      <c r="C53">
        <v>1.1100000000000001</v>
      </c>
      <c r="D53">
        <v>2.61</v>
      </c>
      <c r="E53">
        <v>41.98</v>
      </c>
      <c r="F53">
        <v>43.456499999999998</v>
      </c>
    </row>
    <row r="54" spans="1:6" x14ac:dyDescent="0.3">
      <c r="A54" t="s">
        <v>88</v>
      </c>
      <c r="B54" t="s">
        <v>7</v>
      </c>
      <c r="C54">
        <v>0.98</v>
      </c>
      <c r="D54">
        <v>3.23</v>
      </c>
      <c r="E54">
        <v>46.84</v>
      </c>
      <c r="F54">
        <v>47.481000000000002</v>
      </c>
    </row>
    <row r="55" spans="1:6" x14ac:dyDescent="0.3">
      <c r="A55" t="s">
        <v>9</v>
      </c>
      <c r="C55">
        <v>1.0058333333333331</v>
      </c>
      <c r="D55">
        <v>2.862083333333334</v>
      </c>
      <c r="E55">
        <v>41.939166666666686</v>
      </c>
      <c r="F55">
        <v>43.181682291666668</v>
      </c>
    </row>
    <row r="56" spans="1:6" x14ac:dyDescent="0.3">
      <c r="A56" t="s">
        <v>10</v>
      </c>
      <c r="C56">
        <v>0.98</v>
      </c>
      <c r="D56">
        <v>2.83</v>
      </c>
      <c r="E56">
        <v>42.59</v>
      </c>
      <c r="F56">
        <v>41.600999999999999</v>
      </c>
    </row>
    <row r="57" spans="1:6" x14ac:dyDescent="0.3">
      <c r="A57" t="s">
        <v>13</v>
      </c>
      <c r="C57">
        <v>0.15505725917604946</v>
      </c>
      <c r="D57">
        <v>0.41312151246088313</v>
      </c>
      <c r="E57">
        <v>4.9013502280463168</v>
      </c>
      <c r="F57">
        <v>0.96086234143273053</v>
      </c>
    </row>
    <row r="58" spans="1:6" x14ac:dyDescent="0.3">
      <c r="F58">
        <v>0</v>
      </c>
    </row>
    <row r="59" spans="1:6" x14ac:dyDescent="0.3">
      <c r="F59">
        <v>0</v>
      </c>
    </row>
    <row r="60" spans="1:6" x14ac:dyDescent="0.3">
      <c r="F60">
        <v>0</v>
      </c>
    </row>
    <row r="61" spans="1:6" x14ac:dyDescent="0.3">
      <c r="A61" t="s">
        <v>14</v>
      </c>
      <c r="B61" t="s">
        <v>7</v>
      </c>
      <c r="C61">
        <v>1.19</v>
      </c>
      <c r="D61">
        <v>1.63</v>
      </c>
      <c r="E61">
        <v>28.77</v>
      </c>
      <c r="F61">
        <v>29.095499999999998</v>
      </c>
    </row>
    <row r="62" spans="1:6" x14ac:dyDescent="0.3">
      <c r="A62" t="s">
        <v>14</v>
      </c>
      <c r="B62" t="s">
        <v>7</v>
      </c>
      <c r="C62">
        <v>1.21</v>
      </c>
      <c r="D62">
        <v>1.64</v>
      </c>
      <c r="E62">
        <v>29.17</v>
      </c>
      <c r="F62">
        <v>29.765999999999995</v>
      </c>
    </row>
    <row r="63" spans="1:6" x14ac:dyDescent="0.3">
      <c r="A63" t="s">
        <v>14</v>
      </c>
      <c r="B63" t="s">
        <v>7</v>
      </c>
      <c r="C63">
        <v>1.27</v>
      </c>
      <c r="D63">
        <v>1.54</v>
      </c>
      <c r="E63">
        <v>28.5</v>
      </c>
      <c r="F63">
        <v>29.337</v>
      </c>
    </row>
    <row r="64" spans="1:6" x14ac:dyDescent="0.3">
      <c r="A64" t="s">
        <v>14</v>
      </c>
      <c r="B64" t="s">
        <v>7</v>
      </c>
      <c r="C64">
        <v>1.1299999999999999</v>
      </c>
      <c r="D64">
        <v>1.79</v>
      </c>
      <c r="E64">
        <v>29.72</v>
      </c>
      <c r="F64">
        <v>30.340499999999999</v>
      </c>
    </row>
    <row r="65" spans="1:6" x14ac:dyDescent="0.3">
      <c r="A65" t="s">
        <v>14</v>
      </c>
      <c r="B65" t="s">
        <v>7</v>
      </c>
      <c r="C65">
        <v>1.39</v>
      </c>
      <c r="D65">
        <v>1.79</v>
      </c>
      <c r="E65">
        <v>35.770000000000003</v>
      </c>
      <c r="F65">
        <v>37.321499999999993</v>
      </c>
    </row>
    <row r="66" spans="1:6" x14ac:dyDescent="0.3">
      <c r="A66" t="s">
        <v>14</v>
      </c>
      <c r="B66" t="s">
        <v>7</v>
      </c>
      <c r="C66">
        <v>1.19</v>
      </c>
      <c r="D66">
        <v>1.85</v>
      </c>
      <c r="E66">
        <v>32.97</v>
      </c>
      <c r="F66">
        <v>33.022499999999994</v>
      </c>
    </row>
    <row r="67" spans="1:6" x14ac:dyDescent="0.3">
      <c r="A67" t="s">
        <v>14</v>
      </c>
      <c r="B67" t="s">
        <v>7</v>
      </c>
      <c r="C67">
        <v>1.23</v>
      </c>
      <c r="D67">
        <v>1.82</v>
      </c>
      <c r="E67">
        <v>31.96</v>
      </c>
      <c r="F67">
        <v>33.579000000000001</v>
      </c>
    </row>
    <row r="68" spans="1:6" x14ac:dyDescent="0.3">
      <c r="A68" t="s">
        <v>14</v>
      </c>
      <c r="B68" t="s">
        <v>7</v>
      </c>
      <c r="C68">
        <v>0.56999999999999995</v>
      </c>
      <c r="D68">
        <v>0.96</v>
      </c>
      <c r="E68">
        <v>7.73</v>
      </c>
      <c r="F68">
        <v>8.2079999999999984</v>
      </c>
    </row>
    <row r="69" spans="1:6" x14ac:dyDescent="0.3">
      <c r="A69" t="s">
        <v>14</v>
      </c>
      <c r="B69" t="s">
        <v>7</v>
      </c>
      <c r="C69">
        <v>1.48</v>
      </c>
      <c r="D69">
        <v>2.25</v>
      </c>
      <c r="E69">
        <v>48.97</v>
      </c>
      <c r="F69">
        <v>49.95</v>
      </c>
    </row>
    <row r="70" spans="1:6" x14ac:dyDescent="0.3">
      <c r="A70" t="s">
        <v>14</v>
      </c>
      <c r="B70" t="s">
        <v>7</v>
      </c>
      <c r="C70">
        <v>0.69</v>
      </c>
      <c r="D70">
        <v>1.45</v>
      </c>
      <c r="E70">
        <v>14.24</v>
      </c>
      <c r="F70">
        <v>15.007499999999999</v>
      </c>
    </row>
    <row r="71" spans="1:6" x14ac:dyDescent="0.3">
      <c r="A71" t="s">
        <v>14</v>
      </c>
      <c r="B71" t="s">
        <v>7</v>
      </c>
      <c r="C71">
        <v>1.07</v>
      </c>
      <c r="D71">
        <v>1.75</v>
      </c>
      <c r="E71">
        <v>26.7</v>
      </c>
      <c r="F71">
        <v>28.087500000000002</v>
      </c>
    </row>
    <row r="72" spans="1:6" x14ac:dyDescent="0.3">
      <c r="A72" t="s">
        <v>14</v>
      </c>
      <c r="B72" t="s">
        <v>7</v>
      </c>
      <c r="C72">
        <v>1.08</v>
      </c>
      <c r="D72">
        <v>1.91</v>
      </c>
      <c r="E72">
        <v>30.43</v>
      </c>
      <c r="F72">
        <v>30.942000000000004</v>
      </c>
    </row>
    <row r="73" spans="1:6" x14ac:dyDescent="0.3">
      <c r="A73" t="s">
        <v>14</v>
      </c>
      <c r="B73" t="s">
        <v>7</v>
      </c>
      <c r="C73">
        <v>1.29</v>
      </c>
      <c r="D73">
        <v>1.56</v>
      </c>
      <c r="E73">
        <v>29.38</v>
      </c>
      <c r="F73">
        <v>30.186</v>
      </c>
    </row>
    <row r="74" spans="1:6" x14ac:dyDescent="0.3">
      <c r="A74" t="s">
        <v>14</v>
      </c>
      <c r="B74" t="s">
        <v>7</v>
      </c>
      <c r="C74">
        <v>1.1599999999999999</v>
      </c>
      <c r="D74">
        <v>1.78</v>
      </c>
      <c r="E74">
        <v>29.54</v>
      </c>
      <c r="F74">
        <v>30.972000000000001</v>
      </c>
    </row>
    <row r="75" spans="1:6" x14ac:dyDescent="0.3">
      <c r="A75" t="s">
        <v>14</v>
      </c>
      <c r="B75" t="s">
        <v>7</v>
      </c>
      <c r="C75">
        <v>1</v>
      </c>
      <c r="D75">
        <v>1.93</v>
      </c>
      <c r="E75">
        <v>28.86</v>
      </c>
      <c r="F75">
        <v>28.95</v>
      </c>
    </row>
    <row r="76" spans="1:6" x14ac:dyDescent="0.3">
      <c r="A76" t="s">
        <v>14</v>
      </c>
      <c r="B76" t="s">
        <v>7</v>
      </c>
      <c r="C76">
        <v>0.67</v>
      </c>
      <c r="D76">
        <v>1.83</v>
      </c>
      <c r="E76">
        <v>17.91</v>
      </c>
      <c r="F76">
        <v>18.391500000000004</v>
      </c>
    </row>
    <row r="77" spans="1:6" x14ac:dyDescent="0.3">
      <c r="A77" t="s">
        <v>14</v>
      </c>
      <c r="B77" t="s">
        <v>7</v>
      </c>
      <c r="C77">
        <v>1.07</v>
      </c>
      <c r="D77">
        <v>1.86</v>
      </c>
      <c r="E77">
        <v>29.14</v>
      </c>
      <c r="F77">
        <v>29.853000000000002</v>
      </c>
    </row>
    <row r="78" spans="1:6" x14ac:dyDescent="0.3">
      <c r="A78" t="s">
        <v>14</v>
      </c>
      <c r="B78" t="s">
        <v>7</v>
      </c>
      <c r="C78">
        <v>1.22</v>
      </c>
      <c r="D78">
        <v>1.72</v>
      </c>
      <c r="E78">
        <v>30.9</v>
      </c>
      <c r="F78">
        <v>31.475999999999999</v>
      </c>
    </row>
    <row r="79" spans="1:6" x14ac:dyDescent="0.3">
      <c r="A79" t="s">
        <v>14</v>
      </c>
      <c r="B79" t="s">
        <v>7</v>
      </c>
      <c r="C79">
        <v>1.34</v>
      </c>
      <c r="D79">
        <v>1.63</v>
      </c>
      <c r="E79">
        <v>32.17</v>
      </c>
      <c r="F79">
        <v>32.763000000000005</v>
      </c>
    </row>
    <row r="80" spans="1:6" x14ac:dyDescent="0.3">
      <c r="A80" t="s">
        <v>14</v>
      </c>
      <c r="B80" t="s">
        <v>7</v>
      </c>
      <c r="C80">
        <v>1.38</v>
      </c>
      <c r="D80">
        <v>1.74</v>
      </c>
      <c r="E80">
        <v>35.53</v>
      </c>
      <c r="F80">
        <v>36.017999999999994</v>
      </c>
    </row>
    <row r="81" spans="1:6" x14ac:dyDescent="0.3">
      <c r="A81" t="s">
        <v>14</v>
      </c>
      <c r="B81" t="s">
        <v>7</v>
      </c>
      <c r="C81">
        <v>1.38</v>
      </c>
      <c r="D81">
        <v>1.58</v>
      </c>
      <c r="E81">
        <v>29.83</v>
      </c>
      <c r="F81">
        <v>32.706000000000003</v>
      </c>
    </row>
    <row r="82" spans="1:6" x14ac:dyDescent="0.3">
      <c r="A82" t="s">
        <v>14</v>
      </c>
      <c r="B82" t="s">
        <v>7</v>
      </c>
      <c r="C82">
        <v>1.27</v>
      </c>
      <c r="D82">
        <v>1.65</v>
      </c>
      <c r="E82">
        <v>30.28</v>
      </c>
      <c r="F82">
        <v>31.432499999999997</v>
      </c>
    </row>
    <row r="83" spans="1:6" x14ac:dyDescent="0.3">
      <c r="A83" t="s">
        <v>14</v>
      </c>
      <c r="B83" t="s">
        <v>7</v>
      </c>
      <c r="C83">
        <v>0.97</v>
      </c>
      <c r="D83">
        <v>1.59</v>
      </c>
      <c r="E83">
        <v>22.27</v>
      </c>
      <c r="F83">
        <v>23.134499999999999</v>
      </c>
    </row>
    <row r="84" spans="1:6" x14ac:dyDescent="0.3">
      <c r="A84" t="s">
        <v>14</v>
      </c>
      <c r="B84" t="s">
        <v>7</v>
      </c>
      <c r="C84">
        <v>1.31</v>
      </c>
      <c r="D84">
        <v>1.84</v>
      </c>
      <c r="E84">
        <v>34.14</v>
      </c>
      <c r="F84">
        <v>36.155999999999999</v>
      </c>
    </row>
    <row r="85" spans="1:6" x14ac:dyDescent="0.3">
      <c r="A85" t="s">
        <v>14</v>
      </c>
      <c r="B85" t="s">
        <v>7</v>
      </c>
      <c r="C85">
        <v>1.17</v>
      </c>
      <c r="D85">
        <v>1.98</v>
      </c>
      <c r="E85">
        <v>33.450000000000003</v>
      </c>
      <c r="F85">
        <v>34.748999999999995</v>
      </c>
    </row>
    <row r="86" spans="1:6" x14ac:dyDescent="0.3">
      <c r="A86" t="s">
        <v>14</v>
      </c>
      <c r="B86" t="s">
        <v>7</v>
      </c>
      <c r="C86">
        <v>1.23</v>
      </c>
      <c r="D86">
        <v>1.58</v>
      </c>
      <c r="E86">
        <v>27.41</v>
      </c>
      <c r="F86">
        <v>29.151</v>
      </c>
    </row>
    <row r="87" spans="1:6" x14ac:dyDescent="0.3">
      <c r="A87" t="s">
        <v>14</v>
      </c>
      <c r="B87" t="s">
        <v>7</v>
      </c>
      <c r="C87">
        <v>1.25</v>
      </c>
      <c r="D87">
        <v>1.7</v>
      </c>
      <c r="E87">
        <v>30.66</v>
      </c>
      <c r="F87">
        <v>31.875</v>
      </c>
    </row>
    <row r="88" spans="1:6" x14ac:dyDescent="0.3">
      <c r="A88" t="s">
        <v>14</v>
      </c>
      <c r="B88" t="s">
        <v>7</v>
      </c>
      <c r="C88">
        <v>1.07</v>
      </c>
      <c r="D88">
        <v>1.68</v>
      </c>
      <c r="E88">
        <v>26.48</v>
      </c>
      <c r="F88">
        <v>26.964000000000002</v>
      </c>
    </row>
    <row r="89" spans="1:6" x14ac:dyDescent="0.3">
      <c r="A89" t="s">
        <v>14</v>
      </c>
      <c r="B89" t="s">
        <v>7</v>
      </c>
      <c r="C89">
        <v>1.21</v>
      </c>
      <c r="D89">
        <v>1.56</v>
      </c>
      <c r="E89">
        <v>28.31</v>
      </c>
      <c r="F89">
        <v>28.314</v>
      </c>
    </row>
    <row r="90" spans="1:6" x14ac:dyDescent="0.3">
      <c r="A90" t="s">
        <v>14</v>
      </c>
      <c r="B90" t="s">
        <v>7</v>
      </c>
      <c r="C90">
        <v>1.44</v>
      </c>
      <c r="D90">
        <v>1.6</v>
      </c>
      <c r="E90">
        <v>34.229999999999997</v>
      </c>
      <c r="F90">
        <v>34.559999999999995</v>
      </c>
    </row>
    <row r="91" spans="1:6" x14ac:dyDescent="0.3">
      <c r="A91" t="s">
        <v>14</v>
      </c>
      <c r="B91" t="s">
        <v>7</v>
      </c>
      <c r="C91">
        <v>1.2</v>
      </c>
      <c r="D91">
        <v>1.61</v>
      </c>
      <c r="E91">
        <v>26.89</v>
      </c>
      <c r="F91">
        <v>28.98</v>
      </c>
    </row>
    <row r="92" spans="1:6" x14ac:dyDescent="0.3">
      <c r="A92" t="s">
        <v>14</v>
      </c>
      <c r="B92" t="s">
        <v>7</v>
      </c>
      <c r="C92">
        <v>1.31</v>
      </c>
      <c r="D92">
        <v>1.71</v>
      </c>
      <c r="E92">
        <v>33.04</v>
      </c>
      <c r="F92">
        <v>33.601500000000001</v>
      </c>
    </row>
    <row r="93" spans="1:6" x14ac:dyDescent="0.3">
      <c r="A93" t="s">
        <v>14</v>
      </c>
      <c r="B93" t="s">
        <v>7</v>
      </c>
      <c r="C93">
        <v>1.35</v>
      </c>
      <c r="D93">
        <v>1.68</v>
      </c>
      <c r="E93">
        <v>32.96</v>
      </c>
      <c r="F93">
        <v>34.020000000000003</v>
      </c>
    </row>
    <row r="94" spans="1:6" x14ac:dyDescent="0.3">
      <c r="A94" t="s">
        <v>14</v>
      </c>
      <c r="B94" t="s">
        <v>7</v>
      </c>
      <c r="C94">
        <v>1.2</v>
      </c>
      <c r="D94">
        <v>1.78</v>
      </c>
      <c r="E94">
        <v>31.53</v>
      </c>
      <c r="F94">
        <v>32.04</v>
      </c>
    </row>
    <row r="95" spans="1:6" x14ac:dyDescent="0.3">
      <c r="A95" t="s">
        <v>14</v>
      </c>
      <c r="B95" t="s">
        <v>7</v>
      </c>
      <c r="C95">
        <v>1.1200000000000001</v>
      </c>
      <c r="D95">
        <v>2.09</v>
      </c>
      <c r="E95">
        <v>33.29</v>
      </c>
      <c r="F95">
        <v>35.112000000000002</v>
      </c>
    </row>
    <row r="96" spans="1:6" x14ac:dyDescent="0.3">
      <c r="A96" t="s">
        <v>14</v>
      </c>
      <c r="B96" t="s">
        <v>7</v>
      </c>
      <c r="C96">
        <v>1.26</v>
      </c>
      <c r="D96">
        <v>1.56</v>
      </c>
      <c r="E96">
        <v>28.84</v>
      </c>
      <c r="F96">
        <v>29.484000000000002</v>
      </c>
    </row>
    <row r="97" spans="1:6" x14ac:dyDescent="0.3">
      <c r="A97" t="s">
        <v>14</v>
      </c>
      <c r="B97" t="s">
        <v>7</v>
      </c>
      <c r="C97">
        <v>1.25</v>
      </c>
      <c r="D97">
        <v>1.6</v>
      </c>
      <c r="E97">
        <v>27.16</v>
      </c>
      <c r="F97">
        <v>30</v>
      </c>
    </row>
    <row r="98" spans="1:6" x14ac:dyDescent="0.3">
      <c r="A98" t="s">
        <v>14</v>
      </c>
      <c r="B98" t="s">
        <v>7</v>
      </c>
      <c r="C98">
        <v>0.75</v>
      </c>
      <c r="D98">
        <v>1.56</v>
      </c>
      <c r="E98">
        <v>16.010000000000002</v>
      </c>
      <c r="F98">
        <v>17.549999999999997</v>
      </c>
    </row>
    <row r="99" spans="1:6" x14ac:dyDescent="0.3">
      <c r="A99" t="s">
        <v>14</v>
      </c>
      <c r="B99" t="s">
        <v>7</v>
      </c>
      <c r="C99">
        <v>1.1399999999999999</v>
      </c>
      <c r="D99">
        <v>1.58</v>
      </c>
      <c r="E99">
        <v>26.2</v>
      </c>
      <c r="F99">
        <v>27.017999999999997</v>
      </c>
    </row>
    <row r="100" spans="1:6" x14ac:dyDescent="0.3">
      <c r="A100" t="s">
        <v>14</v>
      </c>
      <c r="B100" t="s">
        <v>7</v>
      </c>
      <c r="C100">
        <v>1.19</v>
      </c>
      <c r="D100">
        <v>2.0099999999999998</v>
      </c>
      <c r="E100">
        <v>33.31</v>
      </c>
      <c r="F100">
        <v>35.878499999999995</v>
      </c>
    </row>
    <row r="101" spans="1:6" x14ac:dyDescent="0.3">
      <c r="A101" t="s">
        <v>14</v>
      </c>
      <c r="B101" t="s">
        <v>7</v>
      </c>
      <c r="C101">
        <v>1.45</v>
      </c>
      <c r="D101">
        <v>1.67</v>
      </c>
      <c r="E101">
        <v>35.549999999999997</v>
      </c>
      <c r="F101">
        <v>36.322499999999998</v>
      </c>
    </row>
    <row r="102" spans="1:6" x14ac:dyDescent="0.3">
      <c r="A102" t="s">
        <v>14</v>
      </c>
      <c r="B102" t="s">
        <v>7</v>
      </c>
      <c r="C102">
        <v>1.25</v>
      </c>
      <c r="D102">
        <v>1.67</v>
      </c>
      <c r="E102">
        <v>30.32</v>
      </c>
      <c r="F102">
        <v>31.3125</v>
      </c>
    </row>
    <row r="103" spans="1:6" x14ac:dyDescent="0.3">
      <c r="A103" t="s">
        <v>14</v>
      </c>
      <c r="B103" t="s">
        <v>7</v>
      </c>
      <c r="C103">
        <v>1.36</v>
      </c>
      <c r="D103">
        <v>1.91</v>
      </c>
      <c r="E103">
        <v>38.22</v>
      </c>
      <c r="F103">
        <v>38.963999999999999</v>
      </c>
    </row>
    <row r="104" spans="1:6" x14ac:dyDescent="0.3">
      <c r="A104" t="s">
        <v>14</v>
      </c>
      <c r="B104" t="s">
        <v>7</v>
      </c>
      <c r="C104">
        <v>1.1399999999999999</v>
      </c>
      <c r="D104">
        <v>1.95</v>
      </c>
      <c r="E104">
        <v>31.13</v>
      </c>
      <c r="F104">
        <v>33.344999999999999</v>
      </c>
    </row>
    <row r="105" spans="1:6" x14ac:dyDescent="0.3">
      <c r="A105" t="s">
        <v>14</v>
      </c>
      <c r="B105" t="s">
        <v>7</v>
      </c>
      <c r="C105">
        <v>1.1499999999999999</v>
      </c>
      <c r="D105">
        <v>1.61</v>
      </c>
      <c r="E105">
        <v>27.67</v>
      </c>
      <c r="F105">
        <v>27.772499999999997</v>
      </c>
    </row>
    <row r="106" spans="1:6" x14ac:dyDescent="0.3">
      <c r="A106" t="s">
        <v>14</v>
      </c>
      <c r="B106" t="s">
        <v>7</v>
      </c>
      <c r="C106">
        <v>1.28</v>
      </c>
      <c r="D106">
        <v>1.78</v>
      </c>
      <c r="E106">
        <v>31.77</v>
      </c>
      <c r="F106">
        <v>34.176000000000002</v>
      </c>
    </row>
    <row r="107" spans="1:6" x14ac:dyDescent="0.3">
      <c r="A107" t="s">
        <v>14</v>
      </c>
      <c r="B107" t="s">
        <v>7</v>
      </c>
      <c r="C107">
        <v>1.53</v>
      </c>
      <c r="D107">
        <v>1.56</v>
      </c>
      <c r="E107">
        <v>35.25</v>
      </c>
      <c r="F107">
        <v>35.802</v>
      </c>
    </row>
    <row r="108" spans="1:6" x14ac:dyDescent="0.3">
      <c r="A108" t="s">
        <v>14</v>
      </c>
      <c r="B108" t="s">
        <v>7</v>
      </c>
      <c r="C108">
        <v>0.95</v>
      </c>
      <c r="D108">
        <v>1.9</v>
      </c>
      <c r="E108">
        <v>26.33</v>
      </c>
      <c r="F108">
        <v>27.074999999999999</v>
      </c>
    </row>
    <row r="109" spans="1:6" x14ac:dyDescent="0.3">
      <c r="F109">
        <v>0</v>
      </c>
    </row>
    <row r="110" spans="1:6" x14ac:dyDescent="0.3">
      <c r="A110" t="s">
        <v>90</v>
      </c>
      <c r="C110">
        <v>1.1835416666666667</v>
      </c>
      <c r="D110">
        <v>1.7170833333333337</v>
      </c>
      <c r="E110">
        <v>29.601874999999996</v>
      </c>
      <c r="F110">
        <v>30.483595052083341</v>
      </c>
    </row>
    <row r="111" spans="1:6" x14ac:dyDescent="0.3">
      <c r="A111" t="s">
        <v>10</v>
      </c>
      <c r="C111">
        <v>1.21</v>
      </c>
      <c r="D111">
        <v>1.69</v>
      </c>
      <c r="E111">
        <v>30.055</v>
      </c>
      <c r="F111">
        <v>30.673499999999997</v>
      </c>
    </row>
    <row r="112" spans="1:6" x14ac:dyDescent="0.3">
      <c r="A112" t="s">
        <v>91</v>
      </c>
      <c r="C112">
        <v>0.20157348676692508</v>
      </c>
      <c r="D112">
        <v>0.19793571203622976</v>
      </c>
      <c r="E112">
        <v>6.3462894691777167</v>
      </c>
      <c r="F112">
        <v>0.59847887446255277</v>
      </c>
    </row>
    <row r="113" spans="1:6" x14ac:dyDescent="0.3">
      <c r="F113">
        <v>0</v>
      </c>
    </row>
    <row r="114" spans="1:6" x14ac:dyDescent="0.3">
      <c r="F114">
        <v>0</v>
      </c>
    </row>
    <row r="115" spans="1:6" x14ac:dyDescent="0.3">
      <c r="A115" t="s">
        <v>6</v>
      </c>
      <c r="B115" t="s">
        <v>8</v>
      </c>
      <c r="C115">
        <v>1.26</v>
      </c>
      <c r="D115">
        <v>1.55</v>
      </c>
      <c r="E115">
        <v>26.94</v>
      </c>
      <c r="F115">
        <v>29.295000000000002</v>
      </c>
    </row>
    <row r="116" spans="1:6" x14ac:dyDescent="0.3">
      <c r="A116" t="s">
        <v>6</v>
      </c>
      <c r="B116" t="s">
        <v>8</v>
      </c>
      <c r="C116">
        <v>1.37</v>
      </c>
      <c r="D116">
        <v>1.43</v>
      </c>
      <c r="E116">
        <v>29.15</v>
      </c>
      <c r="F116">
        <v>29.386500000000002</v>
      </c>
    </row>
    <row r="117" spans="1:6" x14ac:dyDescent="0.3">
      <c r="A117" t="s">
        <v>6</v>
      </c>
      <c r="B117" t="s">
        <v>8</v>
      </c>
      <c r="C117">
        <v>1.43</v>
      </c>
      <c r="D117">
        <v>1.6</v>
      </c>
      <c r="E117">
        <v>33.97</v>
      </c>
      <c r="F117">
        <v>34.32</v>
      </c>
    </row>
    <row r="118" spans="1:6" x14ac:dyDescent="0.3">
      <c r="A118" t="s">
        <v>6</v>
      </c>
      <c r="B118" t="s">
        <v>8</v>
      </c>
      <c r="C118">
        <v>1.26</v>
      </c>
      <c r="D118">
        <v>1.58</v>
      </c>
      <c r="E118">
        <v>29.23</v>
      </c>
      <c r="F118">
        <v>29.862000000000002</v>
      </c>
    </row>
    <row r="119" spans="1:6" x14ac:dyDescent="0.3">
      <c r="A119" t="s">
        <v>6</v>
      </c>
      <c r="B119" t="s">
        <v>8</v>
      </c>
      <c r="C119">
        <v>1.79</v>
      </c>
      <c r="D119">
        <v>1.07</v>
      </c>
      <c r="E119">
        <v>28.3</v>
      </c>
      <c r="F119">
        <v>28.729500000000002</v>
      </c>
    </row>
    <row r="120" spans="1:6" x14ac:dyDescent="0.3">
      <c r="A120" t="s">
        <v>6</v>
      </c>
      <c r="B120" t="s">
        <v>8</v>
      </c>
      <c r="C120">
        <v>1.37</v>
      </c>
      <c r="D120">
        <v>1.6</v>
      </c>
      <c r="E120">
        <v>32.14</v>
      </c>
      <c r="F120">
        <v>32.880000000000003</v>
      </c>
    </row>
    <row r="121" spans="1:6" x14ac:dyDescent="0.3">
      <c r="A121" t="s">
        <v>6</v>
      </c>
      <c r="B121" t="s">
        <v>8</v>
      </c>
      <c r="C121">
        <v>0.95</v>
      </c>
      <c r="D121">
        <v>1.24</v>
      </c>
      <c r="E121">
        <v>17.329999999999998</v>
      </c>
      <c r="F121">
        <v>17.669999999999998</v>
      </c>
    </row>
    <row r="122" spans="1:6" x14ac:dyDescent="0.3">
      <c r="A122" t="s">
        <v>6</v>
      </c>
      <c r="B122" t="s">
        <v>8</v>
      </c>
      <c r="C122">
        <v>1.36</v>
      </c>
      <c r="D122">
        <v>1.87</v>
      </c>
      <c r="E122">
        <v>37.56</v>
      </c>
      <c r="F122">
        <v>38.148000000000003</v>
      </c>
    </row>
    <row r="123" spans="1:6" x14ac:dyDescent="0.3">
      <c r="A123" t="s">
        <v>6</v>
      </c>
      <c r="B123" t="s">
        <v>8</v>
      </c>
      <c r="C123">
        <v>1.43</v>
      </c>
      <c r="D123">
        <v>1.5</v>
      </c>
      <c r="E123">
        <v>31.11</v>
      </c>
      <c r="F123">
        <v>32.174999999999997</v>
      </c>
    </row>
    <row r="124" spans="1:6" x14ac:dyDescent="0.3">
      <c r="A124" t="s">
        <v>6</v>
      </c>
      <c r="B124" t="s">
        <v>8</v>
      </c>
      <c r="C124">
        <v>1.54</v>
      </c>
      <c r="D124">
        <v>1.51</v>
      </c>
      <c r="E124">
        <v>33.979999999999997</v>
      </c>
      <c r="F124">
        <v>34.881</v>
      </c>
    </row>
    <row r="125" spans="1:6" x14ac:dyDescent="0.3">
      <c r="A125" t="s">
        <v>6</v>
      </c>
      <c r="B125" t="s">
        <v>8</v>
      </c>
      <c r="C125">
        <v>1.0900000000000001</v>
      </c>
      <c r="D125">
        <v>1.79</v>
      </c>
      <c r="E125">
        <v>27.89</v>
      </c>
      <c r="F125">
        <v>29.266500000000004</v>
      </c>
    </row>
    <row r="126" spans="1:6" x14ac:dyDescent="0.3">
      <c r="A126" t="s">
        <v>6</v>
      </c>
      <c r="B126" t="s">
        <v>8</v>
      </c>
      <c r="C126">
        <v>1.1100000000000001</v>
      </c>
      <c r="D126">
        <v>1.63</v>
      </c>
      <c r="E126">
        <v>26.34</v>
      </c>
      <c r="F126">
        <v>27.139500000000002</v>
      </c>
    </row>
    <row r="127" spans="1:6" x14ac:dyDescent="0.3">
      <c r="A127" t="s">
        <v>6</v>
      </c>
      <c r="B127" t="s">
        <v>8</v>
      </c>
      <c r="C127">
        <v>1.48</v>
      </c>
      <c r="D127">
        <v>1.26</v>
      </c>
      <c r="E127">
        <v>26.81</v>
      </c>
      <c r="F127">
        <v>27.972000000000001</v>
      </c>
    </row>
    <row r="128" spans="1:6" x14ac:dyDescent="0.3">
      <c r="A128" t="s">
        <v>6</v>
      </c>
      <c r="B128" t="s">
        <v>8</v>
      </c>
      <c r="C128">
        <v>1.41</v>
      </c>
      <c r="D128">
        <v>1.55</v>
      </c>
      <c r="E128">
        <v>32.119999999999997</v>
      </c>
      <c r="F128">
        <v>32.782499999999999</v>
      </c>
    </row>
    <row r="129" spans="1:6" x14ac:dyDescent="0.3">
      <c r="A129" t="s">
        <v>6</v>
      </c>
      <c r="B129" t="s">
        <v>8</v>
      </c>
      <c r="C129">
        <v>1.03</v>
      </c>
      <c r="D129">
        <v>1.8</v>
      </c>
      <c r="E129">
        <v>26.64</v>
      </c>
      <c r="F129">
        <v>27.810000000000002</v>
      </c>
    </row>
    <row r="130" spans="1:6" x14ac:dyDescent="0.3">
      <c r="A130" t="s">
        <v>6</v>
      </c>
      <c r="B130" t="s">
        <v>8</v>
      </c>
      <c r="C130">
        <v>1.49</v>
      </c>
      <c r="D130">
        <v>1.63</v>
      </c>
      <c r="E130">
        <v>36.08</v>
      </c>
      <c r="F130">
        <v>36.430499999999995</v>
      </c>
    </row>
    <row r="131" spans="1:6" x14ac:dyDescent="0.3">
      <c r="A131" t="s">
        <v>6</v>
      </c>
      <c r="B131" t="s">
        <v>8</v>
      </c>
      <c r="C131">
        <v>1.61</v>
      </c>
      <c r="D131">
        <v>1.48</v>
      </c>
      <c r="E131">
        <v>35.130000000000003</v>
      </c>
      <c r="F131">
        <v>35.741999999999997</v>
      </c>
    </row>
    <row r="132" spans="1:6" x14ac:dyDescent="0.3">
      <c r="A132" t="s">
        <v>6</v>
      </c>
      <c r="B132" t="s">
        <v>8</v>
      </c>
      <c r="C132">
        <v>1.39</v>
      </c>
      <c r="D132">
        <v>1.61</v>
      </c>
      <c r="E132">
        <v>32.799999999999997</v>
      </c>
      <c r="F132">
        <v>33.5685</v>
      </c>
    </row>
    <row r="133" spans="1:6" x14ac:dyDescent="0.3">
      <c r="A133" t="s">
        <v>6</v>
      </c>
      <c r="B133" t="s">
        <v>8</v>
      </c>
      <c r="C133">
        <v>1.39</v>
      </c>
      <c r="D133">
        <v>1.42</v>
      </c>
      <c r="E133">
        <v>28.59</v>
      </c>
      <c r="F133">
        <v>29.606999999999996</v>
      </c>
    </row>
    <row r="134" spans="1:6" x14ac:dyDescent="0.3">
      <c r="A134" t="s">
        <v>6</v>
      </c>
      <c r="B134" t="s">
        <v>8</v>
      </c>
      <c r="C134">
        <v>1.72</v>
      </c>
      <c r="D134">
        <v>1.46</v>
      </c>
      <c r="E134">
        <v>35.96</v>
      </c>
      <c r="F134">
        <v>37.667999999999999</v>
      </c>
    </row>
    <row r="135" spans="1:6" x14ac:dyDescent="0.3">
      <c r="A135" t="s">
        <v>6</v>
      </c>
      <c r="B135" t="s">
        <v>8</v>
      </c>
      <c r="C135">
        <v>1.1499999999999999</v>
      </c>
      <c r="D135">
        <v>1.87</v>
      </c>
      <c r="E135">
        <v>31.36</v>
      </c>
      <c r="F135">
        <v>32.2575</v>
      </c>
    </row>
    <row r="136" spans="1:6" x14ac:dyDescent="0.3">
      <c r="A136" t="s">
        <v>6</v>
      </c>
      <c r="B136" t="s">
        <v>8</v>
      </c>
      <c r="C136">
        <v>1.36</v>
      </c>
      <c r="D136">
        <v>1.55</v>
      </c>
      <c r="E136">
        <v>31.14</v>
      </c>
      <c r="F136">
        <v>31.62</v>
      </c>
    </row>
    <row r="137" spans="1:6" x14ac:dyDescent="0.3">
      <c r="A137" t="s">
        <v>6</v>
      </c>
      <c r="B137" t="s">
        <v>8</v>
      </c>
      <c r="C137">
        <v>1.4</v>
      </c>
      <c r="D137">
        <v>1.77</v>
      </c>
      <c r="E137">
        <v>36.97</v>
      </c>
      <c r="F137">
        <v>37.169999999999995</v>
      </c>
    </row>
    <row r="138" spans="1:6" x14ac:dyDescent="0.3">
      <c r="A138" t="s">
        <v>6</v>
      </c>
      <c r="B138" t="s">
        <v>8</v>
      </c>
      <c r="C138">
        <v>1.21</v>
      </c>
      <c r="D138">
        <v>1.69</v>
      </c>
      <c r="E138">
        <v>29.46</v>
      </c>
      <c r="F138">
        <v>30.673499999999997</v>
      </c>
    </row>
    <row r="139" spans="1:6" x14ac:dyDescent="0.3">
      <c r="F139">
        <v>0</v>
      </c>
    </row>
    <row r="140" spans="1:6" x14ac:dyDescent="0.3">
      <c r="A140" t="s">
        <v>90</v>
      </c>
      <c r="C140">
        <v>1.3583333333333332</v>
      </c>
      <c r="D140">
        <v>1.5608333333333333</v>
      </c>
      <c r="E140">
        <v>30.708333333333339</v>
      </c>
      <c r="F140">
        <v>31.801979166666662</v>
      </c>
    </row>
    <row r="141" spans="1:6" x14ac:dyDescent="0.3">
      <c r="A141" t="s">
        <v>10</v>
      </c>
      <c r="C141">
        <v>1.38</v>
      </c>
      <c r="D141">
        <v>1.5649999999999999</v>
      </c>
      <c r="E141">
        <v>31.125</v>
      </c>
      <c r="F141">
        <v>32.395499999999998</v>
      </c>
    </row>
    <row r="142" spans="1:6" x14ac:dyDescent="0.3">
      <c r="A142" t="s">
        <v>91</v>
      </c>
      <c r="C142">
        <v>0.20382572834711662</v>
      </c>
      <c r="D142">
        <v>0.19464385909670592</v>
      </c>
      <c r="E142">
        <v>4.4774086708493286</v>
      </c>
      <c r="F142">
        <v>0.59510139523019434</v>
      </c>
    </row>
    <row r="143" spans="1:6" x14ac:dyDescent="0.3">
      <c r="F143">
        <v>0</v>
      </c>
    </row>
    <row r="144" spans="1:6" x14ac:dyDescent="0.3">
      <c r="F144">
        <v>0</v>
      </c>
    </row>
    <row r="145" spans="1:6" x14ac:dyDescent="0.3">
      <c r="F145">
        <v>0</v>
      </c>
    </row>
    <row r="146" spans="1:6" x14ac:dyDescent="0.3">
      <c r="A146" t="s">
        <v>88</v>
      </c>
      <c r="B146" t="s">
        <v>8</v>
      </c>
      <c r="C146">
        <v>1.43</v>
      </c>
      <c r="D146">
        <v>1.65</v>
      </c>
      <c r="E146">
        <v>34.76</v>
      </c>
      <c r="F146">
        <v>35.392499999999998</v>
      </c>
    </row>
    <row r="147" spans="1:6" x14ac:dyDescent="0.3">
      <c r="A147" t="s">
        <v>88</v>
      </c>
      <c r="B147" t="s">
        <v>8</v>
      </c>
      <c r="C147">
        <v>1.22</v>
      </c>
      <c r="D147">
        <v>1.55</v>
      </c>
      <c r="E147">
        <v>27.75</v>
      </c>
      <c r="F147">
        <v>28.365000000000002</v>
      </c>
    </row>
    <row r="148" spans="1:6" x14ac:dyDescent="0.3">
      <c r="A148" t="s">
        <v>88</v>
      </c>
      <c r="B148" t="s">
        <v>8</v>
      </c>
      <c r="C148">
        <v>0.95</v>
      </c>
      <c r="D148">
        <v>2.04</v>
      </c>
      <c r="E148">
        <v>28.82</v>
      </c>
      <c r="F148">
        <v>29.07</v>
      </c>
    </row>
    <row r="149" spans="1:6" x14ac:dyDescent="0.3">
      <c r="A149" t="s">
        <v>88</v>
      </c>
      <c r="B149" t="s">
        <v>8</v>
      </c>
      <c r="C149">
        <v>0.92</v>
      </c>
      <c r="D149">
        <v>1.79</v>
      </c>
      <c r="E149">
        <v>24.46</v>
      </c>
      <c r="F149">
        <v>24.702000000000002</v>
      </c>
    </row>
    <row r="150" spans="1:6" x14ac:dyDescent="0.3">
      <c r="A150" t="s">
        <v>88</v>
      </c>
      <c r="B150" t="s">
        <v>8</v>
      </c>
      <c r="C150">
        <v>1.21</v>
      </c>
      <c r="D150">
        <v>1.62</v>
      </c>
      <c r="E150">
        <v>28.69</v>
      </c>
      <c r="F150">
        <v>29.403000000000002</v>
      </c>
    </row>
    <row r="151" spans="1:6" x14ac:dyDescent="0.3">
      <c r="A151" t="s">
        <v>88</v>
      </c>
      <c r="B151" t="s">
        <v>8</v>
      </c>
      <c r="C151">
        <v>1.42</v>
      </c>
      <c r="D151">
        <v>1.72</v>
      </c>
      <c r="E151">
        <v>36.22</v>
      </c>
      <c r="F151">
        <v>36.635999999999996</v>
      </c>
    </row>
    <row r="152" spans="1:6" x14ac:dyDescent="0.3">
      <c r="A152" t="s">
        <v>88</v>
      </c>
      <c r="B152" t="s">
        <v>8</v>
      </c>
      <c r="C152">
        <v>1.17</v>
      </c>
      <c r="D152">
        <v>1.66</v>
      </c>
      <c r="E152">
        <v>28.33</v>
      </c>
      <c r="F152">
        <v>29.132999999999996</v>
      </c>
    </row>
    <row r="153" spans="1:6" x14ac:dyDescent="0.3">
      <c r="A153" t="s">
        <v>88</v>
      </c>
      <c r="B153" t="s">
        <v>8</v>
      </c>
      <c r="C153">
        <v>0.92</v>
      </c>
      <c r="D153">
        <v>1.66</v>
      </c>
      <c r="E153">
        <v>22.88</v>
      </c>
      <c r="F153">
        <v>22.907999999999998</v>
      </c>
    </row>
    <row r="154" spans="1:6" x14ac:dyDescent="0.3">
      <c r="A154" t="s">
        <v>88</v>
      </c>
      <c r="B154" t="s">
        <v>8</v>
      </c>
      <c r="C154">
        <v>1.22</v>
      </c>
      <c r="D154">
        <v>1.61</v>
      </c>
      <c r="E154">
        <v>29.05</v>
      </c>
      <c r="F154">
        <v>29.463000000000001</v>
      </c>
    </row>
    <row r="155" spans="1:6" x14ac:dyDescent="0.3">
      <c r="A155" t="s">
        <v>88</v>
      </c>
      <c r="B155" t="s">
        <v>8</v>
      </c>
      <c r="C155">
        <v>1.1599999999999999</v>
      </c>
      <c r="D155">
        <v>1.43</v>
      </c>
      <c r="E155">
        <v>24.56</v>
      </c>
      <c r="F155">
        <v>24.881999999999998</v>
      </c>
    </row>
    <row r="156" spans="1:6" x14ac:dyDescent="0.3">
      <c r="A156" t="s">
        <v>88</v>
      </c>
      <c r="B156" t="s">
        <v>8</v>
      </c>
      <c r="C156">
        <v>0.89</v>
      </c>
      <c r="D156">
        <v>1.78</v>
      </c>
      <c r="E156">
        <v>22.65</v>
      </c>
      <c r="F156">
        <v>23.763000000000002</v>
      </c>
    </row>
    <row r="157" spans="1:6" x14ac:dyDescent="0.3">
      <c r="A157" t="s">
        <v>88</v>
      </c>
      <c r="B157" t="s">
        <v>8</v>
      </c>
      <c r="C157">
        <v>1.1599999999999999</v>
      </c>
      <c r="D157">
        <v>1.32</v>
      </c>
      <c r="E157">
        <v>22.21</v>
      </c>
      <c r="F157">
        <v>22.968</v>
      </c>
    </row>
    <row r="158" spans="1:6" x14ac:dyDescent="0.3">
      <c r="A158" t="s">
        <v>88</v>
      </c>
      <c r="B158" t="s">
        <v>8</v>
      </c>
      <c r="C158">
        <v>1.21</v>
      </c>
      <c r="D158">
        <v>1.57</v>
      </c>
      <c r="E158">
        <v>26.94</v>
      </c>
      <c r="F158">
        <v>28.4955</v>
      </c>
    </row>
    <row r="159" spans="1:6" x14ac:dyDescent="0.3">
      <c r="A159" t="s">
        <v>88</v>
      </c>
      <c r="B159" t="s">
        <v>8</v>
      </c>
      <c r="C159">
        <v>0.97</v>
      </c>
      <c r="D159">
        <v>1.79</v>
      </c>
      <c r="E159">
        <v>25.76</v>
      </c>
      <c r="F159">
        <v>26.044499999999999</v>
      </c>
    </row>
    <row r="160" spans="1:6" x14ac:dyDescent="0.3">
      <c r="A160" t="s">
        <v>88</v>
      </c>
      <c r="B160" t="s">
        <v>8</v>
      </c>
      <c r="C160">
        <v>1.3</v>
      </c>
      <c r="D160">
        <v>1.6</v>
      </c>
      <c r="E160">
        <v>30.91</v>
      </c>
      <c r="F160">
        <v>31.200000000000003</v>
      </c>
    </row>
    <row r="161" spans="1:6" x14ac:dyDescent="0.3">
      <c r="A161" t="s">
        <v>88</v>
      </c>
      <c r="B161" t="s">
        <v>8</v>
      </c>
      <c r="C161">
        <v>1.1100000000000001</v>
      </c>
      <c r="D161">
        <v>2.35</v>
      </c>
      <c r="E161">
        <v>38.450000000000003</v>
      </c>
      <c r="F161">
        <v>39.127500000000005</v>
      </c>
    </row>
    <row r="162" spans="1:6" x14ac:dyDescent="0.3">
      <c r="A162" t="s">
        <v>88</v>
      </c>
      <c r="B162" t="s">
        <v>8</v>
      </c>
      <c r="C162">
        <v>1.02</v>
      </c>
      <c r="D162">
        <v>1.49</v>
      </c>
      <c r="E162">
        <v>20.84</v>
      </c>
      <c r="F162">
        <v>22.797000000000001</v>
      </c>
    </row>
    <row r="163" spans="1:6" x14ac:dyDescent="0.3">
      <c r="A163" t="s">
        <v>88</v>
      </c>
      <c r="B163" t="s">
        <v>8</v>
      </c>
      <c r="C163">
        <v>1.56</v>
      </c>
      <c r="D163">
        <v>1.6</v>
      </c>
      <c r="E163">
        <v>36.83</v>
      </c>
      <c r="F163">
        <v>37.440000000000005</v>
      </c>
    </row>
    <row r="164" spans="1:6" x14ac:dyDescent="0.3">
      <c r="A164" t="s">
        <v>88</v>
      </c>
      <c r="B164" t="s">
        <v>8</v>
      </c>
      <c r="C164">
        <v>0.87</v>
      </c>
      <c r="D164">
        <v>1.88</v>
      </c>
      <c r="E164">
        <v>23.02</v>
      </c>
      <c r="F164">
        <v>24.533999999999999</v>
      </c>
    </row>
    <row r="165" spans="1:6" x14ac:dyDescent="0.3">
      <c r="A165" t="s">
        <v>88</v>
      </c>
      <c r="B165" t="s">
        <v>8</v>
      </c>
      <c r="C165">
        <v>1.4</v>
      </c>
      <c r="D165">
        <v>1.72</v>
      </c>
      <c r="E165">
        <v>35.090000000000003</v>
      </c>
      <c r="F165">
        <v>36.119999999999997</v>
      </c>
    </row>
    <row r="166" spans="1:6" x14ac:dyDescent="0.3">
      <c r="A166" t="s">
        <v>88</v>
      </c>
      <c r="B166" t="s">
        <v>8</v>
      </c>
      <c r="C166">
        <v>1.26</v>
      </c>
      <c r="D166">
        <v>1.58</v>
      </c>
      <c r="E166">
        <v>29.08</v>
      </c>
      <c r="F166">
        <v>29.862000000000002</v>
      </c>
    </row>
    <row r="168" spans="1:6" x14ac:dyDescent="0.3">
      <c r="A168" t="s">
        <v>90</v>
      </c>
      <c r="C168">
        <v>1.1604761904761904</v>
      </c>
      <c r="D168">
        <v>1.6861904761904765</v>
      </c>
      <c r="E168">
        <v>28.44285714285714</v>
      </c>
      <c r="F168">
        <v>29.351758503401363</v>
      </c>
    </row>
    <row r="169" spans="1:6" x14ac:dyDescent="0.3">
      <c r="A169" t="s">
        <v>10</v>
      </c>
      <c r="C169">
        <v>1.17</v>
      </c>
      <c r="D169">
        <v>1.65</v>
      </c>
      <c r="E169">
        <v>28.33</v>
      </c>
      <c r="F169">
        <v>28.9575</v>
      </c>
    </row>
    <row r="170" spans="1:6" x14ac:dyDescent="0.3">
      <c r="A170" t="s">
        <v>91</v>
      </c>
      <c r="C170">
        <v>0.19678608158292477</v>
      </c>
      <c r="D170">
        <v>0.21740460414802937</v>
      </c>
      <c r="E170">
        <v>5.2610703690952176</v>
      </c>
      <c r="F170">
        <v>0.64173300252566357</v>
      </c>
    </row>
    <row r="171" spans="1:6" x14ac:dyDescent="0.3">
      <c r="F171">
        <v>0</v>
      </c>
    </row>
    <row r="172" spans="1:6" x14ac:dyDescent="0.3">
      <c r="F172">
        <v>0</v>
      </c>
    </row>
    <row r="173" spans="1:6" x14ac:dyDescent="0.3">
      <c r="A173" t="s">
        <v>14</v>
      </c>
      <c r="B173" t="s">
        <v>8</v>
      </c>
      <c r="C173">
        <v>1.31</v>
      </c>
      <c r="D173">
        <v>1.56</v>
      </c>
      <c r="E173">
        <v>30.4</v>
      </c>
      <c r="F173">
        <v>30.654</v>
      </c>
    </row>
    <row r="174" spans="1:6" x14ac:dyDescent="0.3">
      <c r="A174" t="s">
        <v>14</v>
      </c>
      <c r="B174" t="s">
        <v>8</v>
      </c>
      <c r="C174">
        <v>1.4</v>
      </c>
      <c r="D174">
        <v>1.24</v>
      </c>
      <c r="E174">
        <v>25.03</v>
      </c>
      <c r="F174">
        <v>26.04</v>
      </c>
    </row>
    <row r="175" spans="1:6" x14ac:dyDescent="0.3">
      <c r="A175" t="s">
        <v>14</v>
      </c>
      <c r="B175" t="s">
        <v>8</v>
      </c>
      <c r="C175">
        <v>1.19</v>
      </c>
      <c r="D175">
        <v>1.23</v>
      </c>
      <c r="E175">
        <v>20.59</v>
      </c>
      <c r="F175">
        <v>21.955500000000001</v>
      </c>
    </row>
    <row r="176" spans="1:6" x14ac:dyDescent="0.3">
      <c r="A176" t="s">
        <v>14</v>
      </c>
      <c r="B176" t="s">
        <v>8</v>
      </c>
      <c r="C176">
        <v>1.1299999999999999</v>
      </c>
      <c r="D176">
        <v>1.58</v>
      </c>
      <c r="E176">
        <v>25.97</v>
      </c>
      <c r="F176">
        <v>26.780999999999999</v>
      </c>
    </row>
    <row r="177" spans="1:6" x14ac:dyDescent="0.3">
      <c r="A177" t="s">
        <v>14</v>
      </c>
      <c r="B177" t="s">
        <v>8</v>
      </c>
      <c r="C177">
        <v>1.31</v>
      </c>
      <c r="D177">
        <v>1.28</v>
      </c>
      <c r="E177">
        <v>24.55</v>
      </c>
      <c r="F177">
        <v>25.152000000000001</v>
      </c>
    </row>
    <row r="178" spans="1:6" x14ac:dyDescent="0.3">
      <c r="A178" t="s">
        <v>14</v>
      </c>
      <c r="B178" t="s">
        <v>8</v>
      </c>
      <c r="C178">
        <v>1.59</v>
      </c>
      <c r="D178">
        <v>1.52</v>
      </c>
      <c r="E178">
        <v>33.4</v>
      </c>
      <c r="F178">
        <v>36.252000000000002</v>
      </c>
    </row>
    <row r="179" spans="1:6" x14ac:dyDescent="0.3">
      <c r="A179" t="s">
        <v>14</v>
      </c>
      <c r="B179" t="s">
        <v>8</v>
      </c>
      <c r="C179">
        <v>0.97</v>
      </c>
      <c r="D179">
        <v>1.48</v>
      </c>
      <c r="E179">
        <v>19.75</v>
      </c>
      <c r="F179">
        <v>21.533999999999999</v>
      </c>
    </row>
    <row r="180" spans="1:6" x14ac:dyDescent="0.3">
      <c r="A180" t="s">
        <v>14</v>
      </c>
      <c r="B180" t="s">
        <v>8</v>
      </c>
      <c r="C180">
        <v>1.44</v>
      </c>
      <c r="D180">
        <v>1.54</v>
      </c>
      <c r="E180">
        <v>32.659999999999997</v>
      </c>
      <c r="F180">
        <v>33.264000000000003</v>
      </c>
    </row>
    <row r="181" spans="1:6" x14ac:dyDescent="0.3">
      <c r="A181" t="s">
        <v>14</v>
      </c>
      <c r="B181" t="s">
        <v>8</v>
      </c>
      <c r="C181">
        <v>1.41</v>
      </c>
      <c r="D181">
        <v>0.82</v>
      </c>
      <c r="E181">
        <v>15.89</v>
      </c>
      <c r="F181">
        <v>17.343</v>
      </c>
    </row>
    <row r="182" spans="1:6" x14ac:dyDescent="0.3">
      <c r="A182" t="s">
        <v>14</v>
      </c>
      <c r="B182" t="s">
        <v>8</v>
      </c>
      <c r="C182">
        <v>0.98</v>
      </c>
      <c r="D182">
        <v>0.95</v>
      </c>
      <c r="E182">
        <v>13.16</v>
      </c>
      <c r="F182">
        <v>13.965</v>
      </c>
    </row>
    <row r="183" spans="1:6" x14ac:dyDescent="0.3">
      <c r="A183" t="s">
        <v>14</v>
      </c>
      <c r="B183" t="s">
        <v>8</v>
      </c>
      <c r="C183">
        <v>1.25</v>
      </c>
      <c r="D183">
        <v>1.76</v>
      </c>
      <c r="E183">
        <v>30.25</v>
      </c>
      <c r="F183">
        <v>33</v>
      </c>
    </row>
    <row r="184" spans="1:6" x14ac:dyDescent="0.3">
      <c r="A184" t="s">
        <v>14</v>
      </c>
      <c r="B184" t="s">
        <v>8</v>
      </c>
      <c r="C184">
        <v>1.41</v>
      </c>
      <c r="D184">
        <v>1.41</v>
      </c>
      <c r="E184">
        <v>29.09</v>
      </c>
      <c r="F184">
        <v>29.821499999999997</v>
      </c>
    </row>
    <row r="185" spans="1:6" x14ac:dyDescent="0.3">
      <c r="A185" t="s">
        <v>14</v>
      </c>
      <c r="B185" t="s">
        <v>8</v>
      </c>
      <c r="C185">
        <v>1.18</v>
      </c>
      <c r="D185">
        <v>1.68</v>
      </c>
      <c r="E185">
        <v>27.2</v>
      </c>
      <c r="F185">
        <v>29.735999999999997</v>
      </c>
    </row>
    <row r="186" spans="1:6" x14ac:dyDescent="0.3">
      <c r="A186" t="s">
        <v>14</v>
      </c>
      <c r="B186" t="s">
        <v>8</v>
      </c>
      <c r="C186">
        <v>1.07</v>
      </c>
      <c r="D186">
        <v>1.51</v>
      </c>
      <c r="E186">
        <v>23.5</v>
      </c>
      <c r="F186">
        <v>24.235500000000002</v>
      </c>
    </row>
    <row r="187" spans="1:6" x14ac:dyDescent="0.3">
      <c r="A187" t="s">
        <v>14</v>
      </c>
      <c r="B187" t="s">
        <v>8</v>
      </c>
      <c r="C187">
        <v>1.48</v>
      </c>
      <c r="D187">
        <v>1.59</v>
      </c>
      <c r="E187">
        <v>33.28</v>
      </c>
      <c r="F187">
        <v>35.298000000000002</v>
      </c>
    </row>
    <row r="188" spans="1:6" x14ac:dyDescent="0.3">
      <c r="A188" t="s">
        <v>14</v>
      </c>
      <c r="B188" t="s">
        <v>8</v>
      </c>
      <c r="C188">
        <v>1.27</v>
      </c>
      <c r="D188">
        <v>1.55</v>
      </c>
      <c r="E188">
        <v>28.88</v>
      </c>
      <c r="F188">
        <v>29.527500000000003</v>
      </c>
    </row>
    <row r="189" spans="1:6" x14ac:dyDescent="0.3">
      <c r="A189" t="s">
        <v>14</v>
      </c>
      <c r="B189" t="s">
        <v>8</v>
      </c>
      <c r="C189">
        <v>1.43</v>
      </c>
      <c r="D189">
        <v>1.55</v>
      </c>
      <c r="E189">
        <v>32.51</v>
      </c>
      <c r="F189">
        <v>33.247500000000002</v>
      </c>
    </row>
    <row r="190" spans="1:6" x14ac:dyDescent="0.3">
      <c r="A190" t="s">
        <v>14</v>
      </c>
      <c r="B190" t="s">
        <v>8</v>
      </c>
      <c r="C190">
        <v>1.42</v>
      </c>
      <c r="D190">
        <v>1.47</v>
      </c>
      <c r="E190">
        <v>30.87</v>
      </c>
      <c r="F190">
        <v>31.310999999999996</v>
      </c>
    </row>
    <row r="191" spans="1:6" x14ac:dyDescent="0.3">
      <c r="A191" t="s">
        <v>14</v>
      </c>
      <c r="B191" t="s">
        <v>8</v>
      </c>
      <c r="C191">
        <v>1.43</v>
      </c>
      <c r="D191">
        <v>1.48</v>
      </c>
      <c r="E191">
        <v>30.47</v>
      </c>
      <c r="F191">
        <v>31.746000000000002</v>
      </c>
    </row>
    <row r="192" spans="1:6" x14ac:dyDescent="0.3">
      <c r="A192" t="s">
        <v>14</v>
      </c>
      <c r="B192" t="s">
        <v>8</v>
      </c>
      <c r="C192">
        <v>1.42</v>
      </c>
      <c r="D192">
        <v>1.72</v>
      </c>
      <c r="E192">
        <v>34.93</v>
      </c>
      <c r="F192">
        <v>36.635999999999996</v>
      </c>
    </row>
    <row r="193" spans="1:6" x14ac:dyDescent="0.3">
      <c r="A193" t="s">
        <v>14</v>
      </c>
      <c r="B193" t="s">
        <v>8</v>
      </c>
      <c r="C193">
        <v>0.96</v>
      </c>
      <c r="D193">
        <v>1.46</v>
      </c>
      <c r="E193">
        <v>19.79</v>
      </c>
      <c r="F193">
        <v>21.024000000000001</v>
      </c>
    </row>
    <row r="194" spans="1:6" x14ac:dyDescent="0.3">
      <c r="A194" t="s">
        <v>14</v>
      </c>
      <c r="B194" t="s">
        <v>8</v>
      </c>
      <c r="C194">
        <v>1.32</v>
      </c>
      <c r="D194">
        <v>1.54</v>
      </c>
      <c r="E194">
        <v>29.85</v>
      </c>
      <c r="F194">
        <v>30.491999999999997</v>
      </c>
    </row>
    <row r="195" spans="1:6" x14ac:dyDescent="0.3">
      <c r="A195" t="s">
        <v>14</v>
      </c>
      <c r="B195" t="s">
        <v>8</v>
      </c>
      <c r="C195">
        <v>1.43</v>
      </c>
      <c r="D195">
        <v>1.37</v>
      </c>
      <c r="E195">
        <v>28.17</v>
      </c>
      <c r="F195">
        <v>29.386500000000002</v>
      </c>
    </row>
    <row r="196" spans="1:6" x14ac:dyDescent="0.3">
      <c r="A196" t="s">
        <v>14</v>
      </c>
      <c r="B196" t="s">
        <v>8</v>
      </c>
      <c r="C196">
        <v>1.46</v>
      </c>
      <c r="D196">
        <v>1.53</v>
      </c>
      <c r="E196">
        <v>32.25</v>
      </c>
      <c r="F196">
        <v>33.506999999999998</v>
      </c>
    </row>
    <row r="197" spans="1:6" x14ac:dyDescent="0.3">
      <c r="A197" t="s">
        <v>14</v>
      </c>
      <c r="B197" t="s">
        <v>8</v>
      </c>
      <c r="C197">
        <v>0.96</v>
      </c>
      <c r="D197">
        <v>1.66</v>
      </c>
      <c r="E197">
        <v>23.05</v>
      </c>
      <c r="F197">
        <v>23.904</v>
      </c>
    </row>
    <row r="198" spans="1:6" x14ac:dyDescent="0.3">
      <c r="A198" t="s">
        <v>14</v>
      </c>
      <c r="B198" t="s">
        <v>8</v>
      </c>
      <c r="C198">
        <v>1.1399999999999999</v>
      </c>
      <c r="D198">
        <v>1.79</v>
      </c>
      <c r="E198">
        <v>30.01</v>
      </c>
      <c r="F198">
        <v>30.608999999999998</v>
      </c>
    </row>
    <row r="199" spans="1:6" x14ac:dyDescent="0.3">
      <c r="A199" t="s">
        <v>14</v>
      </c>
      <c r="B199" t="s">
        <v>8</v>
      </c>
      <c r="C199">
        <v>1.1100000000000001</v>
      </c>
      <c r="D199">
        <v>1.41</v>
      </c>
      <c r="E199">
        <v>22.34</v>
      </c>
      <c r="F199">
        <v>23.476500000000001</v>
      </c>
    </row>
    <row r="200" spans="1:6" x14ac:dyDescent="0.3">
      <c r="A200" t="s">
        <v>14</v>
      </c>
      <c r="B200" t="s">
        <v>8</v>
      </c>
      <c r="C200">
        <v>1.28</v>
      </c>
      <c r="D200">
        <v>1.56</v>
      </c>
      <c r="E200">
        <v>29.59</v>
      </c>
      <c r="F200">
        <v>29.952000000000002</v>
      </c>
    </row>
    <row r="201" spans="1:6" x14ac:dyDescent="0.3">
      <c r="A201" t="s">
        <v>14</v>
      </c>
      <c r="B201" t="s">
        <v>8</v>
      </c>
      <c r="C201">
        <v>1.48</v>
      </c>
      <c r="D201">
        <v>1.39</v>
      </c>
      <c r="E201">
        <v>28.79</v>
      </c>
      <c r="F201">
        <v>30.857999999999997</v>
      </c>
    </row>
    <row r="202" spans="1:6" x14ac:dyDescent="0.3">
      <c r="A202" t="s">
        <v>14</v>
      </c>
      <c r="B202" t="s">
        <v>8</v>
      </c>
      <c r="C202">
        <v>1.25</v>
      </c>
      <c r="D202">
        <v>1.55</v>
      </c>
      <c r="E202">
        <v>28.69</v>
      </c>
      <c r="F202">
        <v>29.0625</v>
      </c>
    </row>
    <row r="203" spans="1:6" x14ac:dyDescent="0.3">
      <c r="A203" t="s">
        <v>14</v>
      </c>
      <c r="B203" t="s">
        <v>8</v>
      </c>
      <c r="C203">
        <v>1.43</v>
      </c>
      <c r="D203">
        <v>1.55</v>
      </c>
      <c r="E203">
        <v>32.49</v>
      </c>
      <c r="F203">
        <v>33.247500000000002</v>
      </c>
    </row>
    <row r="204" spans="1:6" x14ac:dyDescent="0.3">
      <c r="A204" t="s">
        <v>14</v>
      </c>
      <c r="B204" t="s">
        <v>8</v>
      </c>
      <c r="C204">
        <v>1.77</v>
      </c>
      <c r="D204">
        <v>1.17</v>
      </c>
      <c r="E204">
        <v>30.06</v>
      </c>
      <c r="F204">
        <v>31.063499999999998</v>
      </c>
    </row>
    <row r="205" spans="1:6" x14ac:dyDescent="0.3">
      <c r="A205" t="s">
        <v>14</v>
      </c>
      <c r="B205" t="s">
        <v>8</v>
      </c>
      <c r="C205">
        <v>1.26</v>
      </c>
      <c r="D205">
        <v>1.62</v>
      </c>
      <c r="E205">
        <v>29.47</v>
      </c>
      <c r="F205">
        <v>30.618000000000006</v>
      </c>
    </row>
    <row r="206" spans="1:6" x14ac:dyDescent="0.3">
      <c r="A206" t="s">
        <v>14</v>
      </c>
      <c r="B206" t="s">
        <v>8</v>
      </c>
      <c r="C206">
        <v>1.25</v>
      </c>
      <c r="D206">
        <v>1.65</v>
      </c>
      <c r="E206">
        <v>29.04</v>
      </c>
      <c r="F206">
        <v>30.9375</v>
      </c>
    </row>
    <row r="207" spans="1:6" x14ac:dyDescent="0.3">
      <c r="A207" t="s">
        <v>14</v>
      </c>
      <c r="B207" t="s">
        <v>8</v>
      </c>
      <c r="C207">
        <v>1.28</v>
      </c>
      <c r="D207">
        <v>1.31</v>
      </c>
      <c r="E207">
        <v>24.1</v>
      </c>
      <c r="F207">
        <v>25.152000000000001</v>
      </c>
    </row>
    <row r="208" spans="1:6" x14ac:dyDescent="0.3">
      <c r="A208" t="s">
        <v>14</v>
      </c>
      <c r="B208" t="s">
        <v>8</v>
      </c>
      <c r="C208">
        <v>1.4</v>
      </c>
      <c r="D208">
        <v>1.1000000000000001</v>
      </c>
      <c r="E208">
        <v>21.7</v>
      </c>
      <c r="F208">
        <v>23.1</v>
      </c>
    </row>
    <row r="209" spans="1:6" x14ac:dyDescent="0.3">
      <c r="A209" t="s">
        <v>14</v>
      </c>
      <c r="B209" t="s">
        <v>8</v>
      </c>
      <c r="C209">
        <v>1.39</v>
      </c>
      <c r="D209">
        <v>1.4</v>
      </c>
      <c r="E209">
        <v>25.13</v>
      </c>
      <c r="F209">
        <v>29.189999999999998</v>
      </c>
    </row>
    <row r="210" spans="1:6" x14ac:dyDescent="0.3">
      <c r="A210" t="s">
        <v>14</v>
      </c>
      <c r="B210" t="s">
        <v>8</v>
      </c>
      <c r="C210">
        <v>1.36</v>
      </c>
      <c r="D210">
        <v>1.39</v>
      </c>
      <c r="E210">
        <v>27.27</v>
      </c>
      <c r="F210">
        <v>28.356000000000002</v>
      </c>
    </row>
    <row r="211" spans="1:6" x14ac:dyDescent="0.3">
      <c r="A211" t="s">
        <v>14</v>
      </c>
      <c r="B211" t="s">
        <v>8</v>
      </c>
      <c r="C211">
        <v>1.37</v>
      </c>
      <c r="D211">
        <v>0.67</v>
      </c>
      <c r="E211">
        <v>11.94</v>
      </c>
      <c r="F211">
        <v>13.768500000000003</v>
      </c>
    </row>
    <row r="212" spans="1:6" x14ac:dyDescent="0.3">
      <c r="A212" t="s">
        <v>14</v>
      </c>
      <c r="B212" t="s">
        <v>8</v>
      </c>
      <c r="C212">
        <v>1.29</v>
      </c>
      <c r="D212">
        <v>1.29</v>
      </c>
      <c r="E212">
        <v>23.64</v>
      </c>
      <c r="F212">
        <v>24.961500000000001</v>
      </c>
    </row>
    <row r="213" spans="1:6" x14ac:dyDescent="0.3">
      <c r="A213" t="s">
        <v>14</v>
      </c>
      <c r="B213" t="s">
        <v>8</v>
      </c>
      <c r="C213">
        <v>1.44</v>
      </c>
      <c r="D213">
        <v>1.5</v>
      </c>
      <c r="E213">
        <v>30.54</v>
      </c>
      <c r="F213">
        <v>32.400000000000006</v>
      </c>
    </row>
    <row r="214" spans="1:6" x14ac:dyDescent="0.3">
      <c r="A214" t="s">
        <v>14</v>
      </c>
      <c r="B214" t="s">
        <v>8</v>
      </c>
      <c r="C214">
        <v>1.52</v>
      </c>
      <c r="D214">
        <v>1.33</v>
      </c>
      <c r="E214">
        <v>29.65</v>
      </c>
      <c r="F214">
        <v>30.324000000000005</v>
      </c>
    </row>
    <row r="215" spans="1:6" x14ac:dyDescent="0.3">
      <c r="A215" t="s">
        <v>14</v>
      </c>
      <c r="B215" t="s">
        <v>8</v>
      </c>
      <c r="C215">
        <v>1.03</v>
      </c>
      <c r="D215">
        <v>1.51</v>
      </c>
      <c r="E215">
        <v>23.11</v>
      </c>
      <c r="F215">
        <v>23.329500000000003</v>
      </c>
    </row>
    <row r="216" spans="1:6" x14ac:dyDescent="0.3">
      <c r="A216" t="s">
        <v>14</v>
      </c>
      <c r="B216" t="s">
        <v>8</v>
      </c>
      <c r="C216">
        <v>1.32</v>
      </c>
      <c r="D216">
        <v>1.62</v>
      </c>
      <c r="E216">
        <v>30.4</v>
      </c>
      <c r="F216">
        <v>32.076000000000008</v>
      </c>
    </row>
    <row r="217" spans="1:6" x14ac:dyDescent="0.3">
      <c r="A217" t="s">
        <v>14</v>
      </c>
      <c r="B217" t="s">
        <v>8</v>
      </c>
      <c r="C217">
        <v>1.35</v>
      </c>
      <c r="D217">
        <v>1.45</v>
      </c>
      <c r="E217">
        <v>28.43</v>
      </c>
      <c r="F217">
        <v>29.362500000000001</v>
      </c>
    </row>
    <row r="218" spans="1:6" x14ac:dyDescent="0.3">
      <c r="A218" t="s">
        <v>14</v>
      </c>
      <c r="B218" t="s">
        <v>8</v>
      </c>
      <c r="C218">
        <v>1.3</v>
      </c>
      <c r="D218">
        <v>1.61</v>
      </c>
      <c r="E218">
        <v>30.02</v>
      </c>
      <c r="F218">
        <v>31.395000000000007</v>
      </c>
    </row>
    <row r="219" spans="1:6" x14ac:dyDescent="0.3">
      <c r="A219" t="s">
        <v>14</v>
      </c>
      <c r="B219" t="s">
        <v>8</v>
      </c>
      <c r="C219">
        <v>1.1499999999999999</v>
      </c>
      <c r="D219">
        <v>1.75</v>
      </c>
      <c r="E219">
        <v>29.12</v>
      </c>
      <c r="F219">
        <v>30.187499999999996</v>
      </c>
    </row>
    <row r="220" spans="1:6" x14ac:dyDescent="0.3">
      <c r="F220">
        <v>0</v>
      </c>
    </row>
    <row r="221" spans="1:6" x14ac:dyDescent="0.3">
      <c r="A221" t="s">
        <v>90</v>
      </c>
      <c r="C221">
        <v>1.3061702127659574</v>
      </c>
      <c r="D221">
        <v>1.4489361702127654</v>
      </c>
      <c r="E221">
        <v>27.042978723404254</v>
      </c>
      <c r="F221">
        <v>28.388358985966487</v>
      </c>
    </row>
    <row r="222" spans="1:6" x14ac:dyDescent="0.3">
      <c r="A222" t="s">
        <v>10</v>
      </c>
      <c r="C222">
        <v>1.32</v>
      </c>
      <c r="D222">
        <v>1.51</v>
      </c>
      <c r="E222">
        <v>28.88</v>
      </c>
      <c r="F222">
        <v>29.898</v>
      </c>
    </row>
    <row r="223" spans="1:6" x14ac:dyDescent="0.3">
      <c r="A223" t="s">
        <v>91</v>
      </c>
      <c r="C223">
        <v>0.17199030801168358</v>
      </c>
      <c r="D223">
        <v>0.22801824910332361</v>
      </c>
      <c r="E223">
        <v>5.1762777943117975</v>
      </c>
      <c r="F223">
        <v>0.58825393343348131</v>
      </c>
    </row>
    <row r="224" spans="1:6" x14ac:dyDescent="0.3">
      <c r="F224">
        <v>0</v>
      </c>
    </row>
    <row r="225" spans="1:6" x14ac:dyDescent="0.3">
      <c r="A225" t="s">
        <v>92</v>
      </c>
      <c r="C225">
        <v>7.1272714032421476</v>
      </c>
      <c r="D225">
        <v>11.935959979736577</v>
      </c>
      <c r="E225">
        <v>201.06271086626143</v>
      </c>
      <c r="F225">
        <v>1276.0623935072886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93125-B841-44EE-B1C2-A40B2B50DA04}">
  <dimension ref="A2:AD61"/>
  <sheetViews>
    <sheetView workbookViewId="0">
      <selection activeCell="B17" sqref="B17"/>
    </sheetView>
  </sheetViews>
  <sheetFormatPr defaultRowHeight="14.4" x14ac:dyDescent="0.3"/>
  <cols>
    <col min="1" max="1" width="40.109375" customWidth="1"/>
  </cols>
  <sheetData>
    <row r="2" spans="1:30" x14ac:dyDescent="0.3">
      <c r="A2" t="s">
        <v>93</v>
      </c>
    </row>
    <row r="3" spans="1:30" x14ac:dyDescent="0.3">
      <c r="A3" t="s">
        <v>94</v>
      </c>
      <c r="C3">
        <v>1</v>
      </c>
      <c r="D3">
        <v>2</v>
      </c>
      <c r="E3">
        <v>3</v>
      </c>
      <c r="F3">
        <v>4</v>
      </c>
      <c r="G3">
        <v>5</v>
      </c>
      <c r="H3">
        <v>8</v>
      </c>
      <c r="I3">
        <v>9</v>
      </c>
      <c r="J3">
        <v>12</v>
      </c>
      <c r="K3">
        <v>13</v>
      </c>
      <c r="L3">
        <v>14</v>
      </c>
      <c r="M3">
        <v>15</v>
      </c>
      <c r="N3">
        <v>16</v>
      </c>
      <c r="O3">
        <v>17</v>
      </c>
      <c r="P3">
        <v>18</v>
      </c>
      <c r="Q3">
        <v>19</v>
      </c>
      <c r="R3">
        <v>20</v>
      </c>
      <c r="S3">
        <v>21</v>
      </c>
      <c r="T3">
        <v>22</v>
      </c>
      <c r="U3">
        <v>23</v>
      </c>
      <c r="V3">
        <v>24</v>
      </c>
      <c r="W3">
        <v>25</v>
      </c>
      <c r="X3">
        <v>26</v>
      </c>
      <c r="Y3">
        <v>27</v>
      </c>
      <c r="Z3">
        <v>28</v>
      </c>
      <c r="AA3">
        <v>29</v>
      </c>
      <c r="AB3">
        <v>30</v>
      </c>
    </row>
    <row r="4" spans="1:30" x14ac:dyDescent="0.3">
      <c r="A4" t="s">
        <v>95</v>
      </c>
      <c r="B4">
        <v>2025</v>
      </c>
      <c r="C4">
        <v>2026</v>
      </c>
      <c r="D4">
        <v>2027</v>
      </c>
      <c r="E4">
        <v>2028</v>
      </c>
      <c r="F4">
        <v>2029</v>
      </c>
      <c r="G4">
        <v>2030</v>
      </c>
      <c r="H4">
        <v>2033</v>
      </c>
      <c r="I4">
        <v>2034</v>
      </c>
      <c r="J4">
        <v>2037</v>
      </c>
      <c r="K4">
        <v>2038</v>
      </c>
      <c r="L4">
        <v>2039</v>
      </c>
      <c r="M4">
        <v>2040</v>
      </c>
      <c r="N4">
        <v>2041</v>
      </c>
      <c r="O4">
        <v>2042</v>
      </c>
      <c r="P4">
        <v>2043</v>
      </c>
      <c r="Q4">
        <v>2044</v>
      </c>
      <c r="R4">
        <v>2045</v>
      </c>
      <c r="S4">
        <v>2046</v>
      </c>
      <c r="T4">
        <v>2047</v>
      </c>
      <c r="U4">
        <v>2048</v>
      </c>
      <c r="V4">
        <v>2049</v>
      </c>
      <c r="W4">
        <v>2050</v>
      </c>
      <c r="X4">
        <v>2051</v>
      </c>
      <c r="Y4">
        <v>2052</v>
      </c>
      <c r="Z4">
        <v>2053</v>
      </c>
      <c r="AA4">
        <v>2054</v>
      </c>
      <c r="AB4">
        <v>2055</v>
      </c>
    </row>
    <row r="5" spans="1:30" x14ac:dyDescent="0.3">
      <c r="A5" t="s">
        <v>96</v>
      </c>
      <c r="B5">
        <v>1993</v>
      </c>
      <c r="C5">
        <v>1994</v>
      </c>
      <c r="D5">
        <v>1995</v>
      </c>
      <c r="E5">
        <v>1996</v>
      </c>
      <c r="F5">
        <v>1997</v>
      </c>
      <c r="G5">
        <v>1998</v>
      </c>
      <c r="H5">
        <v>2001</v>
      </c>
      <c r="I5">
        <v>2002</v>
      </c>
      <c r="J5">
        <v>2005</v>
      </c>
      <c r="K5">
        <v>2006</v>
      </c>
      <c r="L5">
        <v>2007</v>
      </c>
      <c r="M5">
        <v>2008</v>
      </c>
      <c r="N5">
        <v>2009</v>
      </c>
      <c r="O5">
        <v>2010</v>
      </c>
      <c r="P5">
        <v>2011</v>
      </c>
      <c r="Q5">
        <v>2012</v>
      </c>
      <c r="R5">
        <v>2013</v>
      </c>
      <c r="S5">
        <v>2014</v>
      </c>
      <c r="T5">
        <v>2015</v>
      </c>
      <c r="U5">
        <v>2016</v>
      </c>
      <c r="V5">
        <v>2017</v>
      </c>
      <c r="W5">
        <v>2018</v>
      </c>
      <c r="X5">
        <v>2019</v>
      </c>
      <c r="Y5">
        <v>2020</v>
      </c>
      <c r="Z5">
        <v>2021</v>
      </c>
      <c r="AA5">
        <v>2022</v>
      </c>
      <c r="AB5">
        <v>2023</v>
      </c>
    </row>
    <row r="6" spans="1:30" x14ac:dyDescent="0.3">
      <c r="A6" t="s">
        <v>97</v>
      </c>
      <c r="B6">
        <v>0</v>
      </c>
      <c r="C6">
        <v>0.52</v>
      </c>
      <c r="D6">
        <v>1.1599999999999999</v>
      </c>
      <c r="E6">
        <v>1.29</v>
      </c>
      <c r="F6">
        <v>2.2799999999999998</v>
      </c>
      <c r="G6">
        <v>3.14</v>
      </c>
      <c r="H6">
        <v>0.9</v>
      </c>
      <c r="I6">
        <v>1.93</v>
      </c>
      <c r="J6">
        <v>2.14</v>
      </c>
      <c r="K6">
        <v>1.25</v>
      </c>
      <c r="L6">
        <v>1.76</v>
      </c>
      <c r="M6">
        <v>2.0499999999999998</v>
      </c>
      <c r="N6">
        <v>2.0099999999999998</v>
      </c>
      <c r="O6">
        <v>1.24</v>
      </c>
      <c r="P6">
        <v>1.27</v>
      </c>
      <c r="Q6">
        <v>0.87</v>
      </c>
      <c r="R6">
        <v>1.28</v>
      </c>
      <c r="S6">
        <v>0.81</v>
      </c>
      <c r="T6">
        <v>0.96</v>
      </c>
      <c r="U6">
        <v>0.33</v>
      </c>
      <c r="V6">
        <v>0.52</v>
      </c>
      <c r="W6">
        <v>0.72</v>
      </c>
    </row>
    <row r="7" spans="1:30" x14ac:dyDescent="0.3">
      <c r="A7" t="s">
        <v>98</v>
      </c>
      <c r="B7">
        <v>0</v>
      </c>
      <c r="C7">
        <v>312000</v>
      </c>
      <c r="D7">
        <v>696000</v>
      </c>
      <c r="E7">
        <v>774000</v>
      </c>
      <c r="F7">
        <v>1367999.9999999998</v>
      </c>
      <c r="G7">
        <v>1884000</v>
      </c>
      <c r="H7">
        <v>1620000</v>
      </c>
      <c r="I7">
        <v>1158000</v>
      </c>
      <c r="J7">
        <v>3852000</v>
      </c>
      <c r="K7">
        <v>750000</v>
      </c>
      <c r="L7">
        <v>1056000</v>
      </c>
      <c r="M7">
        <v>1230000</v>
      </c>
      <c r="N7">
        <v>1205999.9999999998</v>
      </c>
      <c r="O7">
        <v>744000</v>
      </c>
      <c r="P7">
        <v>762000</v>
      </c>
      <c r="Q7">
        <v>522000</v>
      </c>
      <c r="R7">
        <v>768000</v>
      </c>
      <c r="S7">
        <v>486000.00000000006</v>
      </c>
      <c r="T7">
        <v>576000</v>
      </c>
      <c r="U7">
        <v>198000</v>
      </c>
      <c r="V7">
        <v>312000</v>
      </c>
      <c r="W7">
        <v>432000</v>
      </c>
    </row>
    <row r="8" spans="1:30" x14ac:dyDescent="0.3">
      <c r="A8" t="s">
        <v>99</v>
      </c>
      <c r="B8">
        <v>0</v>
      </c>
      <c r="C8">
        <v>312000</v>
      </c>
      <c r="D8">
        <v>1008000</v>
      </c>
      <c r="E8">
        <v>1782000</v>
      </c>
      <c r="F8">
        <v>3150000</v>
      </c>
      <c r="G8">
        <v>5034000</v>
      </c>
      <c r="H8">
        <v>6654000</v>
      </c>
      <c r="I8">
        <v>7812000</v>
      </c>
      <c r="J8">
        <v>11664000</v>
      </c>
      <c r="K8">
        <v>12414000</v>
      </c>
      <c r="L8">
        <v>13470000</v>
      </c>
      <c r="M8">
        <v>14700000</v>
      </c>
      <c r="N8">
        <v>15906000</v>
      </c>
      <c r="O8">
        <v>16650000</v>
      </c>
      <c r="P8">
        <v>17412000</v>
      </c>
      <c r="Q8">
        <v>17934000</v>
      </c>
      <c r="R8">
        <v>18702000</v>
      </c>
      <c r="S8">
        <v>19188000</v>
      </c>
      <c r="T8">
        <v>19764000</v>
      </c>
      <c r="U8">
        <v>19962000</v>
      </c>
      <c r="V8">
        <v>20274000</v>
      </c>
      <c r="W8">
        <v>20706000</v>
      </c>
    </row>
    <row r="9" spans="1:30" x14ac:dyDescent="0.3">
      <c r="A9" t="s">
        <v>100</v>
      </c>
      <c r="B9">
        <v>0</v>
      </c>
      <c r="C9">
        <v>1145040</v>
      </c>
      <c r="D9">
        <v>3699360</v>
      </c>
      <c r="E9">
        <v>6539940</v>
      </c>
      <c r="F9">
        <v>11560500</v>
      </c>
      <c r="G9">
        <v>18474780</v>
      </c>
      <c r="H9">
        <v>24420180</v>
      </c>
      <c r="I9">
        <v>28670040</v>
      </c>
      <c r="J9">
        <v>42806880</v>
      </c>
      <c r="K9">
        <v>45559380</v>
      </c>
      <c r="L9">
        <v>49434900</v>
      </c>
      <c r="M9">
        <v>53949000</v>
      </c>
      <c r="N9">
        <v>58375020</v>
      </c>
      <c r="O9">
        <v>61105500</v>
      </c>
      <c r="P9">
        <v>63902040</v>
      </c>
      <c r="Q9">
        <v>65817780</v>
      </c>
      <c r="R9">
        <v>68636340</v>
      </c>
      <c r="S9">
        <v>70419960</v>
      </c>
      <c r="T9">
        <v>72533880</v>
      </c>
      <c r="U9">
        <v>73260540</v>
      </c>
      <c r="V9">
        <v>74405580</v>
      </c>
      <c r="W9">
        <v>75991020</v>
      </c>
    </row>
    <row r="10" spans="1:30" x14ac:dyDescent="0.3">
      <c r="A10" t="s">
        <v>101</v>
      </c>
      <c r="B10">
        <v>0</v>
      </c>
      <c r="C10">
        <v>81120.000000000015</v>
      </c>
      <c r="D10">
        <v>180960</v>
      </c>
      <c r="E10">
        <v>201240.00000000003</v>
      </c>
      <c r="F10">
        <v>355680</v>
      </c>
      <c r="G10">
        <v>489840</v>
      </c>
      <c r="H10">
        <v>421200</v>
      </c>
      <c r="I10">
        <v>301080</v>
      </c>
      <c r="J10">
        <v>1001520</v>
      </c>
      <c r="K10">
        <v>195000</v>
      </c>
      <c r="L10">
        <v>274560</v>
      </c>
      <c r="M10">
        <v>319799.99999999994</v>
      </c>
      <c r="N10">
        <v>313560</v>
      </c>
      <c r="O10">
        <v>193440</v>
      </c>
      <c r="P10">
        <v>198120</v>
      </c>
      <c r="Q10">
        <v>135720</v>
      </c>
      <c r="R10">
        <v>199680.00000000003</v>
      </c>
      <c r="S10">
        <v>126360</v>
      </c>
      <c r="T10">
        <v>149760</v>
      </c>
      <c r="U10">
        <v>51480</v>
      </c>
      <c r="V10">
        <v>81120.000000000015</v>
      </c>
      <c r="W10">
        <v>112320</v>
      </c>
    </row>
    <row r="11" spans="1:30" x14ac:dyDescent="0.3">
      <c r="A11" t="s">
        <v>102</v>
      </c>
      <c r="B11">
        <v>0</v>
      </c>
      <c r="C11">
        <v>81120.000000000015</v>
      </c>
      <c r="D11">
        <v>262080</v>
      </c>
      <c r="E11">
        <v>463320</v>
      </c>
      <c r="F11">
        <v>819000</v>
      </c>
      <c r="G11">
        <v>1308840</v>
      </c>
      <c r="H11">
        <v>1730040</v>
      </c>
      <c r="I11">
        <v>2031120</v>
      </c>
      <c r="J11">
        <v>3032640</v>
      </c>
      <c r="K11">
        <v>3227640</v>
      </c>
      <c r="L11">
        <v>3502200</v>
      </c>
      <c r="M11">
        <v>3822000</v>
      </c>
      <c r="N11">
        <v>4135560</v>
      </c>
      <c r="O11">
        <v>4329000</v>
      </c>
      <c r="P11">
        <v>4527120</v>
      </c>
      <c r="Q11">
        <v>4662840</v>
      </c>
      <c r="R11">
        <v>4862520</v>
      </c>
      <c r="S11">
        <v>4988880</v>
      </c>
      <c r="T11">
        <v>5138640</v>
      </c>
      <c r="U11">
        <v>5190120</v>
      </c>
      <c r="V11">
        <v>5271240</v>
      </c>
      <c r="W11">
        <v>5383560</v>
      </c>
    </row>
    <row r="12" spans="1:30" x14ac:dyDescent="0.3">
      <c r="A12" t="s">
        <v>103</v>
      </c>
      <c r="B12">
        <v>0</v>
      </c>
      <c r="C12">
        <v>297710.40000000002</v>
      </c>
      <c r="D12">
        <v>961833.6</v>
      </c>
      <c r="E12">
        <v>1700384.4</v>
      </c>
      <c r="F12">
        <v>3005730</v>
      </c>
      <c r="G12">
        <v>4803442.8</v>
      </c>
      <c r="H12">
        <v>6349246.7999999998</v>
      </c>
      <c r="I12">
        <v>7454210.3999999994</v>
      </c>
      <c r="J12">
        <v>11129788.799999999</v>
      </c>
      <c r="K12">
        <v>11845438.799999999</v>
      </c>
      <c r="L12">
        <v>12853074</v>
      </c>
      <c r="M12">
        <v>14026740</v>
      </c>
      <c r="N12">
        <v>15177505.199999999</v>
      </c>
      <c r="O12">
        <v>15887430</v>
      </c>
      <c r="P12">
        <v>16614530.4</v>
      </c>
      <c r="Q12">
        <v>17112622.800000001</v>
      </c>
      <c r="R12">
        <v>17845448.399999999</v>
      </c>
      <c r="S12">
        <v>18309189.600000001</v>
      </c>
      <c r="T12">
        <v>18858808.800000001</v>
      </c>
      <c r="U12">
        <v>19047740.399999999</v>
      </c>
      <c r="V12">
        <v>19345450.800000001</v>
      </c>
      <c r="W12">
        <v>19757665.199999999</v>
      </c>
    </row>
    <row r="13" spans="1:30" x14ac:dyDescent="0.3">
      <c r="A13" t="s">
        <v>104</v>
      </c>
      <c r="C13">
        <v>312000</v>
      </c>
      <c r="D13">
        <v>312000</v>
      </c>
      <c r="E13">
        <v>312000</v>
      </c>
      <c r="F13">
        <v>312000</v>
      </c>
      <c r="G13">
        <v>312000</v>
      </c>
      <c r="H13">
        <v>936000</v>
      </c>
      <c r="I13">
        <v>312000</v>
      </c>
      <c r="J13">
        <v>936000</v>
      </c>
      <c r="K13">
        <v>312000</v>
      </c>
      <c r="L13">
        <v>312000</v>
      </c>
      <c r="M13">
        <v>312000</v>
      </c>
      <c r="N13">
        <v>312000</v>
      </c>
      <c r="O13">
        <v>312000</v>
      </c>
      <c r="P13">
        <v>312000</v>
      </c>
      <c r="Q13">
        <v>312000</v>
      </c>
      <c r="R13">
        <v>312000</v>
      </c>
      <c r="S13">
        <v>312000</v>
      </c>
      <c r="T13">
        <v>312000</v>
      </c>
      <c r="U13">
        <v>312000</v>
      </c>
      <c r="V13">
        <v>312000</v>
      </c>
      <c r="W13">
        <v>312000</v>
      </c>
    </row>
    <row r="14" spans="1:30" x14ac:dyDescent="0.3">
      <c r="A14" t="s">
        <v>105</v>
      </c>
      <c r="C14">
        <v>312000</v>
      </c>
      <c r="D14">
        <v>624000</v>
      </c>
      <c r="E14">
        <v>936000</v>
      </c>
      <c r="F14">
        <v>1248000</v>
      </c>
      <c r="G14">
        <v>1560000</v>
      </c>
      <c r="H14">
        <v>2496000</v>
      </c>
      <c r="I14">
        <v>2808000</v>
      </c>
      <c r="J14">
        <v>3744000</v>
      </c>
      <c r="K14">
        <v>4056000</v>
      </c>
      <c r="L14">
        <v>4368000</v>
      </c>
      <c r="M14">
        <v>4680000</v>
      </c>
      <c r="N14">
        <v>4992000</v>
      </c>
      <c r="O14">
        <v>5304000</v>
      </c>
      <c r="P14">
        <v>5616000</v>
      </c>
      <c r="Q14">
        <v>5928000</v>
      </c>
      <c r="R14">
        <v>6240000</v>
      </c>
      <c r="S14">
        <v>6552000</v>
      </c>
      <c r="T14">
        <v>6864000</v>
      </c>
      <c r="U14">
        <v>7176000</v>
      </c>
      <c r="V14">
        <v>7488000</v>
      </c>
      <c r="W14">
        <v>7800000</v>
      </c>
      <c r="X14" t="s">
        <v>106</v>
      </c>
    </row>
    <row r="15" spans="1:30" x14ac:dyDescent="0.3">
      <c r="A15" t="s">
        <v>100</v>
      </c>
      <c r="C15">
        <v>1145040</v>
      </c>
      <c r="D15">
        <v>2290080</v>
      </c>
      <c r="E15">
        <v>3435120</v>
      </c>
      <c r="F15">
        <v>4580160</v>
      </c>
      <c r="G15">
        <v>5725200</v>
      </c>
      <c r="H15">
        <v>9160320</v>
      </c>
      <c r="I15">
        <v>10305360</v>
      </c>
      <c r="J15">
        <v>13740480</v>
      </c>
      <c r="K15">
        <v>14885520</v>
      </c>
      <c r="L15">
        <v>16030560</v>
      </c>
      <c r="M15">
        <v>17175600</v>
      </c>
      <c r="N15">
        <v>18320640</v>
      </c>
      <c r="O15">
        <v>19465680</v>
      </c>
      <c r="P15">
        <v>20610720</v>
      </c>
      <c r="Q15">
        <v>21755760</v>
      </c>
      <c r="R15">
        <v>22900800</v>
      </c>
      <c r="S15">
        <v>24045840</v>
      </c>
      <c r="T15">
        <v>25190880</v>
      </c>
      <c r="U15">
        <v>26335920</v>
      </c>
      <c r="V15">
        <v>27480960</v>
      </c>
      <c r="W15">
        <v>28626000</v>
      </c>
    </row>
    <row r="16" spans="1:30" x14ac:dyDescent="0.3">
      <c r="A16" t="s">
        <v>107</v>
      </c>
      <c r="V16">
        <v>856320</v>
      </c>
      <c r="W16">
        <v>33889560</v>
      </c>
      <c r="X16" t="s">
        <v>108</v>
      </c>
      <c r="AD16" t="s">
        <v>109</v>
      </c>
    </row>
    <row r="17" spans="1:23" x14ac:dyDescent="0.3">
      <c r="A17" t="s">
        <v>110</v>
      </c>
      <c r="V17">
        <v>3142694.4</v>
      </c>
      <c r="W17">
        <v>124374685.2</v>
      </c>
    </row>
    <row r="19" spans="1:23" x14ac:dyDescent="0.3">
      <c r="A19" t="s">
        <v>111</v>
      </c>
      <c r="B19">
        <v>1993</v>
      </c>
      <c r="C19">
        <v>1994</v>
      </c>
      <c r="D19">
        <v>1995</v>
      </c>
      <c r="E19">
        <v>1996</v>
      </c>
      <c r="F19">
        <v>1997</v>
      </c>
      <c r="G19">
        <v>1998</v>
      </c>
      <c r="H19">
        <v>2001</v>
      </c>
      <c r="I19">
        <v>2002</v>
      </c>
      <c r="J19">
        <v>2005</v>
      </c>
      <c r="K19">
        <v>2006</v>
      </c>
      <c r="L19">
        <v>2007</v>
      </c>
      <c r="M19">
        <v>2008</v>
      </c>
      <c r="N19">
        <v>2009</v>
      </c>
      <c r="O19">
        <v>2010</v>
      </c>
      <c r="P19">
        <v>2011</v>
      </c>
      <c r="Q19">
        <v>2012</v>
      </c>
      <c r="R19">
        <v>2013</v>
      </c>
      <c r="S19">
        <v>2014</v>
      </c>
      <c r="T19">
        <v>2015</v>
      </c>
      <c r="U19">
        <v>2016</v>
      </c>
      <c r="V19">
        <v>2017</v>
      </c>
      <c r="W19">
        <v>2018</v>
      </c>
    </row>
    <row r="20" spans="1:23" x14ac:dyDescent="0.3">
      <c r="A20" t="s">
        <v>112</v>
      </c>
      <c r="B20">
        <v>0</v>
      </c>
      <c r="C20">
        <v>0.13</v>
      </c>
      <c r="D20">
        <v>0.41</v>
      </c>
      <c r="E20">
        <v>0.85</v>
      </c>
      <c r="F20">
        <v>1.37</v>
      </c>
      <c r="G20">
        <v>2.42</v>
      </c>
      <c r="H20">
        <v>0.78</v>
      </c>
      <c r="I20">
        <v>1.64</v>
      </c>
      <c r="J20">
        <v>1.98</v>
      </c>
      <c r="K20">
        <v>1.1200000000000001</v>
      </c>
      <c r="L20">
        <v>1.41</v>
      </c>
      <c r="M20">
        <v>1.91</v>
      </c>
      <c r="N20">
        <v>1.83</v>
      </c>
      <c r="O20">
        <v>1.0900000000000001</v>
      </c>
      <c r="P20">
        <v>0.96</v>
      </c>
      <c r="Q20">
        <v>0.76</v>
      </c>
      <c r="R20">
        <v>1.28</v>
      </c>
      <c r="S20">
        <v>0.88</v>
      </c>
      <c r="T20">
        <v>0.75</v>
      </c>
      <c r="U20">
        <v>0.23</v>
      </c>
      <c r="V20">
        <v>0.2</v>
      </c>
      <c r="W20">
        <v>0.18720000000000001</v>
      </c>
    </row>
    <row r="21" spans="1:23" x14ac:dyDescent="0.3">
      <c r="A21" t="s">
        <v>113</v>
      </c>
      <c r="B21">
        <v>0</v>
      </c>
      <c r="C21">
        <v>78000</v>
      </c>
      <c r="D21">
        <v>245999.99999999997</v>
      </c>
      <c r="E21">
        <v>510000</v>
      </c>
      <c r="F21">
        <v>822000.00000000012</v>
      </c>
      <c r="G21">
        <v>1452000</v>
      </c>
      <c r="H21">
        <v>1404000</v>
      </c>
      <c r="I21">
        <v>983999.99999999988</v>
      </c>
      <c r="J21">
        <v>3564000</v>
      </c>
      <c r="K21">
        <v>672000.00000000012</v>
      </c>
      <c r="L21">
        <v>846000</v>
      </c>
      <c r="M21">
        <v>1146000</v>
      </c>
      <c r="N21">
        <v>1098000</v>
      </c>
      <c r="O21">
        <v>654000</v>
      </c>
      <c r="P21">
        <v>576000</v>
      </c>
      <c r="Q21">
        <v>456000</v>
      </c>
      <c r="R21">
        <v>768000</v>
      </c>
      <c r="S21">
        <v>528000</v>
      </c>
      <c r="T21">
        <v>450000</v>
      </c>
      <c r="U21">
        <v>138000</v>
      </c>
      <c r="V21">
        <v>120000</v>
      </c>
      <c r="W21">
        <v>112320</v>
      </c>
    </row>
    <row r="22" spans="1:23" x14ac:dyDescent="0.3">
      <c r="A22" t="s">
        <v>114</v>
      </c>
      <c r="B22">
        <v>0</v>
      </c>
      <c r="C22">
        <v>78000</v>
      </c>
      <c r="D22">
        <v>324000</v>
      </c>
      <c r="E22">
        <v>834000</v>
      </c>
      <c r="F22">
        <v>1656000</v>
      </c>
      <c r="G22">
        <v>3108000</v>
      </c>
      <c r="H22">
        <v>4512000</v>
      </c>
      <c r="I22">
        <v>5496000</v>
      </c>
      <c r="J22">
        <v>9060000</v>
      </c>
      <c r="K22">
        <v>9732000</v>
      </c>
      <c r="L22">
        <v>10578000</v>
      </c>
      <c r="M22">
        <v>11724000</v>
      </c>
      <c r="N22">
        <v>12822000</v>
      </c>
      <c r="O22">
        <v>13476000</v>
      </c>
      <c r="P22">
        <v>14052000</v>
      </c>
      <c r="Q22">
        <v>14508000</v>
      </c>
      <c r="R22">
        <v>15276000</v>
      </c>
      <c r="S22">
        <v>15804000</v>
      </c>
      <c r="T22">
        <v>16254000</v>
      </c>
      <c r="U22">
        <v>16392000</v>
      </c>
      <c r="V22">
        <v>16512000</v>
      </c>
      <c r="W22">
        <v>16624320</v>
      </c>
    </row>
    <row r="23" spans="1:23" x14ac:dyDescent="0.3">
      <c r="A23" t="s">
        <v>115</v>
      </c>
      <c r="B23">
        <v>0</v>
      </c>
      <c r="C23">
        <v>286260</v>
      </c>
      <c r="D23">
        <v>1189080</v>
      </c>
      <c r="E23">
        <v>3060780</v>
      </c>
      <c r="F23">
        <v>6077520</v>
      </c>
      <c r="G23">
        <v>11406360</v>
      </c>
      <c r="H23">
        <v>16559040</v>
      </c>
      <c r="I23">
        <v>20170320</v>
      </c>
      <c r="J23">
        <v>33250200</v>
      </c>
      <c r="K23">
        <v>35716440</v>
      </c>
      <c r="L23">
        <v>38821260</v>
      </c>
      <c r="M23">
        <v>43027080</v>
      </c>
      <c r="N23">
        <v>47056740</v>
      </c>
      <c r="O23">
        <v>49456920</v>
      </c>
      <c r="P23">
        <v>51570840</v>
      </c>
      <c r="Q23">
        <v>53244360</v>
      </c>
      <c r="R23">
        <v>56062920</v>
      </c>
      <c r="S23">
        <v>58000680</v>
      </c>
      <c r="T23">
        <v>59652180</v>
      </c>
      <c r="U23">
        <v>60158640</v>
      </c>
      <c r="V23">
        <v>60599040</v>
      </c>
      <c r="W23">
        <v>61011254.399999999</v>
      </c>
    </row>
    <row r="24" spans="1:23" x14ac:dyDescent="0.3">
      <c r="A24" t="s">
        <v>116</v>
      </c>
      <c r="B24">
        <v>0</v>
      </c>
      <c r="C24">
        <v>20280.000000000004</v>
      </c>
      <c r="D24">
        <v>63960</v>
      </c>
      <c r="E24">
        <v>132600</v>
      </c>
      <c r="F24">
        <v>213720</v>
      </c>
      <c r="G24">
        <v>377520</v>
      </c>
      <c r="H24">
        <v>365040</v>
      </c>
      <c r="I24">
        <v>255840</v>
      </c>
      <c r="J24">
        <v>926640</v>
      </c>
      <c r="K24">
        <v>174720</v>
      </c>
      <c r="L24">
        <v>219960</v>
      </c>
      <c r="M24">
        <v>297960</v>
      </c>
      <c r="N24">
        <v>285480.00000000006</v>
      </c>
      <c r="O24">
        <v>170040.00000000003</v>
      </c>
      <c r="P24">
        <v>149760</v>
      </c>
      <c r="Q24">
        <v>118560</v>
      </c>
      <c r="R24">
        <v>199680.00000000003</v>
      </c>
      <c r="S24">
        <v>137280</v>
      </c>
      <c r="T24">
        <v>117000</v>
      </c>
      <c r="U24">
        <v>35880</v>
      </c>
      <c r="V24">
        <v>31200.000000000004</v>
      </c>
      <c r="W24">
        <v>29203.200000000001</v>
      </c>
    </row>
    <row r="25" spans="1:23" x14ac:dyDescent="0.3">
      <c r="A25" t="s">
        <v>117</v>
      </c>
      <c r="B25">
        <v>0</v>
      </c>
      <c r="C25">
        <v>20280.000000000004</v>
      </c>
      <c r="D25">
        <v>84240</v>
      </c>
      <c r="E25">
        <v>216840</v>
      </c>
      <c r="F25">
        <v>430560</v>
      </c>
      <c r="G25">
        <v>808080</v>
      </c>
      <c r="H25">
        <v>1173120</v>
      </c>
      <c r="I25">
        <v>1428960</v>
      </c>
      <c r="J25">
        <v>2355600</v>
      </c>
      <c r="K25">
        <v>2530320</v>
      </c>
      <c r="L25">
        <v>2750280</v>
      </c>
      <c r="M25">
        <v>3048240</v>
      </c>
      <c r="N25">
        <v>3333720</v>
      </c>
      <c r="O25">
        <v>3503760</v>
      </c>
      <c r="P25">
        <v>3653520</v>
      </c>
      <c r="Q25">
        <v>3772080</v>
      </c>
      <c r="R25">
        <v>3971760</v>
      </c>
      <c r="S25">
        <v>4109040</v>
      </c>
      <c r="T25">
        <v>4226040</v>
      </c>
      <c r="U25">
        <v>4261920</v>
      </c>
      <c r="V25">
        <v>4293120</v>
      </c>
      <c r="W25">
        <v>4322323.2</v>
      </c>
    </row>
    <row r="26" spans="1:23" x14ac:dyDescent="0.3">
      <c r="A26" t="s">
        <v>118</v>
      </c>
      <c r="B26">
        <v>0</v>
      </c>
      <c r="C26">
        <v>74427.600000000006</v>
      </c>
      <c r="D26">
        <v>309160.8</v>
      </c>
      <c r="E26">
        <v>795802.79999999993</v>
      </c>
      <c r="F26">
        <v>1580155.2</v>
      </c>
      <c r="G26">
        <v>2965653.6</v>
      </c>
      <c r="H26">
        <v>4305350.4000000004</v>
      </c>
      <c r="I26">
        <v>5244283.2</v>
      </c>
      <c r="J26">
        <v>8645052</v>
      </c>
      <c r="K26">
        <v>9286274.4000000004</v>
      </c>
      <c r="L26">
        <v>10093527.6</v>
      </c>
      <c r="M26">
        <v>11187040.799999999</v>
      </c>
      <c r="N26">
        <v>12234752.4</v>
      </c>
      <c r="O26">
        <v>12858799.199999999</v>
      </c>
      <c r="P26">
        <v>13408418.4</v>
      </c>
      <c r="Q26">
        <v>13843533.6</v>
      </c>
      <c r="R26">
        <v>14576359.199999999</v>
      </c>
      <c r="S26">
        <v>15080176.799999999</v>
      </c>
      <c r="T26">
        <v>15509566.799999999</v>
      </c>
      <c r="U26">
        <v>15641246.4</v>
      </c>
      <c r="V26">
        <v>15755750.4</v>
      </c>
      <c r="W26">
        <v>15862926.144000001</v>
      </c>
    </row>
    <row r="27" spans="1:23" x14ac:dyDescent="0.3">
      <c r="A27" t="s">
        <v>119</v>
      </c>
      <c r="C27">
        <v>312000</v>
      </c>
      <c r="D27">
        <v>312000</v>
      </c>
      <c r="E27">
        <v>312000</v>
      </c>
      <c r="F27">
        <v>312000</v>
      </c>
      <c r="G27">
        <v>312000</v>
      </c>
      <c r="H27">
        <v>936000</v>
      </c>
      <c r="I27">
        <v>312000</v>
      </c>
      <c r="J27">
        <v>936000</v>
      </c>
      <c r="K27">
        <v>312000</v>
      </c>
      <c r="L27">
        <v>312000</v>
      </c>
      <c r="M27">
        <v>312000</v>
      </c>
      <c r="N27">
        <v>312000</v>
      </c>
      <c r="O27">
        <v>312000</v>
      </c>
      <c r="P27">
        <v>312000</v>
      </c>
      <c r="Q27">
        <v>312000</v>
      </c>
      <c r="R27">
        <v>312000</v>
      </c>
      <c r="S27">
        <v>312000</v>
      </c>
      <c r="T27">
        <v>312000</v>
      </c>
      <c r="U27">
        <v>312000</v>
      </c>
      <c r="V27">
        <v>312000</v>
      </c>
      <c r="W27">
        <v>312000</v>
      </c>
    </row>
    <row r="28" spans="1:23" x14ac:dyDescent="0.3">
      <c r="A28" t="s">
        <v>120</v>
      </c>
      <c r="C28">
        <v>312000</v>
      </c>
      <c r="D28">
        <v>624000</v>
      </c>
      <c r="E28">
        <v>936000</v>
      </c>
      <c r="F28">
        <v>1248000</v>
      </c>
      <c r="G28">
        <v>1560000</v>
      </c>
      <c r="H28">
        <v>2496000</v>
      </c>
      <c r="I28">
        <v>2808000</v>
      </c>
      <c r="J28">
        <v>3744000</v>
      </c>
      <c r="K28">
        <v>4056000</v>
      </c>
      <c r="L28">
        <v>4368000</v>
      </c>
      <c r="M28">
        <v>4680000</v>
      </c>
      <c r="N28">
        <v>4992000</v>
      </c>
      <c r="O28">
        <v>5304000</v>
      </c>
      <c r="P28">
        <v>5616000</v>
      </c>
      <c r="Q28">
        <v>5928000</v>
      </c>
      <c r="R28">
        <v>6240000</v>
      </c>
      <c r="S28">
        <v>6552000</v>
      </c>
      <c r="T28">
        <v>6864000</v>
      </c>
      <c r="U28">
        <v>7176000</v>
      </c>
      <c r="V28">
        <v>7488000</v>
      </c>
      <c r="W28">
        <v>7800000</v>
      </c>
    </row>
    <row r="29" spans="1:23" x14ac:dyDescent="0.3">
      <c r="A29" t="s">
        <v>100</v>
      </c>
      <c r="C29">
        <v>1145040</v>
      </c>
      <c r="D29">
        <v>2290080</v>
      </c>
      <c r="E29">
        <v>3435120</v>
      </c>
      <c r="F29">
        <v>4580160</v>
      </c>
      <c r="G29">
        <v>5725200</v>
      </c>
      <c r="H29">
        <v>9160320</v>
      </c>
      <c r="I29">
        <v>10305360</v>
      </c>
      <c r="J29">
        <v>13740480</v>
      </c>
      <c r="K29">
        <v>14885520</v>
      </c>
      <c r="L29">
        <v>16030560</v>
      </c>
      <c r="M29">
        <v>17175600</v>
      </c>
      <c r="N29">
        <v>18320640</v>
      </c>
      <c r="O29">
        <v>19465680</v>
      </c>
      <c r="P29">
        <v>20610720</v>
      </c>
      <c r="Q29">
        <v>21755760</v>
      </c>
      <c r="R29">
        <v>22900800</v>
      </c>
      <c r="S29">
        <v>24045840</v>
      </c>
      <c r="T29">
        <v>25190880</v>
      </c>
      <c r="U29">
        <v>26335920</v>
      </c>
      <c r="V29">
        <v>27480960</v>
      </c>
      <c r="W29">
        <v>28626000</v>
      </c>
    </row>
    <row r="30" spans="1:23" x14ac:dyDescent="0.3">
      <c r="A30" t="s">
        <v>121</v>
      </c>
      <c r="V30">
        <v>453523.20000000001</v>
      </c>
      <c r="W30">
        <v>28746643.199999999</v>
      </c>
    </row>
    <row r="31" spans="1:23" x14ac:dyDescent="0.3">
      <c r="A31" t="s">
        <v>110</v>
      </c>
      <c r="V31">
        <v>1664430.1440000001</v>
      </c>
      <c r="W31">
        <v>105500180.544</v>
      </c>
    </row>
    <row r="34" spans="1:23" x14ac:dyDescent="0.3">
      <c r="A34" t="s">
        <v>122</v>
      </c>
    </row>
    <row r="35" spans="1:23" x14ac:dyDescent="0.3">
      <c r="A35" t="s">
        <v>112</v>
      </c>
      <c r="B35">
        <v>0</v>
      </c>
      <c r="C35">
        <v>0.18</v>
      </c>
      <c r="D35">
        <v>0.57999999999999996</v>
      </c>
      <c r="E35">
        <v>1.04</v>
      </c>
      <c r="F35">
        <v>1.62</v>
      </c>
      <c r="G35">
        <v>2.27</v>
      </c>
      <c r="H35">
        <v>0.7</v>
      </c>
      <c r="I35">
        <v>1.51</v>
      </c>
      <c r="J35">
        <v>2.0699999999999998</v>
      </c>
      <c r="K35">
        <v>1.28</v>
      </c>
      <c r="L35">
        <v>2.0699999999999998</v>
      </c>
      <c r="M35">
        <v>2.46</v>
      </c>
      <c r="N35">
        <v>2.0699999999999998</v>
      </c>
      <c r="O35">
        <v>1.44</v>
      </c>
      <c r="P35">
        <v>1.38</v>
      </c>
      <c r="Q35">
        <v>0.91</v>
      </c>
      <c r="R35">
        <v>1.26</v>
      </c>
      <c r="S35">
        <v>1.19</v>
      </c>
      <c r="T35">
        <v>0.38</v>
      </c>
      <c r="U35">
        <v>0.67</v>
      </c>
      <c r="V35">
        <v>0.64</v>
      </c>
      <c r="W35">
        <v>0.94</v>
      </c>
    </row>
    <row r="36" spans="1:23" x14ac:dyDescent="0.3">
      <c r="A36" t="s">
        <v>113</v>
      </c>
      <c r="B36">
        <v>0</v>
      </c>
      <c r="C36">
        <v>108000</v>
      </c>
      <c r="D36">
        <v>348000</v>
      </c>
      <c r="E36">
        <v>624000</v>
      </c>
      <c r="F36">
        <v>972000.00000000012</v>
      </c>
      <c r="G36">
        <v>1362000</v>
      </c>
      <c r="H36">
        <v>1260000</v>
      </c>
      <c r="I36">
        <v>906000</v>
      </c>
      <c r="J36">
        <v>3726000</v>
      </c>
      <c r="K36">
        <v>768000</v>
      </c>
      <c r="L36">
        <v>1242000</v>
      </c>
      <c r="M36">
        <v>1476000</v>
      </c>
      <c r="N36">
        <v>1242000</v>
      </c>
      <c r="O36">
        <v>864000</v>
      </c>
      <c r="P36">
        <v>827999.99999999988</v>
      </c>
      <c r="Q36">
        <v>546000</v>
      </c>
      <c r="R36">
        <v>756000</v>
      </c>
      <c r="S36">
        <v>714000</v>
      </c>
      <c r="T36">
        <v>228000</v>
      </c>
      <c r="U36">
        <v>402000</v>
      </c>
      <c r="V36">
        <v>384000</v>
      </c>
      <c r="W36">
        <v>564000</v>
      </c>
    </row>
    <row r="37" spans="1:23" x14ac:dyDescent="0.3">
      <c r="A37" t="s">
        <v>123</v>
      </c>
      <c r="B37">
        <v>0</v>
      </c>
      <c r="C37">
        <v>108000</v>
      </c>
      <c r="D37">
        <v>456000</v>
      </c>
      <c r="E37">
        <v>1080000</v>
      </c>
      <c r="F37">
        <v>2052000</v>
      </c>
      <c r="G37">
        <v>3414000</v>
      </c>
      <c r="H37">
        <v>4674000</v>
      </c>
      <c r="I37">
        <v>5580000</v>
      </c>
      <c r="J37">
        <v>9306000</v>
      </c>
      <c r="K37">
        <v>10074000</v>
      </c>
      <c r="L37">
        <v>11316000</v>
      </c>
      <c r="M37">
        <v>12792000</v>
      </c>
      <c r="N37">
        <v>14034000</v>
      </c>
      <c r="O37">
        <v>14898000</v>
      </c>
      <c r="P37">
        <v>15726000</v>
      </c>
      <c r="Q37">
        <v>16272000</v>
      </c>
      <c r="R37">
        <v>17028000</v>
      </c>
      <c r="S37">
        <v>17742000</v>
      </c>
      <c r="T37">
        <v>17970000</v>
      </c>
      <c r="U37">
        <v>18372000</v>
      </c>
      <c r="V37">
        <v>18756000</v>
      </c>
      <c r="W37">
        <v>19320000</v>
      </c>
    </row>
    <row r="38" spans="1:23" x14ac:dyDescent="0.3">
      <c r="A38" t="s">
        <v>115</v>
      </c>
      <c r="B38">
        <v>0</v>
      </c>
      <c r="C38">
        <v>396360</v>
      </c>
      <c r="D38">
        <v>1673520</v>
      </c>
      <c r="E38">
        <v>3963600</v>
      </c>
      <c r="F38">
        <v>7530840</v>
      </c>
      <c r="G38">
        <v>12529380</v>
      </c>
      <c r="H38">
        <v>17153580</v>
      </c>
      <c r="I38">
        <v>20478600</v>
      </c>
      <c r="J38">
        <v>34153020</v>
      </c>
      <c r="K38">
        <v>36971580</v>
      </c>
      <c r="L38">
        <v>41529720</v>
      </c>
      <c r="M38">
        <v>46946640</v>
      </c>
      <c r="N38">
        <v>51504780</v>
      </c>
      <c r="O38">
        <v>54675660</v>
      </c>
      <c r="P38">
        <v>57714420</v>
      </c>
      <c r="Q38">
        <v>59718240</v>
      </c>
      <c r="R38">
        <v>62492760</v>
      </c>
      <c r="S38">
        <v>65113140</v>
      </c>
      <c r="T38">
        <v>65949900</v>
      </c>
      <c r="U38">
        <v>67425240</v>
      </c>
      <c r="V38">
        <v>68834520</v>
      </c>
      <c r="W38">
        <v>70904400</v>
      </c>
    </row>
    <row r="39" spans="1:23" x14ac:dyDescent="0.3">
      <c r="A39" t="s">
        <v>124</v>
      </c>
      <c r="B39">
        <v>0</v>
      </c>
      <c r="C39">
        <v>28080</v>
      </c>
      <c r="D39">
        <v>90480</v>
      </c>
      <c r="E39">
        <v>162240.00000000003</v>
      </c>
      <c r="F39">
        <v>252720</v>
      </c>
      <c r="G39">
        <v>354120.00000000006</v>
      </c>
      <c r="H39">
        <v>327600</v>
      </c>
      <c r="I39">
        <v>235560</v>
      </c>
      <c r="J39">
        <v>968760</v>
      </c>
      <c r="K39">
        <v>199680.00000000003</v>
      </c>
      <c r="L39">
        <v>322920</v>
      </c>
      <c r="M39">
        <v>383760.00000000006</v>
      </c>
      <c r="N39">
        <v>322920</v>
      </c>
      <c r="O39">
        <v>224640</v>
      </c>
      <c r="P39">
        <v>215280</v>
      </c>
      <c r="Q39">
        <v>141960</v>
      </c>
      <c r="R39">
        <v>196560</v>
      </c>
      <c r="S39">
        <v>185640</v>
      </c>
      <c r="T39">
        <v>59280</v>
      </c>
      <c r="U39">
        <v>104520.00000000001</v>
      </c>
      <c r="V39">
        <v>99840.000000000015</v>
      </c>
      <c r="W39">
        <v>146640</v>
      </c>
    </row>
    <row r="40" spans="1:23" x14ac:dyDescent="0.3">
      <c r="A40" t="s">
        <v>125</v>
      </c>
      <c r="B40">
        <v>0</v>
      </c>
      <c r="C40">
        <v>28080</v>
      </c>
      <c r="D40">
        <v>118560</v>
      </c>
      <c r="E40">
        <v>280800</v>
      </c>
      <c r="F40">
        <v>533520</v>
      </c>
      <c r="G40">
        <v>887640</v>
      </c>
      <c r="H40">
        <v>1215240</v>
      </c>
      <c r="I40">
        <v>1450800</v>
      </c>
      <c r="J40">
        <v>2419560</v>
      </c>
      <c r="K40">
        <v>2619240</v>
      </c>
      <c r="L40">
        <v>2942160</v>
      </c>
      <c r="M40">
        <v>3325920</v>
      </c>
      <c r="N40">
        <v>3648840</v>
      </c>
      <c r="O40">
        <v>3873480</v>
      </c>
      <c r="P40">
        <v>4088760</v>
      </c>
      <c r="Q40">
        <v>4230720</v>
      </c>
      <c r="R40">
        <v>4427280</v>
      </c>
      <c r="S40">
        <v>4612920</v>
      </c>
      <c r="T40">
        <v>4672200</v>
      </c>
      <c r="U40">
        <v>4776720</v>
      </c>
      <c r="V40">
        <v>4876560</v>
      </c>
      <c r="W40">
        <v>5023200</v>
      </c>
    </row>
    <row r="41" spans="1:23" x14ac:dyDescent="0.3">
      <c r="A41" t="s">
        <v>115</v>
      </c>
      <c r="B41">
        <v>0</v>
      </c>
      <c r="C41">
        <v>103053.59999999999</v>
      </c>
      <c r="D41">
        <v>435115.2</v>
      </c>
      <c r="E41">
        <v>1030536</v>
      </c>
      <c r="F41">
        <v>1958018.4</v>
      </c>
      <c r="G41">
        <v>3257638.8</v>
      </c>
      <c r="H41">
        <v>4459930.8</v>
      </c>
      <c r="I41">
        <v>5324436</v>
      </c>
      <c r="J41">
        <v>8879785.1999999993</v>
      </c>
      <c r="K41">
        <v>9612610.8000000007</v>
      </c>
      <c r="L41">
        <v>10797727.199999999</v>
      </c>
      <c r="M41">
        <v>12206126.4</v>
      </c>
      <c r="N41">
        <v>13391242.799999999</v>
      </c>
      <c r="O41">
        <v>14215671.6</v>
      </c>
      <c r="P41">
        <v>15005749.199999999</v>
      </c>
      <c r="Q41">
        <v>15526742.4</v>
      </c>
      <c r="R41">
        <v>16248117.6</v>
      </c>
      <c r="S41">
        <v>16929416.399999999</v>
      </c>
      <c r="T41">
        <v>17146974</v>
      </c>
      <c r="U41">
        <v>17530562.399999999</v>
      </c>
      <c r="V41">
        <v>17896975.199999999</v>
      </c>
      <c r="W41">
        <v>18435144</v>
      </c>
    </row>
    <row r="42" spans="1:23" x14ac:dyDescent="0.3">
      <c r="A42" t="s">
        <v>119</v>
      </c>
      <c r="C42">
        <v>312000</v>
      </c>
      <c r="D42">
        <v>312000</v>
      </c>
      <c r="E42">
        <v>312000</v>
      </c>
      <c r="F42">
        <v>312000</v>
      </c>
      <c r="G42">
        <v>312000</v>
      </c>
      <c r="H42">
        <v>936000</v>
      </c>
      <c r="I42">
        <v>312000</v>
      </c>
      <c r="J42">
        <v>936000</v>
      </c>
      <c r="K42">
        <v>312000</v>
      </c>
      <c r="L42">
        <v>312000</v>
      </c>
      <c r="M42">
        <v>312000</v>
      </c>
      <c r="N42">
        <v>312000</v>
      </c>
      <c r="O42">
        <v>312000</v>
      </c>
      <c r="P42">
        <v>312000</v>
      </c>
      <c r="Q42">
        <v>312000</v>
      </c>
      <c r="R42">
        <v>312000</v>
      </c>
      <c r="S42">
        <v>312000</v>
      </c>
      <c r="T42">
        <v>312000</v>
      </c>
      <c r="U42">
        <v>312000</v>
      </c>
      <c r="V42">
        <v>312000</v>
      </c>
      <c r="W42">
        <v>312000</v>
      </c>
    </row>
    <row r="43" spans="1:23" x14ac:dyDescent="0.3">
      <c r="A43" t="s">
        <v>126</v>
      </c>
      <c r="C43">
        <v>312000</v>
      </c>
      <c r="D43">
        <v>624000</v>
      </c>
      <c r="E43">
        <v>936000</v>
      </c>
      <c r="F43">
        <v>1248000</v>
      </c>
      <c r="G43">
        <v>1560000</v>
      </c>
      <c r="H43">
        <v>2496000</v>
      </c>
      <c r="I43">
        <v>2808000</v>
      </c>
      <c r="J43">
        <v>3744000</v>
      </c>
      <c r="K43">
        <v>4056000</v>
      </c>
      <c r="L43">
        <v>4368000</v>
      </c>
      <c r="M43">
        <v>4680000</v>
      </c>
      <c r="N43">
        <v>4992000</v>
      </c>
      <c r="O43">
        <v>5304000</v>
      </c>
      <c r="P43">
        <v>5616000</v>
      </c>
      <c r="Q43">
        <v>5928000</v>
      </c>
      <c r="R43">
        <v>6240000</v>
      </c>
      <c r="S43">
        <v>6552000</v>
      </c>
      <c r="T43">
        <v>6864000</v>
      </c>
      <c r="U43">
        <v>7176000</v>
      </c>
      <c r="V43">
        <v>7488000</v>
      </c>
      <c r="W43">
        <v>7800000</v>
      </c>
    </row>
    <row r="44" spans="1:23" x14ac:dyDescent="0.3">
      <c r="A44" t="s">
        <v>115</v>
      </c>
      <c r="C44">
        <v>1145040</v>
      </c>
      <c r="D44">
        <v>2290080</v>
      </c>
      <c r="E44">
        <v>3435120</v>
      </c>
      <c r="F44">
        <v>4580160</v>
      </c>
      <c r="G44">
        <v>5725200</v>
      </c>
      <c r="H44">
        <v>9160320</v>
      </c>
      <c r="I44">
        <v>10305360</v>
      </c>
      <c r="J44">
        <v>13740480</v>
      </c>
      <c r="K44">
        <v>14885520</v>
      </c>
      <c r="L44">
        <v>16030560</v>
      </c>
      <c r="M44">
        <v>17175600</v>
      </c>
      <c r="N44">
        <v>18320640</v>
      </c>
      <c r="O44">
        <v>19465680</v>
      </c>
      <c r="P44">
        <v>20610720</v>
      </c>
      <c r="Q44">
        <v>21755760</v>
      </c>
      <c r="R44">
        <v>22900800</v>
      </c>
      <c r="S44">
        <v>24045840</v>
      </c>
      <c r="T44">
        <v>25190880</v>
      </c>
      <c r="U44">
        <v>26335920</v>
      </c>
      <c r="V44">
        <v>27480960</v>
      </c>
      <c r="W44">
        <v>28626000</v>
      </c>
    </row>
    <row r="45" spans="1:23" x14ac:dyDescent="0.3">
      <c r="A45" t="s">
        <v>121</v>
      </c>
      <c r="V45">
        <v>1022640</v>
      </c>
      <c r="W45">
        <v>32143200</v>
      </c>
    </row>
    <row r="46" spans="1:23" x14ac:dyDescent="0.3">
      <c r="A46" t="s">
        <v>110</v>
      </c>
      <c r="V46">
        <v>3753088.8</v>
      </c>
      <c r="W46">
        <v>117965544</v>
      </c>
    </row>
    <row r="49" spans="1:23" x14ac:dyDescent="0.3">
      <c r="A49" t="s">
        <v>127</v>
      </c>
    </row>
    <row r="50" spans="1:23" x14ac:dyDescent="0.3">
      <c r="A50" t="s">
        <v>112</v>
      </c>
      <c r="B50">
        <v>0</v>
      </c>
      <c r="C50">
        <v>0.23</v>
      </c>
      <c r="D50">
        <v>0.64</v>
      </c>
      <c r="E50">
        <v>0.93</v>
      </c>
      <c r="F50">
        <v>1.73</v>
      </c>
      <c r="G50">
        <v>2.75</v>
      </c>
      <c r="H50">
        <v>1.18</v>
      </c>
      <c r="I50">
        <v>2.0030000000000001</v>
      </c>
      <c r="J50">
        <v>2.94</v>
      </c>
      <c r="K50">
        <v>1.88</v>
      </c>
      <c r="L50">
        <v>3.008</v>
      </c>
      <c r="M50">
        <v>3.35</v>
      </c>
      <c r="N50">
        <v>3.03</v>
      </c>
      <c r="O50">
        <v>3.33</v>
      </c>
      <c r="P50">
        <v>2.36</v>
      </c>
      <c r="Q50">
        <v>1.39</v>
      </c>
      <c r="R50">
        <v>2.2400000000000002</v>
      </c>
      <c r="S50">
        <v>2.52</v>
      </c>
      <c r="T50">
        <v>2.73</v>
      </c>
      <c r="U50">
        <v>2.2599999999999998</v>
      </c>
      <c r="V50">
        <v>2.12</v>
      </c>
      <c r="W50">
        <v>2.74</v>
      </c>
    </row>
    <row r="51" spans="1:23" x14ac:dyDescent="0.3">
      <c r="A51" t="s">
        <v>113</v>
      </c>
      <c r="B51">
        <v>0</v>
      </c>
      <c r="C51">
        <v>138000</v>
      </c>
      <c r="D51">
        <v>384000</v>
      </c>
      <c r="E51">
        <v>558000</v>
      </c>
      <c r="F51">
        <v>1038000</v>
      </c>
      <c r="G51">
        <v>1650000</v>
      </c>
      <c r="H51">
        <v>2124000</v>
      </c>
      <c r="I51">
        <v>1201800</v>
      </c>
      <c r="J51">
        <v>5292000</v>
      </c>
      <c r="K51">
        <v>1128000</v>
      </c>
      <c r="L51">
        <v>1804800</v>
      </c>
      <c r="M51">
        <v>2010000</v>
      </c>
      <c r="N51">
        <v>1817999.9999999998</v>
      </c>
      <c r="O51">
        <v>1998000</v>
      </c>
      <c r="P51">
        <v>1416000</v>
      </c>
      <c r="Q51">
        <v>833999.99999999988</v>
      </c>
      <c r="R51">
        <v>1344000.0000000002</v>
      </c>
      <c r="S51">
        <v>1512000</v>
      </c>
      <c r="T51">
        <v>1638000</v>
      </c>
      <c r="U51">
        <v>1355999.9999999998</v>
      </c>
      <c r="V51">
        <v>1272000</v>
      </c>
      <c r="W51">
        <v>1644000.0000000002</v>
      </c>
    </row>
    <row r="52" spans="1:23" x14ac:dyDescent="0.3">
      <c r="A52" t="s">
        <v>128</v>
      </c>
      <c r="B52">
        <v>0</v>
      </c>
      <c r="C52">
        <v>138000</v>
      </c>
      <c r="D52">
        <v>522000</v>
      </c>
      <c r="E52">
        <v>1080000</v>
      </c>
      <c r="F52">
        <v>2118000</v>
      </c>
      <c r="G52">
        <v>3768000</v>
      </c>
      <c r="H52">
        <v>5892000</v>
      </c>
      <c r="I52">
        <v>7093800</v>
      </c>
      <c r="J52">
        <v>12385800</v>
      </c>
      <c r="K52">
        <v>13513800</v>
      </c>
      <c r="L52">
        <v>15318600</v>
      </c>
      <c r="M52">
        <v>17328600</v>
      </c>
      <c r="N52">
        <v>19146600</v>
      </c>
      <c r="O52">
        <v>21144600</v>
      </c>
      <c r="P52">
        <v>22560600</v>
      </c>
      <c r="Q52">
        <v>23394600</v>
      </c>
      <c r="R52">
        <v>24738600</v>
      </c>
      <c r="S52">
        <v>26250600</v>
      </c>
      <c r="T52">
        <v>27888600</v>
      </c>
      <c r="U52">
        <v>29244600</v>
      </c>
      <c r="V52">
        <v>30516600</v>
      </c>
      <c r="W52">
        <v>32160600</v>
      </c>
    </row>
    <row r="53" spans="1:23" x14ac:dyDescent="0.3">
      <c r="A53" t="s">
        <v>115</v>
      </c>
      <c r="B53">
        <v>0</v>
      </c>
      <c r="C53">
        <v>506460</v>
      </c>
      <c r="D53">
        <v>1915740</v>
      </c>
      <c r="E53">
        <v>3963600</v>
      </c>
      <c r="F53">
        <v>7773060</v>
      </c>
      <c r="G53">
        <v>13828560</v>
      </c>
      <c r="H53">
        <v>21623640</v>
      </c>
      <c r="I53">
        <v>26034246</v>
      </c>
      <c r="J53">
        <v>45455886</v>
      </c>
      <c r="K53">
        <v>49595646</v>
      </c>
      <c r="L53">
        <v>56219262</v>
      </c>
      <c r="M53">
        <v>63595962</v>
      </c>
      <c r="N53">
        <v>70268022</v>
      </c>
      <c r="O53">
        <v>77600682</v>
      </c>
      <c r="P53">
        <v>82797402</v>
      </c>
      <c r="Q53">
        <v>85858182</v>
      </c>
      <c r="R53">
        <v>90790662</v>
      </c>
      <c r="S53">
        <v>96339702</v>
      </c>
      <c r="T53">
        <v>102351162</v>
      </c>
      <c r="U53">
        <v>107327682</v>
      </c>
      <c r="V53">
        <v>111995922</v>
      </c>
      <c r="W53">
        <v>118029402</v>
      </c>
    </row>
    <row r="54" spans="1:23" x14ac:dyDescent="0.3">
      <c r="A54" t="s">
        <v>129</v>
      </c>
      <c r="B54">
        <v>0</v>
      </c>
      <c r="C54">
        <v>35880</v>
      </c>
      <c r="D54">
        <v>99840.000000000015</v>
      </c>
      <c r="E54">
        <v>145080</v>
      </c>
      <c r="F54">
        <v>269880</v>
      </c>
      <c r="G54">
        <v>429000.00000000006</v>
      </c>
      <c r="H54">
        <v>552240</v>
      </c>
      <c r="I54">
        <v>312468</v>
      </c>
      <c r="J54">
        <v>1375920</v>
      </c>
      <c r="K54">
        <v>293280</v>
      </c>
      <c r="L54">
        <v>469248</v>
      </c>
      <c r="M54">
        <v>522600.00000000006</v>
      </c>
      <c r="N54">
        <v>472679.99999999994</v>
      </c>
      <c r="O54">
        <v>519480</v>
      </c>
      <c r="P54">
        <v>368160</v>
      </c>
      <c r="Q54">
        <v>216840</v>
      </c>
      <c r="R54">
        <v>349440</v>
      </c>
      <c r="S54">
        <v>393120</v>
      </c>
      <c r="T54">
        <v>425880</v>
      </c>
      <c r="U54">
        <v>352560</v>
      </c>
      <c r="V54">
        <v>330720</v>
      </c>
      <c r="W54">
        <v>427440</v>
      </c>
    </row>
    <row r="55" spans="1:23" x14ac:dyDescent="0.3">
      <c r="A55" t="s">
        <v>125</v>
      </c>
      <c r="B55">
        <v>0</v>
      </c>
      <c r="C55">
        <v>35880</v>
      </c>
      <c r="D55">
        <v>135720</v>
      </c>
      <c r="E55">
        <v>280800</v>
      </c>
      <c r="F55">
        <v>550680</v>
      </c>
      <c r="G55">
        <v>979680</v>
      </c>
      <c r="H55">
        <v>1531920</v>
      </c>
      <c r="I55">
        <v>1844388</v>
      </c>
      <c r="J55">
        <v>3220308</v>
      </c>
      <c r="K55">
        <v>3513588</v>
      </c>
      <c r="L55">
        <v>3982836</v>
      </c>
      <c r="M55">
        <v>4505436</v>
      </c>
      <c r="N55">
        <v>4978116</v>
      </c>
      <c r="O55">
        <v>5497596</v>
      </c>
      <c r="P55">
        <v>5865756</v>
      </c>
      <c r="Q55">
        <v>6082596</v>
      </c>
      <c r="R55">
        <v>6432036</v>
      </c>
      <c r="S55">
        <v>6825156</v>
      </c>
      <c r="T55">
        <v>7251036</v>
      </c>
      <c r="U55">
        <v>7603596</v>
      </c>
      <c r="V55">
        <v>7934316</v>
      </c>
      <c r="W55">
        <v>8361756</v>
      </c>
    </row>
    <row r="56" spans="1:23" x14ac:dyDescent="0.3">
      <c r="A56" t="s">
        <v>130</v>
      </c>
      <c r="B56">
        <v>0</v>
      </c>
      <c r="C56">
        <v>131679.6</v>
      </c>
      <c r="D56">
        <v>498092.39999999997</v>
      </c>
      <c r="E56">
        <v>1030536</v>
      </c>
      <c r="F56">
        <v>2020995.5999999999</v>
      </c>
      <c r="G56">
        <v>3595425.6</v>
      </c>
      <c r="H56">
        <v>5622146.3999999994</v>
      </c>
      <c r="I56">
        <v>6768903.96</v>
      </c>
      <c r="J56">
        <v>11818530.359999999</v>
      </c>
      <c r="K56">
        <v>12894867.959999999</v>
      </c>
      <c r="L56">
        <v>14617008.119999999</v>
      </c>
      <c r="M56">
        <v>16534950.119999999</v>
      </c>
      <c r="N56">
        <v>18269685.719999999</v>
      </c>
      <c r="O56">
        <v>20176177.32</v>
      </c>
      <c r="P56">
        <v>21527324.52</v>
      </c>
      <c r="Q56">
        <v>22323127.32</v>
      </c>
      <c r="R56">
        <v>23605572.120000001</v>
      </c>
      <c r="S56">
        <v>25048322.52</v>
      </c>
      <c r="T56">
        <v>26611302.120000001</v>
      </c>
      <c r="U56">
        <v>27905197.32</v>
      </c>
      <c r="V56">
        <v>29118939.719999999</v>
      </c>
      <c r="W56">
        <v>30687644.52</v>
      </c>
    </row>
    <row r="57" spans="1:23" x14ac:dyDescent="0.3">
      <c r="A57" t="s">
        <v>119</v>
      </c>
      <c r="C57">
        <v>312000</v>
      </c>
      <c r="D57">
        <v>312000</v>
      </c>
      <c r="E57">
        <v>312000</v>
      </c>
      <c r="F57">
        <v>312000</v>
      </c>
      <c r="G57">
        <v>312000</v>
      </c>
      <c r="H57">
        <v>936000</v>
      </c>
      <c r="I57">
        <v>936000</v>
      </c>
      <c r="J57">
        <v>312000</v>
      </c>
      <c r="K57">
        <v>312000</v>
      </c>
      <c r="L57">
        <v>312000</v>
      </c>
      <c r="M57">
        <v>312000</v>
      </c>
      <c r="N57">
        <v>312000</v>
      </c>
      <c r="O57">
        <v>312000</v>
      </c>
      <c r="P57">
        <v>312000</v>
      </c>
      <c r="Q57">
        <v>312000</v>
      </c>
      <c r="R57">
        <v>312000</v>
      </c>
      <c r="S57">
        <v>312000</v>
      </c>
      <c r="T57">
        <v>312000</v>
      </c>
      <c r="U57">
        <v>312000</v>
      </c>
      <c r="V57">
        <v>312000</v>
      </c>
      <c r="W57">
        <v>312000</v>
      </c>
    </row>
    <row r="58" spans="1:23" x14ac:dyDescent="0.3">
      <c r="A58" t="s">
        <v>120</v>
      </c>
      <c r="C58">
        <v>312000</v>
      </c>
      <c r="D58">
        <v>624000</v>
      </c>
      <c r="E58">
        <v>936000</v>
      </c>
      <c r="F58">
        <v>1248000</v>
      </c>
      <c r="G58">
        <v>1560000</v>
      </c>
      <c r="H58">
        <v>2496000</v>
      </c>
      <c r="I58">
        <v>3432000</v>
      </c>
      <c r="J58">
        <v>3744000</v>
      </c>
      <c r="K58">
        <v>4056000</v>
      </c>
      <c r="L58">
        <v>4368000</v>
      </c>
      <c r="M58">
        <v>4680000</v>
      </c>
      <c r="N58">
        <v>4992000</v>
      </c>
      <c r="O58">
        <v>5304000</v>
      </c>
      <c r="P58">
        <v>5616000</v>
      </c>
      <c r="Q58">
        <v>5928000</v>
      </c>
      <c r="R58">
        <v>6240000</v>
      </c>
      <c r="S58">
        <v>6552000</v>
      </c>
      <c r="T58">
        <v>6864000</v>
      </c>
      <c r="U58">
        <v>7176000</v>
      </c>
      <c r="V58">
        <v>7488000</v>
      </c>
      <c r="W58">
        <v>7800000</v>
      </c>
    </row>
    <row r="59" spans="1:23" x14ac:dyDescent="0.3">
      <c r="A59" t="s">
        <v>100</v>
      </c>
      <c r="C59">
        <v>1145040</v>
      </c>
      <c r="D59">
        <v>2290080</v>
      </c>
      <c r="E59">
        <v>3435120</v>
      </c>
      <c r="F59">
        <v>4580160</v>
      </c>
      <c r="G59">
        <v>5725200</v>
      </c>
      <c r="H59">
        <v>9160320</v>
      </c>
      <c r="I59">
        <v>12595440</v>
      </c>
      <c r="J59">
        <v>13740480</v>
      </c>
      <c r="K59">
        <v>14885520</v>
      </c>
      <c r="L59">
        <v>16030560</v>
      </c>
      <c r="M59">
        <v>17175600</v>
      </c>
      <c r="N59">
        <v>18320640</v>
      </c>
      <c r="O59">
        <v>19465680</v>
      </c>
      <c r="P59">
        <v>20610720</v>
      </c>
      <c r="Q59">
        <v>21755760</v>
      </c>
      <c r="R59">
        <v>22900800</v>
      </c>
      <c r="S59">
        <v>24045840</v>
      </c>
      <c r="T59">
        <v>25190880</v>
      </c>
      <c r="U59">
        <v>26335920</v>
      </c>
      <c r="V59">
        <v>27480960</v>
      </c>
      <c r="W59">
        <v>28626000</v>
      </c>
    </row>
    <row r="60" spans="1:23" x14ac:dyDescent="0.3">
      <c r="A60" t="s">
        <v>121</v>
      </c>
      <c r="W60">
        <v>48322356</v>
      </c>
    </row>
    <row r="61" spans="1:23" x14ac:dyDescent="0.3">
      <c r="A61" t="s">
        <v>110</v>
      </c>
      <c r="W61">
        <v>177343046.52000001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CE280-B445-4C53-8A0D-E8B106E1B156}">
  <dimension ref="A3:AC272"/>
  <sheetViews>
    <sheetView topLeftCell="A231" workbookViewId="0">
      <selection activeCell="A2" sqref="A2:XFD2"/>
    </sheetView>
  </sheetViews>
  <sheetFormatPr defaultRowHeight="14.4" x14ac:dyDescent="0.3"/>
  <cols>
    <col min="1" max="1" width="19" customWidth="1"/>
  </cols>
  <sheetData>
    <row r="3" spans="1:29" x14ac:dyDescent="0.3">
      <c r="A3" t="s">
        <v>131</v>
      </c>
    </row>
    <row r="6" spans="1:29" x14ac:dyDescent="0.3">
      <c r="AB6" t="s">
        <v>132</v>
      </c>
    </row>
    <row r="7" spans="1:29" x14ac:dyDescent="0.3">
      <c r="A7" t="s">
        <v>96</v>
      </c>
      <c r="B7">
        <v>1993</v>
      </c>
      <c r="C7">
        <v>1994</v>
      </c>
      <c r="D7">
        <v>1995</v>
      </c>
      <c r="E7">
        <v>1996</v>
      </c>
      <c r="F7">
        <v>1997</v>
      </c>
      <c r="G7">
        <v>1998</v>
      </c>
      <c r="H7">
        <v>1999</v>
      </c>
      <c r="I7">
        <v>2000</v>
      </c>
      <c r="J7">
        <v>2001</v>
      </c>
      <c r="K7">
        <v>2002</v>
      </c>
      <c r="L7">
        <v>2003</v>
      </c>
      <c r="M7">
        <v>2004</v>
      </c>
      <c r="N7">
        <v>2005</v>
      </c>
      <c r="O7">
        <v>2006</v>
      </c>
      <c r="P7">
        <v>2007</v>
      </c>
      <c r="Q7">
        <v>2008</v>
      </c>
      <c r="R7">
        <v>2009</v>
      </c>
      <c r="S7">
        <v>2010</v>
      </c>
      <c r="T7">
        <v>2011</v>
      </c>
      <c r="U7">
        <v>2012</v>
      </c>
      <c r="V7">
        <v>2013</v>
      </c>
      <c r="W7">
        <v>2014</v>
      </c>
      <c r="X7">
        <v>2015</v>
      </c>
      <c r="Y7">
        <v>2016</v>
      </c>
      <c r="Z7">
        <v>2017</v>
      </c>
      <c r="AA7">
        <v>2018</v>
      </c>
      <c r="AB7" t="s">
        <v>133</v>
      </c>
      <c r="AC7" t="s">
        <v>134</v>
      </c>
    </row>
    <row r="8" spans="1:29" x14ac:dyDescent="0.3">
      <c r="A8" t="s">
        <v>135</v>
      </c>
      <c r="B8">
        <v>0</v>
      </c>
      <c r="C8">
        <v>0.52</v>
      </c>
      <c r="D8">
        <v>1.1599999999999999</v>
      </c>
      <c r="E8">
        <v>1.29</v>
      </c>
      <c r="F8">
        <v>2.2799999999999998</v>
      </c>
      <c r="G8">
        <v>3.14</v>
      </c>
      <c r="H8">
        <v>0.9</v>
      </c>
      <c r="I8">
        <v>0.9</v>
      </c>
      <c r="J8">
        <v>0.9</v>
      </c>
      <c r="K8">
        <v>1.93</v>
      </c>
      <c r="L8">
        <v>2.14</v>
      </c>
      <c r="M8">
        <v>2.14</v>
      </c>
      <c r="N8">
        <v>2.14</v>
      </c>
      <c r="O8">
        <v>1.25</v>
      </c>
      <c r="P8">
        <v>1.76</v>
      </c>
      <c r="Q8">
        <v>2.0499999999999998</v>
      </c>
      <c r="R8">
        <v>2.0099999999999998</v>
      </c>
      <c r="S8">
        <v>1.24</v>
      </c>
      <c r="T8">
        <v>1.27</v>
      </c>
      <c r="U8">
        <v>0.87</v>
      </c>
      <c r="V8">
        <v>1.28</v>
      </c>
      <c r="W8">
        <v>0.81</v>
      </c>
      <c r="X8">
        <v>0.96</v>
      </c>
      <c r="Y8">
        <v>0.33</v>
      </c>
      <c r="Z8">
        <v>0.52</v>
      </c>
      <c r="AA8">
        <v>0.72</v>
      </c>
    </row>
    <row r="9" spans="1:29" x14ac:dyDescent="0.3">
      <c r="A9" t="s">
        <v>136</v>
      </c>
      <c r="B9">
        <v>0</v>
      </c>
      <c r="C9">
        <v>12480</v>
      </c>
      <c r="AB9">
        <v>12480</v>
      </c>
      <c r="AC9">
        <v>12480</v>
      </c>
    </row>
    <row r="10" spans="1:29" x14ac:dyDescent="0.3">
      <c r="A10" t="s">
        <v>137</v>
      </c>
      <c r="B10">
        <v>0</v>
      </c>
      <c r="C10">
        <v>12480</v>
      </c>
      <c r="D10">
        <v>27839.999999999996</v>
      </c>
      <c r="AB10">
        <v>40320</v>
      </c>
      <c r="AC10">
        <v>52800</v>
      </c>
    </row>
    <row r="11" spans="1:29" x14ac:dyDescent="0.3">
      <c r="A11" t="s">
        <v>138</v>
      </c>
      <c r="B11">
        <v>0</v>
      </c>
      <c r="C11">
        <v>12480</v>
      </c>
      <c r="D11">
        <v>27839.999999999996</v>
      </c>
      <c r="E11">
        <v>30960</v>
      </c>
      <c r="AB11">
        <v>71280</v>
      </c>
      <c r="AC11">
        <v>124080</v>
      </c>
    </row>
    <row r="12" spans="1:29" x14ac:dyDescent="0.3">
      <c r="A12" t="s">
        <v>139</v>
      </c>
      <c r="B12">
        <v>0</v>
      </c>
      <c r="C12">
        <v>12480</v>
      </c>
      <c r="D12">
        <v>27839.999999999996</v>
      </c>
      <c r="E12">
        <v>30960</v>
      </c>
      <c r="F12">
        <v>54719.999999999993</v>
      </c>
      <c r="AB12">
        <v>126000</v>
      </c>
      <c r="AC12">
        <v>250080</v>
      </c>
    </row>
    <row r="13" spans="1:29" x14ac:dyDescent="0.3">
      <c r="A13" t="s">
        <v>140</v>
      </c>
      <c r="B13">
        <v>0</v>
      </c>
      <c r="C13">
        <v>12480</v>
      </c>
      <c r="D13">
        <v>27839.999999999996</v>
      </c>
      <c r="E13">
        <v>30960</v>
      </c>
      <c r="F13">
        <v>54719.999999999993</v>
      </c>
      <c r="G13">
        <v>75360</v>
      </c>
      <c r="AB13">
        <v>201360</v>
      </c>
      <c r="AC13">
        <v>451440</v>
      </c>
    </row>
    <row r="14" spans="1:29" x14ac:dyDescent="0.3">
      <c r="A14" t="s">
        <v>141</v>
      </c>
      <c r="B14">
        <v>0</v>
      </c>
      <c r="C14">
        <v>12480</v>
      </c>
      <c r="D14">
        <v>27839.999999999996</v>
      </c>
      <c r="E14">
        <v>30960</v>
      </c>
      <c r="F14">
        <v>54719.999999999993</v>
      </c>
      <c r="G14">
        <v>75360</v>
      </c>
      <c r="H14">
        <v>21600</v>
      </c>
      <c r="AB14">
        <v>222960</v>
      </c>
      <c r="AC14">
        <v>674400</v>
      </c>
    </row>
    <row r="15" spans="1:29" x14ac:dyDescent="0.3">
      <c r="A15" t="s">
        <v>142</v>
      </c>
      <c r="B15">
        <v>0</v>
      </c>
      <c r="C15">
        <v>12480</v>
      </c>
      <c r="D15">
        <v>27839.999999999996</v>
      </c>
      <c r="E15">
        <v>30960</v>
      </c>
      <c r="F15">
        <v>54719.999999999993</v>
      </c>
      <c r="G15">
        <v>75360</v>
      </c>
      <c r="H15">
        <v>21600</v>
      </c>
      <c r="I15">
        <v>21600</v>
      </c>
      <c r="AB15">
        <v>244560</v>
      </c>
      <c r="AC15">
        <v>918960</v>
      </c>
    </row>
    <row r="16" spans="1:29" x14ac:dyDescent="0.3">
      <c r="A16" t="s">
        <v>143</v>
      </c>
      <c r="B16">
        <v>0</v>
      </c>
      <c r="C16">
        <v>12480</v>
      </c>
      <c r="D16">
        <v>27839.999999999996</v>
      </c>
      <c r="E16">
        <v>30960</v>
      </c>
      <c r="F16">
        <v>54719.999999999993</v>
      </c>
      <c r="G16">
        <v>75360</v>
      </c>
      <c r="H16">
        <v>21600</v>
      </c>
      <c r="I16">
        <v>21600</v>
      </c>
      <c r="J16">
        <v>21600</v>
      </c>
      <c r="AB16">
        <v>266160</v>
      </c>
      <c r="AC16">
        <v>1185120</v>
      </c>
    </row>
    <row r="17" spans="1:29" x14ac:dyDescent="0.3">
      <c r="A17" t="s">
        <v>144</v>
      </c>
      <c r="B17">
        <v>0</v>
      </c>
      <c r="C17">
        <v>12480</v>
      </c>
      <c r="D17">
        <v>27839.999999999996</v>
      </c>
      <c r="E17">
        <v>30960</v>
      </c>
      <c r="F17">
        <v>54719.999999999993</v>
      </c>
      <c r="G17">
        <v>75360</v>
      </c>
      <c r="H17">
        <v>21600</v>
      </c>
      <c r="I17">
        <v>21600</v>
      </c>
      <c r="J17">
        <v>21600</v>
      </c>
      <c r="K17">
        <v>46320</v>
      </c>
      <c r="AB17">
        <v>312480</v>
      </c>
      <c r="AC17">
        <v>1497600</v>
      </c>
    </row>
    <row r="18" spans="1:29" x14ac:dyDescent="0.3">
      <c r="A18" t="s">
        <v>145</v>
      </c>
      <c r="B18">
        <v>0</v>
      </c>
      <c r="C18">
        <v>12480</v>
      </c>
      <c r="D18">
        <v>27839.999999999996</v>
      </c>
      <c r="E18">
        <v>30960</v>
      </c>
      <c r="F18">
        <v>54719.999999999993</v>
      </c>
      <c r="G18">
        <v>75360</v>
      </c>
      <c r="H18">
        <v>21600</v>
      </c>
      <c r="I18">
        <v>21600</v>
      </c>
      <c r="J18">
        <v>21600</v>
      </c>
      <c r="K18">
        <v>46320</v>
      </c>
      <c r="L18">
        <v>51360</v>
      </c>
      <c r="AB18">
        <v>363840</v>
      </c>
      <c r="AC18">
        <v>1861440</v>
      </c>
    </row>
    <row r="19" spans="1:29" x14ac:dyDescent="0.3">
      <c r="A19" t="s">
        <v>146</v>
      </c>
      <c r="B19">
        <v>0</v>
      </c>
      <c r="C19">
        <v>12480</v>
      </c>
      <c r="D19">
        <v>27839.999999999996</v>
      </c>
      <c r="E19">
        <v>30960</v>
      </c>
      <c r="F19">
        <v>54719.999999999993</v>
      </c>
      <c r="G19">
        <v>75360</v>
      </c>
      <c r="H19">
        <v>21600</v>
      </c>
      <c r="I19">
        <v>21600</v>
      </c>
      <c r="J19">
        <v>21600</v>
      </c>
      <c r="K19">
        <v>46320</v>
      </c>
      <c r="L19">
        <v>51360</v>
      </c>
      <c r="M19">
        <v>51360</v>
      </c>
      <c r="AB19">
        <v>415200</v>
      </c>
      <c r="AC19">
        <v>2276640</v>
      </c>
    </row>
    <row r="20" spans="1:29" x14ac:dyDescent="0.3">
      <c r="A20" t="s">
        <v>147</v>
      </c>
      <c r="B20">
        <v>0</v>
      </c>
      <c r="C20">
        <v>12480</v>
      </c>
      <c r="D20">
        <v>27839.999999999996</v>
      </c>
      <c r="E20">
        <v>30960</v>
      </c>
      <c r="F20">
        <v>54719.999999999993</v>
      </c>
      <c r="G20">
        <v>75360</v>
      </c>
      <c r="H20">
        <v>21600</v>
      </c>
      <c r="I20">
        <v>21600</v>
      </c>
      <c r="J20">
        <v>21600</v>
      </c>
      <c r="K20">
        <v>46320</v>
      </c>
      <c r="L20">
        <v>51360</v>
      </c>
      <c r="M20">
        <v>51360</v>
      </c>
      <c r="N20">
        <v>51360</v>
      </c>
      <c r="AB20">
        <v>466560</v>
      </c>
      <c r="AC20">
        <v>2743200</v>
      </c>
    </row>
    <row r="21" spans="1:29" x14ac:dyDescent="0.3">
      <c r="A21" t="s">
        <v>148</v>
      </c>
      <c r="B21">
        <v>0</v>
      </c>
      <c r="C21">
        <v>12480</v>
      </c>
      <c r="D21">
        <v>27839.999999999996</v>
      </c>
      <c r="E21">
        <v>30960</v>
      </c>
      <c r="F21">
        <v>54719.999999999993</v>
      </c>
      <c r="G21">
        <v>75360</v>
      </c>
      <c r="H21">
        <v>21600</v>
      </c>
      <c r="I21">
        <v>21600</v>
      </c>
      <c r="J21">
        <v>21600</v>
      </c>
      <c r="K21">
        <v>46320</v>
      </c>
      <c r="L21">
        <v>51360</v>
      </c>
      <c r="M21">
        <v>51360</v>
      </c>
      <c r="N21">
        <v>51360</v>
      </c>
      <c r="O21">
        <v>30000</v>
      </c>
      <c r="AB21">
        <v>496560</v>
      </c>
      <c r="AC21">
        <v>3239760</v>
      </c>
    </row>
    <row r="22" spans="1:29" x14ac:dyDescent="0.3">
      <c r="A22" t="s">
        <v>149</v>
      </c>
      <c r="B22">
        <v>0</v>
      </c>
      <c r="C22">
        <v>12480</v>
      </c>
      <c r="D22">
        <v>27839.999999999996</v>
      </c>
      <c r="E22">
        <v>30960</v>
      </c>
      <c r="F22">
        <v>54719.999999999993</v>
      </c>
      <c r="G22">
        <v>75360</v>
      </c>
      <c r="H22">
        <v>21600</v>
      </c>
      <c r="I22">
        <v>21600</v>
      </c>
      <c r="J22">
        <v>21600</v>
      </c>
      <c r="K22">
        <v>46320</v>
      </c>
      <c r="L22">
        <v>51360</v>
      </c>
      <c r="M22">
        <v>51360</v>
      </c>
      <c r="N22">
        <v>51360</v>
      </c>
      <c r="O22">
        <v>30000</v>
      </c>
      <c r="P22">
        <v>42240</v>
      </c>
      <c r="AB22">
        <v>538800</v>
      </c>
      <c r="AC22">
        <v>3778560</v>
      </c>
    </row>
    <row r="23" spans="1:29" x14ac:dyDescent="0.3">
      <c r="A23" t="s">
        <v>150</v>
      </c>
      <c r="B23">
        <v>0</v>
      </c>
      <c r="C23">
        <v>12480</v>
      </c>
      <c r="D23">
        <v>27839.999999999996</v>
      </c>
      <c r="E23">
        <v>30960</v>
      </c>
      <c r="F23">
        <v>54719.999999999993</v>
      </c>
      <c r="G23">
        <v>75360</v>
      </c>
      <c r="H23">
        <v>21600</v>
      </c>
      <c r="I23">
        <v>21600</v>
      </c>
      <c r="J23">
        <v>21600</v>
      </c>
      <c r="K23">
        <v>46320</v>
      </c>
      <c r="L23">
        <v>51360</v>
      </c>
      <c r="M23">
        <v>51360</v>
      </c>
      <c r="N23">
        <v>51360</v>
      </c>
      <c r="O23">
        <v>30000</v>
      </c>
      <c r="P23">
        <v>42240</v>
      </c>
      <c r="Q23">
        <v>49199.999999999993</v>
      </c>
      <c r="AB23">
        <v>588000</v>
      </c>
      <c r="AC23">
        <v>4366560</v>
      </c>
    </row>
    <row r="24" spans="1:29" x14ac:dyDescent="0.3">
      <c r="A24" t="s">
        <v>151</v>
      </c>
      <c r="B24">
        <v>0</v>
      </c>
      <c r="C24">
        <v>12480</v>
      </c>
      <c r="D24">
        <v>27839.999999999996</v>
      </c>
      <c r="E24">
        <v>30960</v>
      </c>
      <c r="F24">
        <v>54719.999999999993</v>
      </c>
      <c r="G24">
        <v>75360</v>
      </c>
      <c r="H24">
        <v>21600</v>
      </c>
      <c r="I24">
        <v>21600</v>
      </c>
      <c r="J24">
        <v>21600</v>
      </c>
      <c r="K24">
        <v>46320</v>
      </c>
      <c r="L24">
        <v>51360</v>
      </c>
      <c r="M24">
        <v>51360</v>
      </c>
      <c r="N24">
        <v>51360</v>
      </c>
      <c r="O24">
        <v>30000</v>
      </c>
      <c r="P24">
        <v>42240</v>
      </c>
      <c r="Q24">
        <v>49199.999999999993</v>
      </c>
      <c r="R24">
        <v>48239.999999999993</v>
      </c>
      <c r="AB24">
        <v>636240</v>
      </c>
      <c r="AC24">
        <v>5002800</v>
      </c>
    </row>
    <row r="25" spans="1:29" x14ac:dyDescent="0.3">
      <c r="A25" t="s">
        <v>152</v>
      </c>
      <c r="B25">
        <v>0</v>
      </c>
      <c r="C25">
        <v>12480</v>
      </c>
      <c r="D25">
        <v>27839.999999999996</v>
      </c>
      <c r="E25">
        <v>30960</v>
      </c>
      <c r="F25">
        <v>54719.999999999993</v>
      </c>
      <c r="G25">
        <v>75360</v>
      </c>
      <c r="H25">
        <v>21600</v>
      </c>
      <c r="I25">
        <v>21600</v>
      </c>
      <c r="J25">
        <v>21600</v>
      </c>
      <c r="K25">
        <v>46320</v>
      </c>
      <c r="L25">
        <v>51360</v>
      </c>
      <c r="M25">
        <v>51360</v>
      </c>
      <c r="N25">
        <v>51360</v>
      </c>
      <c r="O25">
        <v>30000</v>
      </c>
      <c r="P25">
        <v>42240</v>
      </c>
      <c r="Q25">
        <v>49199.999999999993</v>
      </c>
      <c r="R25">
        <v>48239.999999999993</v>
      </c>
      <c r="S25">
        <v>29760</v>
      </c>
      <c r="AB25">
        <v>666000</v>
      </c>
      <c r="AC25">
        <v>5668800</v>
      </c>
    </row>
    <row r="26" spans="1:29" x14ac:dyDescent="0.3">
      <c r="A26" t="s">
        <v>153</v>
      </c>
      <c r="B26">
        <v>0</v>
      </c>
      <c r="C26">
        <v>12480</v>
      </c>
      <c r="D26">
        <v>27839.999999999996</v>
      </c>
      <c r="E26">
        <v>30960</v>
      </c>
      <c r="F26">
        <v>54719.999999999993</v>
      </c>
      <c r="G26">
        <v>75360</v>
      </c>
      <c r="H26">
        <v>21600</v>
      </c>
      <c r="I26">
        <v>21600</v>
      </c>
      <c r="J26">
        <v>21600</v>
      </c>
      <c r="K26">
        <v>46320</v>
      </c>
      <c r="L26">
        <v>51360</v>
      </c>
      <c r="M26">
        <v>51360</v>
      </c>
      <c r="N26">
        <v>51360</v>
      </c>
      <c r="O26">
        <v>30000</v>
      </c>
      <c r="P26">
        <v>42240</v>
      </c>
      <c r="Q26">
        <v>49199.999999999993</v>
      </c>
      <c r="R26">
        <v>48239.999999999993</v>
      </c>
      <c r="S26">
        <v>29760</v>
      </c>
      <c r="T26">
        <v>30480</v>
      </c>
      <c r="AB26">
        <v>696480</v>
      </c>
      <c r="AC26">
        <v>6365280</v>
      </c>
    </row>
    <row r="27" spans="1:29" x14ac:dyDescent="0.3">
      <c r="A27" t="s">
        <v>154</v>
      </c>
      <c r="B27">
        <v>0</v>
      </c>
      <c r="C27">
        <v>12480</v>
      </c>
      <c r="D27">
        <v>27839.999999999996</v>
      </c>
      <c r="E27">
        <v>30960</v>
      </c>
      <c r="F27">
        <v>54719.999999999993</v>
      </c>
      <c r="G27">
        <v>75360</v>
      </c>
      <c r="H27">
        <v>21600</v>
      </c>
      <c r="I27">
        <v>21600</v>
      </c>
      <c r="J27">
        <v>21600</v>
      </c>
      <c r="K27">
        <v>46320</v>
      </c>
      <c r="L27">
        <v>51360</v>
      </c>
      <c r="M27">
        <v>51360</v>
      </c>
      <c r="N27">
        <v>51360</v>
      </c>
      <c r="O27">
        <v>30000</v>
      </c>
      <c r="P27">
        <v>42240</v>
      </c>
      <c r="Q27">
        <v>49199.999999999993</v>
      </c>
      <c r="R27">
        <v>48239.999999999993</v>
      </c>
      <c r="S27">
        <v>29760</v>
      </c>
      <c r="T27">
        <v>30480</v>
      </c>
      <c r="U27">
        <v>20880</v>
      </c>
      <c r="AB27">
        <v>717360</v>
      </c>
      <c r="AC27">
        <v>7082640</v>
      </c>
    </row>
    <row r="28" spans="1:29" x14ac:dyDescent="0.3">
      <c r="A28" t="s">
        <v>155</v>
      </c>
      <c r="B28">
        <v>0</v>
      </c>
      <c r="C28">
        <v>12480</v>
      </c>
      <c r="D28">
        <v>27839.999999999996</v>
      </c>
      <c r="E28">
        <v>30960</v>
      </c>
      <c r="F28">
        <v>54719.999999999993</v>
      </c>
      <c r="G28">
        <v>75360</v>
      </c>
      <c r="H28">
        <v>21600</v>
      </c>
      <c r="I28">
        <v>21600</v>
      </c>
      <c r="J28">
        <v>21600</v>
      </c>
      <c r="K28">
        <v>46320</v>
      </c>
      <c r="L28">
        <v>51360</v>
      </c>
      <c r="M28">
        <v>51360</v>
      </c>
      <c r="N28">
        <v>51360</v>
      </c>
      <c r="O28">
        <v>30000</v>
      </c>
      <c r="P28">
        <v>42240</v>
      </c>
      <c r="Q28">
        <v>49199.999999999993</v>
      </c>
      <c r="R28">
        <v>48239.999999999993</v>
      </c>
      <c r="S28">
        <v>29760</v>
      </c>
      <c r="T28">
        <v>30480</v>
      </c>
      <c r="U28">
        <v>20880</v>
      </c>
      <c r="V28">
        <v>30720</v>
      </c>
      <c r="AB28">
        <v>748080</v>
      </c>
      <c r="AC28">
        <v>7830720</v>
      </c>
    </row>
    <row r="29" spans="1:29" x14ac:dyDescent="0.3">
      <c r="A29" t="s">
        <v>156</v>
      </c>
      <c r="B29">
        <v>0</v>
      </c>
      <c r="C29">
        <v>12480</v>
      </c>
      <c r="D29">
        <v>27839.999999999996</v>
      </c>
      <c r="E29">
        <v>30960</v>
      </c>
      <c r="F29">
        <v>54719.999999999993</v>
      </c>
      <c r="G29">
        <v>75360</v>
      </c>
      <c r="H29">
        <v>21600</v>
      </c>
      <c r="I29">
        <v>21600</v>
      </c>
      <c r="J29">
        <v>21600</v>
      </c>
      <c r="K29">
        <v>46320</v>
      </c>
      <c r="L29">
        <v>51360</v>
      </c>
      <c r="M29">
        <v>51360</v>
      </c>
      <c r="N29">
        <v>51360</v>
      </c>
      <c r="O29">
        <v>30000</v>
      </c>
      <c r="P29">
        <v>42240</v>
      </c>
      <c r="Q29">
        <v>49199.999999999993</v>
      </c>
      <c r="R29">
        <v>48239.999999999993</v>
      </c>
      <c r="S29">
        <v>29760</v>
      </c>
      <c r="T29">
        <v>30480</v>
      </c>
      <c r="U29">
        <v>20880</v>
      </c>
      <c r="V29">
        <v>30720</v>
      </c>
      <c r="W29">
        <v>19440</v>
      </c>
      <c r="AB29">
        <v>767520</v>
      </c>
      <c r="AC29">
        <v>8598240</v>
      </c>
    </row>
    <row r="30" spans="1:29" x14ac:dyDescent="0.3">
      <c r="A30" t="s">
        <v>157</v>
      </c>
      <c r="B30">
        <v>0</v>
      </c>
      <c r="C30">
        <v>12480</v>
      </c>
      <c r="D30">
        <v>27839.999999999996</v>
      </c>
      <c r="E30">
        <v>30960</v>
      </c>
      <c r="F30">
        <v>54719.999999999993</v>
      </c>
      <c r="G30">
        <v>75360</v>
      </c>
      <c r="H30">
        <v>21600</v>
      </c>
      <c r="I30">
        <v>21600</v>
      </c>
      <c r="J30">
        <v>21600</v>
      </c>
      <c r="K30">
        <v>46320</v>
      </c>
      <c r="L30">
        <v>51360</v>
      </c>
      <c r="M30">
        <v>51360</v>
      </c>
      <c r="N30">
        <v>51360</v>
      </c>
      <c r="O30">
        <v>30000</v>
      </c>
      <c r="P30">
        <v>42240</v>
      </c>
      <c r="Q30">
        <v>49199.999999999993</v>
      </c>
      <c r="R30">
        <v>48239.999999999993</v>
      </c>
      <c r="S30">
        <v>29760</v>
      </c>
      <c r="T30">
        <v>30480</v>
      </c>
      <c r="U30">
        <v>20880</v>
      </c>
      <c r="V30">
        <v>30720</v>
      </c>
      <c r="W30">
        <v>19440</v>
      </c>
      <c r="X30">
        <v>23040</v>
      </c>
      <c r="AB30">
        <v>790560</v>
      </c>
      <c r="AC30">
        <v>9388800</v>
      </c>
    </row>
    <row r="31" spans="1:29" x14ac:dyDescent="0.3">
      <c r="A31" t="s">
        <v>158</v>
      </c>
      <c r="B31">
        <v>0</v>
      </c>
      <c r="C31">
        <v>12480</v>
      </c>
      <c r="D31">
        <v>27839.999999999996</v>
      </c>
      <c r="E31">
        <v>30960</v>
      </c>
      <c r="F31">
        <v>54719.999999999993</v>
      </c>
      <c r="G31">
        <v>75360</v>
      </c>
      <c r="H31">
        <v>21600</v>
      </c>
      <c r="I31">
        <v>21600</v>
      </c>
      <c r="J31">
        <v>21600</v>
      </c>
      <c r="K31">
        <v>46320</v>
      </c>
      <c r="L31">
        <v>51360</v>
      </c>
      <c r="M31">
        <v>51360</v>
      </c>
      <c r="N31">
        <v>51360</v>
      </c>
      <c r="O31">
        <v>30000</v>
      </c>
      <c r="P31">
        <v>42240</v>
      </c>
      <c r="Q31">
        <v>49199.999999999993</v>
      </c>
      <c r="R31">
        <v>48239.999999999993</v>
      </c>
      <c r="S31">
        <v>29760</v>
      </c>
      <c r="T31">
        <v>30480</v>
      </c>
      <c r="U31">
        <v>20880</v>
      </c>
      <c r="V31">
        <v>30720</v>
      </c>
      <c r="W31">
        <v>19440</v>
      </c>
      <c r="X31">
        <v>23040</v>
      </c>
      <c r="Y31">
        <v>7920</v>
      </c>
      <c r="AB31">
        <v>798480</v>
      </c>
      <c r="AC31">
        <v>10187280</v>
      </c>
    </row>
    <row r="32" spans="1:29" x14ac:dyDescent="0.3">
      <c r="A32" t="s">
        <v>159</v>
      </c>
      <c r="B32">
        <v>0</v>
      </c>
      <c r="C32">
        <v>12480</v>
      </c>
      <c r="D32">
        <v>27839.999999999996</v>
      </c>
      <c r="E32">
        <v>30960</v>
      </c>
      <c r="F32">
        <v>54719.999999999993</v>
      </c>
      <c r="G32">
        <v>75360</v>
      </c>
      <c r="H32">
        <v>21600</v>
      </c>
      <c r="I32">
        <v>21600</v>
      </c>
      <c r="J32">
        <v>21600</v>
      </c>
      <c r="K32">
        <v>46320</v>
      </c>
      <c r="L32">
        <v>51360</v>
      </c>
      <c r="M32">
        <v>51360</v>
      </c>
      <c r="N32">
        <v>51360</v>
      </c>
      <c r="O32">
        <v>30000</v>
      </c>
      <c r="P32">
        <v>42240</v>
      </c>
      <c r="Q32">
        <v>49199.999999999993</v>
      </c>
      <c r="R32">
        <v>48239.999999999993</v>
      </c>
      <c r="S32">
        <v>29760</v>
      </c>
      <c r="T32">
        <v>30480</v>
      </c>
      <c r="U32">
        <v>20880</v>
      </c>
      <c r="V32">
        <v>30720</v>
      </c>
      <c r="W32">
        <v>19440</v>
      </c>
      <c r="X32">
        <v>23040</v>
      </c>
      <c r="Y32">
        <v>7920</v>
      </c>
      <c r="Z32">
        <v>12480</v>
      </c>
      <c r="AB32">
        <v>810960</v>
      </c>
      <c r="AC32">
        <v>10998240</v>
      </c>
    </row>
    <row r="33" spans="1:29" x14ac:dyDescent="0.3">
      <c r="A33" t="s">
        <v>160</v>
      </c>
      <c r="B33">
        <v>0</v>
      </c>
      <c r="C33">
        <v>12480</v>
      </c>
      <c r="D33">
        <v>27839.999999999996</v>
      </c>
      <c r="E33">
        <v>30960</v>
      </c>
      <c r="F33">
        <v>54719.999999999993</v>
      </c>
      <c r="G33">
        <v>75360</v>
      </c>
      <c r="H33">
        <v>21600</v>
      </c>
      <c r="I33">
        <v>21600</v>
      </c>
      <c r="J33">
        <v>21600</v>
      </c>
      <c r="K33">
        <v>46320</v>
      </c>
      <c r="L33">
        <v>51360</v>
      </c>
      <c r="M33">
        <v>51360</v>
      </c>
      <c r="N33">
        <v>51360</v>
      </c>
      <c r="O33">
        <v>30000</v>
      </c>
      <c r="P33">
        <v>42240</v>
      </c>
      <c r="Q33">
        <v>49199.999999999993</v>
      </c>
      <c r="R33">
        <v>48239.999999999993</v>
      </c>
      <c r="S33">
        <v>29760</v>
      </c>
      <c r="T33">
        <v>30480</v>
      </c>
      <c r="U33">
        <v>20880</v>
      </c>
      <c r="V33">
        <v>30720</v>
      </c>
      <c r="W33">
        <v>19440</v>
      </c>
      <c r="X33">
        <v>23040</v>
      </c>
      <c r="Y33">
        <v>7920</v>
      </c>
      <c r="Z33">
        <v>12480</v>
      </c>
      <c r="AA33">
        <v>17280</v>
      </c>
      <c r="AB33">
        <v>828240</v>
      </c>
      <c r="AC33">
        <v>11826480</v>
      </c>
    </row>
    <row r="34" spans="1:29" x14ac:dyDescent="0.3">
      <c r="A34" t="s">
        <v>161</v>
      </c>
      <c r="AB34">
        <v>11826480</v>
      </c>
      <c r="AC34">
        <v>43403181.600000001</v>
      </c>
    </row>
    <row r="35" spans="1:29" x14ac:dyDescent="0.3">
      <c r="AB35">
        <v>11.82648</v>
      </c>
      <c r="AC35">
        <v>43.4</v>
      </c>
    </row>
    <row r="37" spans="1:29" x14ac:dyDescent="0.3">
      <c r="A37" t="s">
        <v>162</v>
      </c>
    </row>
    <row r="38" spans="1:29" x14ac:dyDescent="0.3">
      <c r="A38" t="s">
        <v>163</v>
      </c>
      <c r="B38">
        <v>0</v>
      </c>
      <c r="C38">
        <v>3244.8</v>
      </c>
      <c r="AB38">
        <v>3244.8</v>
      </c>
      <c r="AC38">
        <v>3244.8</v>
      </c>
    </row>
    <row r="39" spans="1:29" x14ac:dyDescent="0.3">
      <c r="A39" t="s">
        <v>164</v>
      </c>
      <c r="B39">
        <v>0</v>
      </c>
      <c r="C39">
        <v>3244.8</v>
      </c>
      <c r="D39">
        <v>7238.4</v>
      </c>
      <c r="AB39">
        <v>10483.200000000001</v>
      </c>
      <c r="AC39">
        <v>13728</v>
      </c>
    </row>
    <row r="40" spans="1:29" x14ac:dyDescent="0.3">
      <c r="A40" t="s">
        <v>138</v>
      </c>
      <c r="B40">
        <v>0</v>
      </c>
      <c r="C40">
        <v>3244.8</v>
      </c>
      <c r="D40">
        <v>7238.4</v>
      </c>
      <c r="E40">
        <v>8049.6</v>
      </c>
      <c r="AB40">
        <v>18532.800000000003</v>
      </c>
      <c r="AC40">
        <v>32260.800000000003</v>
      </c>
    </row>
    <row r="41" spans="1:29" x14ac:dyDescent="0.3">
      <c r="A41" t="s">
        <v>139</v>
      </c>
      <c r="B41">
        <v>0</v>
      </c>
      <c r="C41">
        <v>3244.8</v>
      </c>
      <c r="D41">
        <v>7238.4</v>
      </c>
      <c r="E41">
        <v>8049.6</v>
      </c>
      <c r="F41">
        <v>14227.199999999999</v>
      </c>
      <c r="AB41">
        <v>32760</v>
      </c>
      <c r="AC41">
        <v>65020.800000000003</v>
      </c>
    </row>
    <row r="42" spans="1:29" x14ac:dyDescent="0.3">
      <c r="A42" t="s">
        <v>140</v>
      </c>
      <c r="B42">
        <v>0</v>
      </c>
      <c r="C42">
        <v>3244.8</v>
      </c>
      <c r="D42">
        <v>7238.4</v>
      </c>
      <c r="E42">
        <v>8049.6</v>
      </c>
      <c r="F42">
        <v>14227.199999999999</v>
      </c>
      <c r="G42">
        <v>19593.600000000002</v>
      </c>
      <c r="AB42">
        <v>52353.600000000006</v>
      </c>
      <c r="AC42">
        <v>117374.40000000001</v>
      </c>
    </row>
    <row r="43" spans="1:29" x14ac:dyDescent="0.3">
      <c r="A43" t="s">
        <v>141</v>
      </c>
      <c r="B43">
        <v>0</v>
      </c>
      <c r="C43">
        <v>3244.8</v>
      </c>
      <c r="D43">
        <v>7238.4</v>
      </c>
      <c r="E43">
        <v>8049.6</v>
      </c>
      <c r="F43">
        <v>14227.199999999999</v>
      </c>
      <c r="G43">
        <v>19593.600000000002</v>
      </c>
      <c r="H43">
        <v>5616</v>
      </c>
      <c r="AB43">
        <v>57969.600000000006</v>
      </c>
      <c r="AC43">
        <v>175344</v>
      </c>
    </row>
    <row r="44" spans="1:29" x14ac:dyDescent="0.3">
      <c r="A44" t="s">
        <v>142</v>
      </c>
      <c r="B44">
        <v>0</v>
      </c>
      <c r="C44">
        <v>3244.8</v>
      </c>
      <c r="D44">
        <v>7238.4</v>
      </c>
      <c r="E44">
        <v>8049.6</v>
      </c>
      <c r="F44">
        <v>14227.199999999999</v>
      </c>
      <c r="G44">
        <v>19593.600000000002</v>
      </c>
      <c r="H44">
        <v>5616</v>
      </c>
      <c r="I44">
        <v>5616</v>
      </c>
      <c r="AB44">
        <v>63585.600000000006</v>
      </c>
      <c r="AC44">
        <v>238929.6</v>
      </c>
    </row>
    <row r="45" spans="1:29" x14ac:dyDescent="0.3">
      <c r="A45" t="s">
        <v>143</v>
      </c>
      <c r="B45">
        <v>0</v>
      </c>
      <c r="C45">
        <v>3244.8</v>
      </c>
      <c r="D45">
        <v>7238.4</v>
      </c>
      <c r="E45">
        <v>8049.6</v>
      </c>
      <c r="F45">
        <v>14227.199999999999</v>
      </c>
      <c r="G45">
        <v>19593.600000000002</v>
      </c>
      <c r="H45">
        <v>5616</v>
      </c>
      <c r="I45">
        <v>5616</v>
      </c>
      <c r="J45">
        <v>5616</v>
      </c>
      <c r="AB45">
        <v>69201.600000000006</v>
      </c>
      <c r="AC45">
        <v>308131.20000000001</v>
      </c>
    </row>
    <row r="46" spans="1:29" x14ac:dyDescent="0.3">
      <c r="A46" t="s">
        <v>144</v>
      </c>
      <c r="B46">
        <v>0</v>
      </c>
      <c r="C46">
        <v>3244.8</v>
      </c>
      <c r="D46">
        <v>7238.4</v>
      </c>
      <c r="E46">
        <v>8049.6</v>
      </c>
      <c r="F46">
        <v>14227.199999999999</v>
      </c>
      <c r="G46">
        <v>19593.600000000002</v>
      </c>
      <c r="H46">
        <v>5616</v>
      </c>
      <c r="I46">
        <v>5616</v>
      </c>
      <c r="J46">
        <v>5616</v>
      </c>
      <c r="K46">
        <v>12043.2</v>
      </c>
      <c r="AB46">
        <v>81244.800000000003</v>
      </c>
      <c r="AC46">
        <v>389376</v>
      </c>
    </row>
    <row r="47" spans="1:29" x14ac:dyDescent="0.3">
      <c r="A47" t="s">
        <v>145</v>
      </c>
      <c r="B47">
        <v>0</v>
      </c>
      <c r="C47">
        <v>3244.8</v>
      </c>
      <c r="D47">
        <v>7238.4</v>
      </c>
      <c r="E47">
        <v>8049.6</v>
      </c>
      <c r="F47">
        <v>14227.199999999999</v>
      </c>
      <c r="G47">
        <v>19593.600000000002</v>
      </c>
      <c r="H47">
        <v>5616</v>
      </c>
      <c r="I47">
        <v>5616</v>
      </c>
      <c r="J47">
        <v>5616</v>
      </c>
      <c r="K47">
        <v>12043.2</v>
      </c>
      <c r="L47">
        <v>13353.6</v>
      </c>
      <c r="AB47">
        <v>94598.400000000009</v>
      </c>
      <c r="AC47">
        <v>483974.40000000002</v>
      </c>
    </row>
    <row r="48" spans="1:29" x14ac:dyDescent="0.3">
      <c r="A48" t="s">
        <v>146</v>
      </c>
      <c r="B48">
        <v>0</v>
      </c>
      <c r="C48">
        <v>3244.8</v>
      </c>
      <c r="D48">
        <v>7238.4</v>
      </c>
      <c r="E48">
        <v>8049.6</v>
      </c>
      <c r="F48">
        <v>14227.199999999999</v>
      </c>
      <c r="G48">
        <v>19593.600000000002</v>
      </c>
      <c r="H48">
        <v>5616</v>
      </c>
      <c r="I48">
        <v>5616</v>
      </c>
      <c r="J48">
        <v>5616</v>
      </c>
      <c r="K48">
        <v>12043.2</v>
      </c>
      <c r="L48">
        <v>13353.6</v>
      </c>
      <c r="M48">
        <v>13353.6</v>
      </c>
      <c r="AB48">
        <v>107952.00000000001</v>
      </c>
      <c r="AC48">
        <v>591926.4</v>
      </c>
    </row>
    <row r="49" spans="1:29" x14ac:dyDescent="0.3">
      <c r="A49" t="s">
        <v>147</v>
      </c>
      <c r="B49">
        <v>0</v>
      </c>
      <c r="C49">
        <v>3244.8</v>
      </c>
      <c r="D49">
        <v>7238.4</v>
      </c>
      <c r="E49">
        <v>8049.6</v>
      </c>
      <c r="F49">
        <v>14227.199999999999</v>
      </c>
      <c r="G49">
        <v>19593.600000000002</v>
      </c>
      <c r="H49">
        <v>5616</v>
      </c>
      <c r="I49">
        <v>5616</v>
      </c>
      <c r="J49">
        <v>5616</v>
      </c>
      <c r="K49">
        <v>12043.2</v>
      </c>
      <c r="L49">
        <v>13353.6</v>
      </c>
      <c r="M49">
        <v>13353.6</v>
      </c>
      <c r="N49">
        <v>13353.6</v>
      </c>
      <c r="AB49">
        <v>121305.60000000002</v>
      </c>
      <c r="AC49">
        <v>713232</v>
      </c>
    </row>
    <row r="50" spans="1:29" x14ac:dyDescent="0.3">
      <c r="A50" t="s">
        <v>148</v>
      </c>
      <c r="B50">
        <v>0</v>
      </c>
      <c r="C50">
        <v>3244.8</v>
      </c>
      <c r="D50">
        <v>7238.4</v>
      </c>
      <c r="E50">
        <v>8049.6</v>
      </c>
      <c r="F50">
        <v>14227.199999999999</v>
      </c>
      <c r="G50">
        <v>19593.600000000002</v>
      </c>
      <c r="H50">
        <v>5616</v>
      </c>
      <c r="I50">
        <v>5616</v>
      </c>
      <c r="J50">
        <v>5616</v>
      </c>
      <c r="K50">
        <v>12043.2</v>
      </c>
      <c r="L50">
        <v>13353.6</v>
      </c>
      <c r="M50">
        <v>13353.6</v>
      </c>
      <c r="N50">
        <v>13353.6</v>
      </c>
      <c r="O50">
        <v>7800</v>
      </c>
      <c r="AB50">
        <v>129105.60000000002</v>
      </c>
      <c r="AC50">
        <v>842337.6</v>
      </c>
    </row>
    <row r="51" spans="1:29" x14ac:dyDescent="0.3">
      <c r="A51" t="s">
        <v>149</v>
      </c>
      <c r="B51">
        <v>0</v>
      </c>
      <c r="C51">
        <v>3244.8</v>
      </c>
      <c r="D51">
        <v>7238.4</v>
      </c>
      <c r="E51">
        <v>8049.6</v>
      </c>
      <c r="F51">
        <v>14227.199999999999</v>
      </c>
      <c r="G51">
        <v>19593.600000000002</v>
      </c>
      <c r="H51">
        <v>5616</v>
      </c>
      <c r="I51">
        <v>5616</v>
      </c>
      <c r="J51">
        <v>5616</v>
      </c>
      <c r="K51">
        <v>12043.2</v>
      </c>
      <c r="L51">
        <v>13353.6</v>
      </c>
      <c r="M51">
        <v>13353.6</v>
      </c>
      <c r="N51">
        <v>13353.6</v>
      </c>
      <c r="O51">
        <v>7800</v>
      </c>
      <c r="P51">
        <v>10982.4</v>
      </c>
      <c r="AB51">
        <v>140088.00000000003</v>
      </c>
      <c r="AC51">
        <v>982425.59999999998</v>
      </c>
    </row>
    <row r="52" spans="1:29" x14ac:dyDescent="0.3">
      <c r="A52" t="s">
        <v>150</v>
      </c>
      <c r="B52">
        <v>0</v>
      </c>
      <c r="C52">
        <v>3244.8</v>
      </c>
      <c r="D52">
        <v>7238.4</v>
      </c>
      <c r="E52">
        <v>8049.6</v>
      </c>
      <c r="F52">
        <v>14227.199999999999</v>
      </c>
      <c r="G52">
        <v>19593.600000000002</v>
      </c>
      <c r="H52">
        <v>5616</v>
      </c>
      <c r="I52">
        <v>5616</v>
      </c>
      <c r="J52">
        <v>5616</v>
      </c>
      <c r="K52">
        <v>12043.2</v>
      </c>
      <c r="L52">
        <v>13353.6</v>
      </c>
      <c r="M52">
        <v>13353.6</v>
      </c>
      <c r="N52">
        <v>13353.6</v>
      </c>
      <c r="O52">
        <v>7800</v>
      </c>
      <c r="P52">
        <v>10982.4</v>
      </c>
      <c r="Q52">
        <v>12791.999999999998</v>
      </c>
      <c r="AB52">
        <v>152880.00000000003</v>
      </c>
      <c r="AC52">
        <v>1135305.6000000001</v>
      </c>
    </row>
    <row r="53" spans="1:29" x14ac:dyDescent="0.3">
      <c r="A53" t="s">
        <v>151</v>
      </c>
      <c r="B53">
        <v>0</v>
      </c>
      <c r="C53">
        <v>3244.8</v>
      </c>
      <c r="D53">
        <v>7238.4</v>
      </c>
      <c r="E53">
        <v>8049.6</v>
      </c>
      <c r="F53">
        <v>14227.199999999999</v>
      </c>
      <c r="G53">
        <v>19593.600000000002</v>
      </c>
      <c r="H53">
        <v>5616</v>
      </c>
      <c r="I53">
        <v>5616</v>
      </c>
      <c r="J53">
        <v>5616</v>
      </c>
      <c r="K53">
        <v>12043.2</v>
      </c>
      <c r="L53">
        <v>13353.6</v>
      </c>
      <c r="M53">
        <v>13353.6</v>
      </c>
      <c r="N53">
        <v>13353.6</v>
      </c>
      <c r="O53">
        <v>7800</v>
      </c>
      <c r="P53">
        <v>10982.4</v>
      </c>
      <c r="Q53">
        <v>12791.999999999998</v>
      </c>
      <c r="R53">
        <v>12542.399999999998</v>
      </c>
      <c r="AB53">
        <v>165422.40000000002</v>
      </c>
      <c r="AC53">
        <v>1300728</v>
      </c>
    </row>
    <row r="54" spans="1:29" x14ac:dyDescent="0.3">
      <c r="A54" t="s">
        <v>152</v>
      </c>
      <c r="B54">
        <v>0</v>
      </c>
      <c r="C54">
        <v>3244.8</v>
      </c>
      <c r="D54">
        <v>7238.4</v>
      </c>
      <c r="E54">
        <v>8049.6</v>
      </c>
      <c r="F54">
        <v>14227.199999999999</v>
      </c>
      <c r="G54">
        <v>19593.600000000002</v>
      </c>
      <c r="H54">
        <v>5616</v>
      </c>
      <c r="I54">
        <v>5616</v>
      </c>
      <c r="J54">
        <v>5616</v>
      </c>
      <c r="K54">
        <v>12043.2</v>
      </c>
      <c r="L54">
        <v>13353.6</v>
      </c>
      <c r="M54">
        <v>13353.6</v>
      </c>
      <c r="N54">
        <v>13353.6</v>
      </c>
      <c r="O54">
        <v>7800</v>
      </c>
      <c r="P54">
        <v>10982.4</v>
      </c>
      <c r="Q54">
        <v>12791.999999999998</v>
      </c>
      <c r="R54">
        <v>12542.399999999998</v>
      </c>
      <c r="S54">
        <v>7737.6</v>
      </c>
      <c r="AB54">
        <v>173160.00000000003</v>
      </c>
      <c r="AC54">
        <v>1473888</v>
      </c>
    </row>
    <row r="55" spans="1:29" x14ac:dyDescent="0.3">
      <c r="A55" t="s">
        <v>153</v>
      </c>
      <c r="B55">
        <v>0</v>
      </c>
      <c r="C55">
        <v>3244.8</v>
      </c>
      <c r="D55">
        <v>7238.4</v>
      </c>
      <c r="E55">
        <v>8049.6</v>
      </c>
      <c r="F55">
        <v>14227.199999999999</v>
      </c>
      <c r="G55">
        <v>19593.600000000002</v>
      </c>
      <c r="H55">
        <v>5616</v>
      </c>
      <c r="I55">
        <v>5616</v>
      </c>
      <c r="J55">
        <v>5616</v>
      </c>
      <c r="K55">
        <v>12043.2</v>
      </c>
      <c r="L55">
        <v>13353.6</v>
      </c>
      <c r="M55">
        <v>13353.6</v>
      </c>
      <c r="N55">
        <v>13353.6</v>
      </c>
      <c r="O55">
        <v>7800</v>
      </c>
      <c r="P55">
        <v>10982.4</v>
      </c>
      <c r="Q55">
        <v>12791.999999999998</v>
      </c>
      <c r="R55">
        <v>12542.399999999998</v>
      </c>
      <c r="S55">
        <v>7737.6</v>
      </c>
      <c r="T55">
        <v>7924.8</v>
      </c>
      <c r="AB55">
        <v>181084.80000000002</v>
      </c>
      <c r="AC55">
        <v>1654972.8</v>
      </c>
    </row>
    <row r="56" spans="1:29" x14ac:dyDescent="0.3">
      <c r="A56" t="s">
        <v>154</v>
      </c>
      <c r="B56">
        <v>0</v>
      </c>
      <c r="C56">
        <v>3244.8</v>
      </c>
      <c r="D56">
        <v>7238.4</v>
      </c>
      <c r="E56">
        <v>8049.6</v>
      </c>
      <c r="F56">
        <v>14227.199999999999</v>
      </c>
      <c r="G56">
        <v>19593.600000000002</v>
      </c>
      <c r="H56">
        <v>5616</v>
      </c>
      <c r="I56">
        <v>5616</v>
      </c>
      <c r="J56">
        <v>5616</v>
      </c>
      <c r="K56">
        <v>12043.2</v>
      </c>
      <c r="L56">
        <v>13353.6</v>
      </c>
      <c r="M56">
        <v>13353.6</v>
      </c>
      <c r="N56">
        <v>13353.6</v>
      </c>
      <c r="O56">
        <v>7800</v>
      </c>
      <c r="P56">
        <v>10982.4</v>
      </c>
      <c r="Q56">
        <v>12791.999999999998</v>
      </c>
      <c r="R56">
        <v>12542.399999999998</v>
      </c>
      <c r="S56">
        <v>7737.6</v>
      </c>
      <c r="T56">
        <v>7924.8</v>
      </c>
      <c r="U56">
        <v>5428.8</v>
      </c>
      <c r="AB56">
        <v>186513.6</v>
      </c>
      <c r="AC56">
        <v>1841486.4000000001</v>
      </c>
    </row>
    <row r="57" spans="1:29" x14ac:dyDescent="0.3">
      <c r="A57" t="s">
        <v>155</v>
      </c>
      <c r="B57">
        <v>0</v>
      </c>
      <c r="C57">
        <v>3244.8</v>
      </c>
      <c r="D57">
        <v>7238.4</v>
      </c>
      <c r="E57">
        <v>8049.6</v>
      </c>
      <c r="F57">
        <v>14227.199999999999</v>
      </c>
      <c r="G57">
        <v>19593.600000000002</v>
      </c>
      <c r="H57">
        <v>5616</v>
      </c>
      <c r="I57">
        <v>5616</v>
      </c>
      <c r="J57">
        <v>5616</v>
      </c>
      <c r="K57">
        <v>12043.2</v>
      </c>
      <c r="L57">
        <v>13353.6</v>
      </c>
      <c r="M57">
        <v>13353.6</v>
      </c>
      <c r="N57">
        <v>13353.6</v>
      </c>
      <c r="O57">
        <v>7800</v>
      </c>
      <c r="P57">
        <v>10982.4</v>
      </c>
      <c r="Q57">
        <v>12791.999999999998</v>
      </c>
      <c r="R57">
        <v>12542.399999999998</v>
      </c>
      <c r="S57">
        <v>7737.6</v>
      </c>
      <c r="T57">
        <v>7924.8</v>
      </c>
      <c r="U57">
        <v>5428.8</v>
      </c>
      <c r="V57">
        <v>7987.2000000000007</v>
      </c>
      <c r="AB57">
        <v>194500.80000000002</v>
      </c>
      <c r="AC57">
        <v>2035987.2000000002</v>
      </c>
    </row>
    <row r="58" spans="1:29" x14ac:dyDescent="0.3">
      <c r="A58" t="s">
        <v>156</v>
      </c>
      <c r="B58">
        <v>0</v>
      </c>
      <c r="C58">
        <v>3244.8</v>
      </c>
      <c r="D58">
        <v>7238.4</v>
      </c>
      <c r="E58">
        <v>8049.6</v>
      </c>
      <c r="F58">
        <v>14227.199999999999</v>
      </c>
      <c r="G58">
        <v>19593.600000000002</v>
      </c>
      <c r="H58">
        <v>5616</v>
      </c>
      <c r="I58">
        <v>5616</v>
      </c>
      <c r="J58">
        <v>5616</v>
      </c>
      <c r="K58">
        <v>12043.2</v>
      </c>
      <c r="L58">
        <v>13353.6</v>
      </c>
      <c r="M58">
        <v>13353.6</v>
      </c>
      <c r="N58">
        <v>13353.6</v>
      </c>
      <c r="O58">
        <v>7800</v>
      </c>
      <c r="P58">
        <v>10982.4</v>
      </c>
      <c r="Q58">
        <v>12791.999999999998</v>
      </c>
      <c r="R58">
        <v>12542.399999999998</v>
      </c>
      <c r="S58">
        <v>7737.6</v>
      </c>
      <c r="T58">
        <v>7924.8</v>
      </c>
      <c r="U58">
        <v>5428.8</v>
      </c>
      <c r="V58">
        <v>7987.2000000000007</v>
      </c>
      <c r="W58">
        <v>5054.4000000000005</v>
      </c>
      <c r="AB58">
        <v>199555.20000000001</v>
      </c>
      <c r="AC58">
        <v>2235542.4000000004</v>
      </c>
    </row>
    <row r="59" spans="1:29" x14ac:dyDescent="0.3">
      <c r="A59" t="s">
        <v>157</v>
      </c>
      <c r="B59">
        <v>0</v>
      </c>
      <c r="C59">
        <v>3244.8</v>
      </c>
      <c r="D59">
        <v>7238.4</v>
      </c>
      <c r="E59">
        <v>8049.6</v>
      </c>
      <c r="F59">
        <v>14227.199999999999</v>
      </c>
      <c r="G59">
        <v>19593.600000000002</v>
      </c>
      <c r="H59">
        <v>5616</v>
      </c>
      <c r="I59">
        <v>5616</v>
      </c>
      <c r="J59">
        <v>5616</v>
      </c>
      <c r="K59">
        <v>12043.2</v>
      </c>
      <c r="L59">
        <v>13353.6</v>
      </c>
      <c r="M59">
        <v>13353.6</v>
      </c>
      <c r="N59">
        <v>13353.6</v>
      </c>
      <c r="O59">
        <v>7800</v>
      </c>
      <c r="P59">
        <v>10982.4</v>
      </c>
      <c r="Q59">
        <v>12791.999999999998</v>
      </c>
      <c r="R59">
        <v>12542.399999999998</v>
      </c>
      <c r="S59">
        <v>7737.6</v>
      </c>
      <c r="T59">
        <v>7924.8</v>
      </c>
      <c r="U59">
        <v>5428.8</v>
      </c>
      <c r="V59">
        <v>7987.2000000000007</v>
      </c>
      <c r="W59">
        <v>5054.4000000000005</v>
      </c>
      <c r="X59">
        <v>5990.4000000000005</v>
      </c>
      <c r="AB59">
        <v>205545.60000000001</v>
      </c>
      <c r="AC59">
        <v>2441088.0000000005</v>
      </c>
    </row>
    <row r="60" spans="1:29" x14ac:dyDescent="0.3">
      <c r="A60" t="s">
        <v>158</v>
      </c>
      <c r="B60">
        <v>0</v>
      </c>
      <c r="C60">
        <v>3244.8</v>
      </c>
      <c r="D60">
        <v>7238.4</v>
      </c>
      <c r="E60">
        <v>8049.6</v>
      </c>
      <c r="F60">
        <v>14227.199999999999</v>
      </c>
      <c r="G60">
        <v>19593.600000000002</v>
      </c>
      <c r="H60">
        <v>5616</v>
      </c>
      <c r="I60">
        <v>5616</v>
      </c>
      <c r="J60">
        <v>5616</v>
      </c>
      <c r="K60">
        <v>12043.2</v>
      </c>
      <c r="L60">
        <v>13353.6</v>
      </c>
      <c r="M60">
        <v>13353.6</v>
      </c>
      <c r="N60">
        <v>13353.6</v>
      </c>
      <c r="O60">
        <v>7800</v>
      </c>
      <c r="P60">
        <v>10982.4</v>
      </c>
      <c r="Q60">
        <v>12791.999999999998</v>
      </c>
      <c r="R60">
        <v>12542.399999999998</v>
      </c>
      <c r="S60">
        <v>7737.6</v>
      </c>
      <c r="T60">
        <v>7924.8</v>
      </c>
      <c r="U60">
        <v>5428.8</v>
      </c>
      <c r="V60">
        <v>7987.2000000000007</v>
      </c>
      <c r="W60">
        <v>5054.4000000000005</v>
      </c>
      <c r="X60">
        <v>5990.4000000000005</v>
      </c>
      <c r="Y60">
        <v>2059.2000000000003</v>
      </c>
      <c r="AB60">
        <v>207604.80000000002</v>
      </c>
      <c r="AC60">
        <v>2648692.8000000003</v>
      </c>
    </row>
    <row r="61" spans="1:29" x14ac:dyDescent="0.3">
      <c r="A61" t="s">
        <v>159</v>
      </c>
      <c r="B61">
        <v>0</v>
      </c>
      <c r="C61">
        <v>3244.8</v>
      </c>
      <c r="D61">
        <v>7238.4</v>
      </c>
      <c r="E61">
        <v>8049.6</v>
      </c>
      <c r="F61">
        <v>14227.199999999999</v>
      </c>
      <c r="G61">
        <v>19593.600000000002</v>
      </c>
      <c r="H61">
        <v>5616</v>
      </c>
      <c r="I61">
        <v>5616</v>
      </c>
      <c r="J61">
        <v>5616</v>
      </c>
      <c r="K61">
        <v>12043.2</v>
      </c>
      <c r="L61">
        <v>13353.6</v>
      </c>
      <c r="M61">
        <v>13353.6</v>
      </c>
      <c r="N61">
        <v>13353.6</v>
      </c>
      <c r="O61">
        <v>7800</v>
      </c>
      <c r="P61">
        <v>10982.4</v>
      </c>
      <c r="Q61">
        <v>12791.999999999998</v>
      </c>
      <c r="R61">
        <v>12542.399999999998</v>
      </c>
      <c r="S61">
        <v>7737.6</v>
      </c>
      <c r="T61">
        <v>7924.8</v>
      </c>
      <c r="U61">
        <v>5428.8</v>
      </c>
      <c r="V61">
        <v>7987.2000000000007</v>
      </c>
      <c r="W61">
        <v>5054.4000000000005</v>
      </c>
      <c r="X61">
        <v>5990.4000000000005</v>
      </c>
      <c r="Y61">
        <v>2059.2000000000003</v>
      </c>
      <c r="Z61">
        <v>3244.8</v>
      </c>
      <c r="AB61">
        <v>210849.6</v>
      </c>
      <c r="AC61">
        <v>2859542.4000000004</v>
      </c>
    </row>
    <row r="62" spans="1:29" x14ac:dyDescent="0.3">
      <c r="A62" t="s">
        <v>160</v>
      </c>
      <c r="B62">
        <v>0</v>
      </c>
      <c r="C62">
        <v>3244.8</v>
      </c>
      <c r="D62">
        <v>7238.4</v>
      </c>
      <c r="E62">
        <v>8049.6</v>
      </c>
      <c r="F62">
        <v>14227.199999999999</v>
      </c>
      <c r="G62">
        <v>19593.600000000002</v>
      </c>
      <c r="H62">
        <v>5616</v>
      </c>
      <c r="I62">
        <v>5616</v>
      </c>
      <c r="J62">
        <v>5616</v>
      </c>
      <c r="K62">
        <v>12043.2</v>
      </c>
      <c r="L62">
        <v>13353.6</v>
      </c>
      <c r="M62">
        <v>13353.6</v>
      </c>
      <c r="N62">
        <v>13353.6</v>
      </c>
      <c r="O62">
        <v>7800</v>
      </c>
      <c r="P62">
        <v>10982.4</v>
      </c>
      <c r="Q62">
        <v>12791.999999999998</v>
      </c>
      <c r="R62">
        <v>12542.399999999998</v>
      </c>
      <c r="S62">
        <v>7737.6</v>
      </c>
      <c r="T62">
        <v>7924.8</v>
      </c>
      <c r="U62">
        <v>5428.8</v>
      </c>
      <c r="V62">
        <v>7987.2000000000007</v>
      </c>
      <c r="W62">
        <v>5054.4000000000005</v>
      </c>
      <c r="X62">
        <v>5990.4000000000005</v>
      </c>
      <c r="Y62">
        <v>2059.2000000000003</v>
      </c>
      <c r="Z62">
        <v>3244.8</v>
      </c>
      <c r="AA62">
        <v>4492.8</v>
      </c>
      <c r="AB62">
        <v>215342.4</v>
      </c>
      <c r="AC62">
        <v>3074884.8000000003</v>
      </c>
    </row>
    <row r="63" spans="1:29" x14ac:dyDescent="0.3">
      <c r="AB63">
        <v>3074884.8000000003</v>
      </c>
      <c r="AC63">
        <v>11284827.216</v>
      </c>
    </row>
    <row r="64" spans="1:29" x14ac:dyDescent="0.3">
      <c r="AB64">
        <v>3.0748848000000004</v>
      </c>
      <c r="AC64">
        <v>11.28</v>
      </c>
    </row>
    <row r="66" spans="1:29" x14ac:dyDescent="0.3">
      <c r="A66" t="s">
        <v>165</v>
      </c>
    </row>
    <row r="67" spans="1:29" x14ac:dyDescent="0.3">
      <c r="A67" t="s">
        <v>163</v>
      </c>
      <c r="C67">
        <v>12480</v>
      </c>
      <c r="AB67">
        <v>12480</v>
      </c>
      <c r="AC67">
        <v>12480</v>
      </c>
    </row>
    <row r="68" spans="1:29" x14ac:dyDescent="0.3">
      <c r="A68" t="s">
        <v>164</v>
      </c>
      <c r="C68">
        <v>12480</v>
      </c>
      <c r="D68">
        <v>12480</v>
      </c>
      <c r="AB68">
        <v>24960</v>
      </c>
      <c r="AC68">
        <v>37440</v>
      </c>
    </row>
    <row r="69" spans="1:29" x14ac:dyDescent="0.3">
      <c r="A69" t="s">
        <v>138</v>
      </c>
      <c r="C69">
        <v>12480</v>
      </c>
      <c r="D69">
        <v>12480</v>
      </c>
      <c r="E69">
        <v>12480</v>
      </c>
      <c r="AB69">
        <v>37440</v>
      </c>
      <c r="AC69">
        <v>74880</v>
      </c>
    </row>
    <row r="70" spans="1:29" x14ac:dyDescent="0.3">
      <c r="A70" t="s">
        <v>139</v>
      </c>
      <c r="C70">
        <v>12480</v>
      </c>
      <c r="D70">
        <v>12480</v>
      </c>
      <c r="E70">
        <v>12480</v>
      </c>
      <c r="F70">
        <v>12480</v>
      </c>
      <c r="AB70">
        <v>49920</v>
      </c>
      <c r="AC70">
        <v>124800</v>
      </c>
    </row>
    <row r="71" spans="1:29" x14ac:dyDescent="0.3">
      <c r="A71" t="s">
        <v>140</v>
      </c>
      <c r="C71">
        <v>12480</v>
      </c>
      <c r="D71">
        <v>12480</v>
      </c>
      <c r="E71">
        <v>12480</v>
      </c>
      <c r="F71">
        <v>12480</v>
      </c>
      <c r="G71">
        <v>12480</v>
      </c>
      <c r="AB71">
        <v>62400</v>
      </c>
      <c r="AC71">
        <v>187200</v>
      </c>
    </row>
    <row r="72" spans="1:29" x14ac:dyDescent="0.3">
      <c r="A72" t="s">
        <v>141</v>
      </c>
      <c r="C72">
        <v>12480</v>
      </c>
      <c r="D72">
        <v>12480</v>
      </c>
      <c r="E72">
        <v>12480</v>
      </c>
      <c r="F72">
        <v>12480</v>
      </c>
      <c r="G72">
        <v>12480</v>
      </c>
      <c r="H72">
        <v>12480</v>
      </c>
      <c r="AB72">
        <v>74880</v>
      </c>
      <c r="AC72">
        <v>262080</v>
      </c>
    </row>
    <row r="73" spans="1:29" x14ac:dyDescent="0.3">
      <c r="A73" t="s">
        <v>142</v>
      </c>
      <c r="C73">
        <v>12480</v>
      </c>
      <c r="D73">
        <v>12480</v>
      </c>
      <c r="E73">
        <v>12480</v>
      </c>
      <c r="F73">
        <v>12480</v>
      </c>
      <c r="G73">
        <v>12480</v>
      </c>
      <c r="H73">
        <v>12480</v>
      </c>
      <c r="I73">
        <v>12480</v>
      </c>
      <c r="AB73">
        <v>87360</v>
      </c>
      <c r="AC73">
        <v>349440</v>
      </c>
    </row>
    <row r="74" spans="1:29" x14ac:dyDescent="0.3">
      <c r="A74" t="s">
        <v>143</v>
      </c>
      <c r="C74">
        <v>12480</v>
      </c>
      <c r="D74">
        <v>12480</v>
      </c>
      <c r="E74">
        <v>12480</v>
      </c>
      <c r="F74">
        <v>12480</v>
      </c>
      <c r="G74">
        <v>12480</v>
      </c>
      <c r="H74">
        <v>12480</v>
      </c>
      <c r="I74">
        <v>12480</v>
      </c>
      <c r="J74">
        <v>12480</v>
      </c>
      <c r="AB74">
        <v>99840</v>
      </c>
      <c r="AC74">
        <v>449280</v>
      </c>
    </row>
    <row r="75" spans="1:29" x14ac:dyDescent="0.3">
      <c r="A75" t="s">
        <v>144</v>
      </c>
      <c r="C75">
        <v>12480</v>
      </c>
      <c r="D75">
        <v>12480</v>
      </c>
      <c r="E75">
        <v>12480</v>
      </c>
      <c r="F75">
        <v>12480</v>
      </c>
      <c r="G75">
        <v>12480</v>
      </c>
      <c r="H75">
        <v>12480</v>
      </c>
      <c r="I75">
        <v>12480</v>
      </c>
      <c r="J75">
        <v>12480</v>
      </c>
      <c r="K75">
        <v>12480</v>
      </c>
      <c r="AB75">
        <v>112320</v>
      </c>
      <c r="AC75">
        <v>561600</v>
      </c>
    </row>
    <row r="76" spans="1:29" x14ac:dyDescent="0.3">
      <c r="A76" t="s">
        <v>145</v>
      </c>
      <c r="C76">
        <v>12480</v>
      </c>
      <c r="D76">
        <v>12480</v>
      </c>
      <c r="E76">
        <v>12480</v>
      </c>
      <c r="F76">
        <v>12480</v>
      </c>
      <c r="G76">
        <v>12480</v>
      </c>
      <c r="H76">
        <v>12480</v>
      </c>
      <c r="I76">
        <v>12480</v>
      </c>
      <c r="J76">
        <v>12480</v>
      </c>
      <c r="K76">
        <v>12480</v>
      </c>
      <c r="L76">
        <v>12480</v>
      </c>
      <c r="AB76">
        <v>124800</v>
      </c>
      <c r="AC76">
        <v>686400</v>
      </c>
    </row>
    <row r="77" spans="1:29" x14ac:dyDescent="0.3">
      <c r="A77" t="s">
        <v>146</v>
      </c>
      <c r="C77">
        <v>12480</v>
      </c>
      <c r="D77">
        <v>12480</v>
      </c>
      <c r="E77">
        <v>12480</v>
      </c>
      <c r="F77">
        <v>12480</v>
      </c>
      <c r="G77">
        <v>12480</v>
      </c>
      <c r="H77">
        <v>12480</v>
      </c>
      <c r="I77">
        <v>12480</v>
      </c>
      <c r="J77">
        <v>12480</v>
      </c>
      <c r="K77">
        <v>12480</v>
      </c>
      <c r="L77">
        <v>12480</v>
      </c>
      <c r="M77">
        <v>12480</v>
      </c>
      <c r="AB77">
        <v>137280</v>
      </c>
      <c r="AC77">
        <v>823680</v>
      </c>
    </row>
    <row r="78" spans="1:29" x14ac:dyDescent="0.3">
      <c r="A78" t="s">
        <v>147</v>
      </c>
      <c r="C78">
        <v>12480</v>
      </c>
      <c r="D78">
        <v>12480</v>
      </c>
      <c r="E78">
        <v>12480</v>
      </c>
      <c r="F78">
        <v>12480</v>
      </c>
      <c r="G78">
        <v>12480</v>
      </c>
      <c r="H78">
        <v>12480</v>
      </c>
      <c r="I78">
        <v>12480</v>
      </c>
      <c r="J78">
        <v>12480</v>
      </c>
      <c r="K78">
        <v>12480</v>
      </c>
      <c r="L78">
        <v>12480</v>
      </c>
      <c r="M78">
        <v>12480</v>
      </c>
      <c r="N78">
        <v>12480</v>
      </c>
      <c r="AB78">
        <v>149760</v>
      </c>
      <c r="AC78">
        <v>973440</v>
      </c>
    </row>
    <row r="79" spans="1:29" x14ac:dyDescent="0.3">
      <c r="A79" t="s">
        <v>148</v>
      </c>
      <c r="C79">
        <v>12480</v>
      </c>
      <c r="D79">
        <v>12480</v>
      </c>
      <c r="E79">
        <v>12480</v>
      </c>
      <c r="F79">
        <v>12480</v>
      </c>
      <c r="G79">
        <v>12480</v>
      </c>
      <c r="H79">
        <v>12480</v>
      </c>
      <c r="I79">
        <v>12480</v>
      </c>
      <c r="J79">
        <v>12480</v>
      </c>
      <c r="K79">
        <v>12480</v>
      </c>
      <c r="L79">
        <v>12480</v>
      </c>
      <c r="M79">
        <v>12480</v>
      </c>
      <c r="N79">
        <v>12480</v>
      </c>
      <c r="O79">
        <v>12480</v>
      </c>
      <c r="AB79">
        <v>162240</v>
      </c>
      <c r="AC79">
        <v>1135680</v>
      </c>
    </row>
    <row r="80" spans="1:29" x14ac:dyDescent="0.3">
      <c r="A80" t="s">
        <v>149</v>
      </c>
      <c r="C80">
        <v>12480</v>
      </c>
      <c r="D80">
        <v>12480</v>
      </c>
      <c r="E80">
        <v>12480</v>
      </c>
      <c r="F80">
        <v>12480</v>
      </c>
      <c r="G80">
        <v>12480</v>
      </c>
      <c r="H80">
        <v>12480</v>
      </c>
      <c r="I80">
        <v>12480</v>
      </c>
      <c r="J80">
        <v>12480</v>
      </c>
      <c r="K80">
        <v>12480</v>
      </c>
      <c r="L80">
        <v>12480</v>
      </c>
      <c r="M80">
        <v>12480</v>
      </c>
      <c r="N80">
        <v>12480</v>
      </c>
      <c r="O80">
        <v>12480</v>
      </c>
      <c r="P80">
        <v>12480</v>
      </c>
      <c r="AB80">
        <v>174720</v>
      </c>
      <c r="AC80">
        <v>1310400</v>
      </c>
    </row>
    <row r="81" spans="1:29" x14ac:dyDescent="0.3">
      <c r="A81" t="s">
        <v>150</v>
      </c>
      <c r="C81">
        <v>12480</v>
      </c>
      <c r="D81">
        <v>12480</v>
      </c>
      <c r="E81">
        <v>12480</v>
      </c>
      <c r="F81">
        <v>12480</v>
      </c>
      <c r="G81">
        <v>12480</v>
      </c>
      <c r="H81">
        <v>12480</v>
      </c>
      <c r="I81">
        <v>12480</v>
      </c>
      <c r="J81">
        <v>12480</v>
      </c>
      <c r="K81">
        <v>12480</v>
      </c>
      <c r="L81">
        <v>12480</v>
      </c>
      <c r="M81">
        <v>12480</v>
      </c>
      <c r="N81">
        <v>12480</v>
      </c>
      <c r="O81">
        <v>12480</v>
      </c>
      <c r="P81">
        <v>12480</v>
      </c>
      <c r="Q81">
        <v>12480</v>
      </c>
      <c r="AB81">
        <v>187200</v>
      </c>
      <c r="AC81">
        <v>1497600</v>
      </c>
    </row>
    <row r="82" spans="1:29" x14ac:dyDescent="0.3">
      <c r="A82" t="s">
        <v>151</v>
      </c>
      <c r="C82">
        <v>12480</v>
      </c>
      <c r="D82">
        <v>12480</v>
      </c>
      <c r="E82">
        <v>12480</v>
      </c>
      <c r="F82">
        <v>12480</v>
      </c>
      <c r="G82">
        <v>12480</v>
      </c>
      <c r="H82">
        <v>12480</v>
      </c>
      <c r="I82">
        <v>12480</v>
      </c>
      <c r="J82">
        <v>12480</v>
      </c>
      <c r="K82">
        <v>12480</v>
      </c>
      <c r="L82">
        <v>12480</v>
      </c>
      <c r="M82">
        <v>12480</v>
      </c>
      <c r="N82">
        <v>12480</v>
      </c>
      <c r="O82">
        <v>12480</v>
      </c>
      <c r="P82">
        <v>12480</v>
      </c>
      <c r="Q82">
        <v>12480</v>
      </c>
      <c r="R82">
        <v>12480</v>
      </c>
      <c r="AB82">
        <v>199680</v>
      </c>
      <c r="AC82">
        <v>1697280</v>
      </c>
    </row>
    <row r="83" spans="1:29" x14ac:dyDescent="0.3">
      <c r="A83" t="s">
        <v>152</v>
      </c>
      <c r="C83">
        <v>12480</v>
      </c>
      <c r="D83">
        <v>12480</v>
      </c>
      <c r="E83">
        <v>12480</v>
      </c>
      <c r="F83">
        <v>12480</v>
      </c>
      <c r="G83">
        <v>12480</v>
      </c>
      <c r="H83">
        <v>12480</v>
      </c>
      <c r="I83">
        <v>12480</v>
      </c>
      <c r="J83">
        <v>12480</v>
      </c>
      <c r="K83">
        <v>12480</v>
      </c>
      <c r="L83">
        <v>12480</v>
      </c>
      <c r="M83">
        <v>12480</v>
      </c>
      <c r="N83">
        <v>12480</v>
      </c>
      <c r="O83">
        <v>12480</v>
      </c>
      <c r="P83">
        <v>12480</v>
      </c>
      <c r="Q83">
        <v>12480</v>
      </c>
      <c r="R83">
        <v>12480</v>
      </c>
      <c r="S83">
        <v>12480</v>
      </c>
      <c r="AB83">
        <v>212160</v>
      </c>
      <c r="AC83">
        <v>1909440</v>
      </c>
    </row>
    <row r="84" spans="1:29" x14ac:dyDescent="0.3">
      <c r="A84" t="s">
        <v>153</v>
      </c>
      <c r="C84">
        <v>12480</v>
      </c>
      <c r="D84">
        <v>12480</v>
      </c>
      <c r="E84">
        <v>12480</v>
      </c>
      <c r="F84">
        <v>12480</v>
      </c>
      <c r="G84">
        <v>12480</v>
      </c>
      <c r="H84">
        <v>12480</v>
      </c>
      <c r="I84">
        <v>12480</v>
      </c>
      <c r="J84">
        <v>12480</v>
      </c>
      <c r="K84">
        <v>12480</v>
      </c>
      <c r="L84">
        <v>12480</v>
      </c>
      <c r="M84">
        <v>12480</v>
      </c>
      <c r="N84">
        <v>12480</v>
      </c>
      <c r="O84">
        <v>12480</v>
      </c>
      <c r="P84">
        <v>12480</v>
      </c>
      <c r="Q84">
        <v>12480</v>
      </c>
      <c r="R84">
        <v>12480</v>
      </c>
      <c r="S84">
        <v>12480</v>
      </c>
      <c r="T84">
        <v>12480</v>
      </c>
      <c r="AB84">
        <v>224640</v>
      </c>
      <c r="AC84">
        <v>2134080</v>
      </c>
    </row>
    <row r="85" spans="1:29" x14ac:dyDescent="0.3">
      <c r="A85" t="s">
        <v>154</v>
      </c>
      <c r="C85">
        <v>12480</v>
      </c>
      <c r="D85">
        <v>12480</v>
      </c>
      <c r="E85">
        <v>12480</v>
      </c>
      <c r="F85">
        <v>12480</v>
      </c>
      <c r="G85">
        <v>12480</v>
      </c>
      <c r="H85">
        <v>12480</v>
      </c>
      <c r="I85">
        <v>12480</v>
      </c>
      <c r="J85">
        <v>12480</v>
      </c>
      <c r="K85">
        <v>12480</v>
      </c>
      <c r="L85">
        <v>12480</v>
      </c>
      <c r="M85">
        <v>12480</v>
      </c>
      <c r="N85">
        <v>12480</v>
      </c>
      <c r="O85">
        <v>12480</v>
      </c>
      <c r="P85">
        <v>12480</v>
      </c>
      <c r="Q85">
        <v>12480</v>
      </c>
      <c r="R85">
        <v>12480</v>
      </c>
      <c r="S85">
        <v>12480</v>
      </c>
      <c r="T85">
        <v>12480</v>
      </c>
      <c r="U85">
        <v>12480</v>
      </c>
      <c r="AB85">
        <v>237120</v>
      </c>
      <c r="AC85">
        <v>2371200</v>
      </c>
    </row>
    <row r="86" spans="1:29" x14ac:dyDescent="0.3">
      <c r="A86" t="s">
        <v>155</v>
      </c>
      <c r="C86">
        <v>12480</v>
      </c>
      <c r="D86">
        <v>12480</v>
      </c>
      <c r="E86">
        <v>12480</v>
      </c>
      <c r="F86">
        <v>12480</v>
      </c>
      <c r="G86">
        <v>12480</v>
      </c>
      <c r="H86">
        <v>12480</v>
      </c>
      <c r="I86">
        <v>12480</v>
      </c>
      <c r="J86">
        <v>12480</v>
      </c>
      <c r="K86">
        <v>12480</v>
      </c>
      <c r="L86">
        <v>12480</v>
      </c>
      <c r="M86">
        <v>12480</v>
      </c>
      <c r="N86">
        <v>12480</v>
      </c>
      <c r="O86">
        <v>12480</v>
      </c>
      <c r="P86">
        <v>12480</v>
      </c>
      <c r="Q86">
        <v>12480</v>
      </c>
      <c r="R86">
        <v>12480</v>
      </c>
      <c r="S86">
        <v>12480</v>
      </c>
      <c r="T86">
        <v>12480</v>
      </c>
      <c r="U86">
        <v>12480</v>
      </c>
      <c r="V86">
        <v>12480</v>
      </c>
      <c r="AB86">
        <v>249600</v>
      </c>
      <c r="AC86">
        <v>2620800</v>
      </c>
    </row>
    <row r="87" spans="1:29" x14ac:dyDescent="0.3">
      <c r="A87" t="s">
        <v>156</v>
      </c>
      <c r="C87">
        <v>12480</v>
      </c>
      <c r="D87">
        <v>12480</v>
      </c>
      <c r="E87">
        <v>12480</v>
      </c>
      <c r="F87">
        <v>12480</v>
      </c>
      <c r="G87">
        <v>12480</v>
      </c>
      <c r="H87">
        <v>12480</v>
      </c>
      <c r="I87">
        <v>12480</v>
      </c>
      <c r="J87">
        <v>12480</v>
      </c>
      <c r="K87">
        <v>12480</v>
      </c>
      <c r="L87">
        <v>12480</v>
      </c>
      <c r="M87">
        <v>12480</v>
      </c>
      <c r="N87">
        <v>12480</v>
      </c>
      <c r="O87">
        <v>12480</v>
      </c>
      <c r="P87">
        <v>12480</v>
      </c>
      <c r="Q87">
        <v>12480</v>
      </c>
      <c r="R87">
        <v>12480</v>
      </c>
      <c r="S87">
        <v>12480</v>
      </c>
      <c r="T87">
        <v>12480</v>
      </c>
      <c r="U87">
        <v>12480</v>
      </c>
      <c r="V87">
        <v>12480</v>
      </c>
      <c r="W87">
        <v>12480</v>
      </c>
      <c r="AB87">
        <v>262080</v>
      </c>
      <c r="AC87">
        <v>2882880</v>
      </c>
    </row>
    <row r="88" spans="1:29" x14ac:dyDescent="0.3">
      <c r="A88" t="s">
        <v>157</v>
      </c>
      <c r="C88">
        <v>12480</v>
      </c>
      <c r="D88">
        <v>12480</v>
      </c>
      <c r="E88">
        <v>12480</v>
      </c>
      <c r="F88">
        <v>12480</v>
      </c>
      <c r="G88">
        <v>12480</v>
      </c>
      <c r="H88">
        <v>12480</v>
      </c>
      <c r="I88">
        <v>12480</v>
      </c>
      <c r="J88">
        <v>12480</v>
      </c>
      <c r="K88">
        <v>12480</v>
      </c>
      <c r="L88">
        <v>12480</v>
      </c>
      <c r="M88">
        <v>12480</v>
      </c>
      <c r="N88">
        <v>12480</v>
      </c>
      <c r="O88">
        <v>12480</v>
      </c>
      <c r="P88">
        <v>12480</v>
      </c>
      <c r="Q88">
        <v>12480</v>
      </c>
      <c r="R88">
        <v>12480</v>
      </c>
      <c r="S88">
        <v>12480</v>
      </c>
      <c r="T88">
        <v>12480</v>
      </c>
      <c r="U88">
        <v>12480</v>
      </c>
      <c r="V88">
        <v>12480</v>
      </c>
      <c r="W88">
        <v>12480</v>
      </c>
      <c r="X88">
        <v>12480</v>
      </c>
      <c r="AB88">
        <v>274560</v>
      </c>
      <c r="AC88">
        <v>3157440</v>
      </c>
    </row>
    <row r="89" spans="1:29" x14ac:dyDescent="0.3">
      <c r="A89" t="s">
        <v>158</v>
      </c>
      <c r="C89">
        <v>12480</v>
      </c>
      <c r="D89">
        <v>12480</v>
      </c>
      <c r="E89">
        <v>12480</v>
      </c>
      <c r="F89">
        <v>12480</v>
      </c>
      <c r="G89">
        <v>12480</v>
      </c>
      <c r="H89">
        <v>12480</v>
      </c>
      <c r="I89">
        <v>12480</v>
      </c>
      <c r="J89">
        <v>12480</v>
      </c>
      <c r="K89">
        <v>12480</v>
      </c>
      <c r="L89">
        <v>12480</v>
      </c>
      <c r="M89">
        <v>12480</v>
      </c>
      <c r="N89">
        <v>12480</v>
      </c>
      <c r="O89">
        <v>12480</v>
      </c>
      <c r="P89">
        <v>12480</v>
      </c>
      <c r="Q89">
        <v>12480</v>
      </c>
      <c r="R89">
        <v>12480</v>
      </c>
      <c r="S89">
        <v>12480</v>
      </c>
      <c r="T89">
        <v>12480</v>
      </c>
      <c r="U89">
        <v>12480</v>
      </c>
      <c r="V89">
        <v>12480</v>
      </c>
      <c r="W89">
        <v>12480</v>
      </c>
      <c r="X89">
        <v>12480</v>
      </c>
      <c r="Y89">
        <v>12480</v>
      </c>
      <c r="AB89">
        <v>287040</v>
      </c>
      <c r="AC89">
        <v>3444480</v>
      </c>
    </row>
    <row r="90" spans="1:29" x14ac:dyDescent="0.3">
      <c r="A90" t="s">
        <v>159</v>
      </c>
      <c r="C90">
        <v>12480</v>
      </c>
      <c r="D90">
        <v>12480</v>
      </c>
      <c r="E90">
        <v>12480</v>
      </c>
      <c r="F90">
        <v>12480</v>
      </c>
      <c r="G90">
        <v>12480</v>
      </c>
      <c r="H90">
        <v>12480</v>
      </c>
      <c r="I90">
        <v>12480</v>
      </c>
      <c r="J90">
        <v>12480</v>
      </c>
      <c r="K90">
        <v>12480</v>
      </c>
      <c r="L90">
        <v>12480</v>
      </c>
      <c r="M90">
        <v>12480</v>
      </c>
      <c r="N90">
        <v>12480</v>
      </c>
      <c r="O90">
        <v>12480</v>
      </c>
      <c r="P90">
        <v>12480</v>
      </c>
      <c r="Q90">
        <v>12480</v>
      </c>
      <c r="R90">
        <v>12480</v>
      </c>
      <c r="S90">
        <v>12480</v>
      </c>
      <c r="T90">
        <v>12480</v>
      </c>
      <c r="U90">
        <v>12480</v>
      </c>
      <c r="V90">
        <v>12480</v>
      </c>
      <c r="W90">
        <v>12480</v>
      </c>
      <c r="X90">
        <v>12480</v>
      </c>
      <c r="Y90">
        <v>12480</v>
      </c>
      <c r="Z90">
        <v>12480</v>
      </c>
      <c r="AB90">
        <v>299520</v>
      </c>
      <c r="AC90">
        <v>3744000</v>
      </c>
    </row>
    <row r="91" spans="1:29" x14ac:dyDescent="0.3">
      <c r="A91" t="s">
        <v>160</v>
      </c>
      <c r="C91">
        <v>12480</v>
      </c>
      <c r="D91">
        <v>12480</v>
      </c>
      <c r="E91">
        <v>12480</v>
      </c>
      <c r="F91">
        <v>12480</v>
      </c>
      <c r="G91">
        <v>12480</v>
      </c>
      <c r="H91">
        <v>12480</v>
      </c>
      <c r="I91">
        <v>12480</v>
      </c>
      <c r="J91">
        <v>12480</v>
      </c>
      <c r="K91">
        <v>12480</v>
      </c>
      <c r="L91">
        <v>12480</v>
      </c>
      <c r="M91">
        <v>12480</v>
      </c>
      <c r="N91">
        <v>12480</v>
      </c>
      <c r="O91">
        <v>12480</v>
      </c>
      <c r="P91">
        <v>12480</v>
      </c>
      <c r="Q91">
        <v>12480</v>
      </c>
      <c r="R91">
        <v>12480</v>
      </c>
      <c r="S91">
        <v>12480</v>
      </c>
      <c r="T91">
        <v>12480</v>
      </c>
      <c r="U91">
        <v>12480</v>
      </c>
      <c r="V91">
        <v>12480</v>
      </c>
      <c r="W91">
        <v>12480</v>
      </c>
      <c r="X91">
        <v>12480</v>
      </c>
      <c r="Y91">
        <v>12480</v>
      </c>
      <c r="Z91">
        <v>12480</v>
      </c>
      <c r="AA91">
        <v>12480</v>
      </c>
      <c r="AB91">
        <v>312000</v>
      </c>
      <c r="AC91">
        <v>4056000</v>
      </c>
    </row>
    <row r="92" spans="1:29" x14ac:dyDescent="0.3">
      <c r="AB92">
        <v>4056000</v>
      </c>
      <c r="AC92">
        <v>14885520</v>
      </c>
    </row>
    <row r="93" spans="1:29" x14ac:dyDescent="0.3">
      <c r="AB93">
        <v>4.056</v>
      </c>
      <c r="AC93">
        <v>14.89</v>
      </c>
    </row>
    <row r="94" spans="1:29" x14ac:dyDescent="0.3">
      <c r="A94" t="s">
        <v>166</v>
      </c>
    </row>
    <row r="95" spans="1:29" x14ac:dyDescent="0.3">
      <c r="A95" t="s">
        <v>167</v>
      </c>
    </row>
    <row r="98" spans="1:29" x14ac:dyDescent="0.3">
      <c r="A98" t="s">
        <v>168</v>
      </c>
      <c r="B98">
        <v>1993</v>
      </c>
      <c r="C98">
        <v>1994</v>
      </c>
      <c r="D98">
        <v>1995</v>
      </c>
      <c r="E98">
        <v>1996</v>
      </c>
      <c r="F98">
        <v>1997</v>
      </c>
      <c r="G98">
        <v>1998</v>
      </c>
      <c r="H98">
        <v>1999</v>
      </c>
      <c r="I98">
        <v>2000</v>
      </c>
      <c r="J98">
        <v>2001</v>
      </c>
      <c r="K98">
        <v>2002</v>
      </c>
      <c r="L98">
        <v>2003</v>
      </c>
      <c r="M98">
        <v>2004</v>
      </c>
      <c r="N98">
        <v>2005</v>
      </c>
      <c r="O98">
        <v>2006</v>
      </c>
      <c r="P98">
        <v>2007</v>
      </c>
      <c r="Q98">
        <v>2008</v>
      </c>
      <c r="R98">
        <v>2009</v>
      </c>
      <c r="S98">
        <v>2010</v>
      </c>
      <c r="T98">
        <v>2011</v>
      </c>
      <c r="U98">
        <v>2012</v>
      </c>
      <c r="V98">
        <v>2013</v>
      </c>
      <c r="W98">
        <v>2014</v>
      </c>
      <c r="X98">
        <v>2015</v>
      </c>
      <c r="Y98">
        <v>2016</v>
      </c>
      <c r="Z98">
        <v>2017</v>
      </c>
      <c r="AA98">
        <v>2018</v>
      </c>
    </row>
    <row r="99" spans="1:29" x14ac:dyDescent="0.3">
      <c r="A99" t="s">
        <v>169</v>
      </c>
      <c r="B99">
        <v>0</v>
      </c>
      <c r="C99">
        <v>0.13</v>
      </c>
      <c r="D99">
        <v>0.41</v>
      </c>
      <c r="E99">
        <v>0.85</v>
      </c>
      <c r="F99">
        <v>1.37</v>
      </c>
      <c r="G99">
        <v>2.42</v>
      </c>
      <c r="H99">
        <v>2.42</v>
      </c>
      <c r="I99">
        <v>2.42</v>
      </c>
      <c r="J99">
        <v>0.78</v>
      </c>
      <c r="K99">
        <v>1.64</v>
      </c>
      <c r="L99">
        <v>1.64</v>
      </c>
      <c r="M99">
        <v>1.64</v>
      </c>
      <c r="N99">
        <v>1.98</v>
      </c>
      <c r="O99">
        <v>1.1200000000000001</v>
      </c>
      <c r="P99">
        <v>1.41</v>
      </c>
      <c r="Q99">
        <v>1.91</v>
      </c>
      <c r="R99">
        <v>1.83</v>
      </c>
      <c r="S99">
        <v>1.0900000000000001</v>
      </c>
      <c r="T99">
        <v>0.96</v>
      </c>
      <c r="U99">
        <v>0.76</v>
      </c>
      <c r="V99">
        <v>1.28</v>
      </c>
      <c r="W99">
        <v>0.88</v>
      </c>
      <c r="X99">
        <v>0.75</v>
      </c>
      <c r="Y99">
        <v>0.23</v>
      </c>
      <c r="Z99">
        <v>0.2</v>
      </c>
      <c r="AA99">
        <v>0.57999999999999996</v>
      </c>
    </row>
    <row r="100" spans="1:29" x14ac:dyDescent="0.3">
      <c r="A100" t="s">
        <v>163</v>
      </c>
      <c r="B100">
        <v>0</v>
      </c>
      <c r="C100">
        <v>3120</v>
      </c>
      <c r="AB100">
        <v>3120</v>
      </c>
      <c r="AC100">
        <v>3120</v>
      </c>
    </row>
    <row r="101" spans="1:29" x14ac:dyDescent="0.3">
      <c r="A101" t="s">
        <v>164</v>
      </c>
      <c r="B101">
        <v>0</v>
      </c>
      <c r="C101">
        <v>3120</v>
      </c>
      <c r="D101">
        <v>9840</v>
      </c>
      <c r="AB101">
        <v>12960</v>
      </c>
      <c r="AC101">
        <v>16080</v>
      </c>
    </row>
    <row r="102" spans="1:29" x14ac:dyDescent="0.3">
      <c r="A102" t="s">
        <v>138</v>
      </c>
      <c r="B102">
        <v>0</v>
      </c>
      <c r="C102">
        <v>3120</v>
      </c>
      <c r="D102">
        <v>9840</v>
      </c>
      <c r="E102">
        <v>20400</v>
      </c>
      <c r="AB102">
        <v>33360</v>
      </c>
      <c r="AC102">
        <v>49440</v>
      </c>
    </row>
    <row r="103" spans="1:29" x14ac:dyDescent="0.3">
      <c r="A103" t="s">
        <v>139</v>
      </c>
      <c r="B103">
        <v>0</v>
      </c>
      <c r="C103">
        <v>3120</v>
      </c>
      <c r="D103">
        <v>9840</v>
      </c>
      <c r="E103">
        <v>20400</v>
      </c>
      <c r="F103">
        <v>32880</v>
      </c>
      <c r="AB103">
        <v>66240</v>
      </c>
      <c r="AC103">
        <v>115680</v>
      </c>
    </row>
    <row r="104" spans="1:29" x14ac:dyDescent="0.3">
      <c r="A104" t="s">
        <v>140</v>
      </c>
      <c r="B104">
        <v>0</v>
      </c>
      <c r="C104">
        <v>3120</v>
      </c>
      <c r="D104">
        <v>9840</v>
      </c>
      <c r="E104">
        <v>20400</v>
      </c>
      <c r="F104">
        <v>32880</v>
      </c>
      <c r="G104">
        <v>58080</v>
      </c>
      <c r="AB104">
        <v>124320</v>
      </c>
      <c r="AC104">
        <v>240000</v>
      </c>
    </row>
    <row r="105" spans="1:29" x14ac:dyDescent="0.3">
      <c r="A105" t="s">
        <v>141</v>
      </c>
      <c r="B105">
        <v>0</v>
      </c>
      <c r="C105">
        <v>3120</v>
      </c>
      <c r="D105">
        <v>9840</v>
      </c>
      <c r="E105">
        <v>20400</v>
      </c>
      <c r="F105">
        <v>32880</v>
      </c>
      <c r="G105">
        <v>58080</v>
      </c>
      <c r="H105">
        <v>58080</v>
      </c>
      <c r="AB105">
        <v>182400</v>
      </c>
      <c r="AC105">
        <v>422400</v>
      </c>
    </row>
    <row r="106" spans="1:29" x14ac:dyDescent="0.3">
      <c r="A106" t="s">
        <v>142</v>
      </c>
      <c r="B106">
        <v>0</v>
      </c>
      <c r="C106">
        <v>3120</v>
      </c>
      <c r="D106">
        <v>9840</v>
      </c>
      <c r="E106">
        <v>20400</v>
      </c>
      <c r="F106">
        <v>32880</v>
      </c>
      <c r="G106">
        <v>58080</v>
      </c>
      <c r="H106">
        <v>58080</v>
      </c>
      <c r="I106">
        <v>58080</v>
      </c>
      <c r="AB106">
        <v>240480</v>
      </c>
      <c r="AC106">
        <v>662880</v>
      </c>
    </row>
    <row r="107" spans="1:29" x14ac:dyDescent="0.3">
      <c r="A107" t="s">
        <v>143</v>
      </c>
      <c r="B107">
        <v>0</v>
      </c>
      <c r="C107">
        <v>3120</v>
      </c>
      <c r="D107">
        <v>9840</v>
      </c>
      <c r="E107">
        <v>20400</v>
      </c>
      <c r="F107">
        <v>32880</v>
      </c>
      <c r="G107">
        <v>58080</v>
      </c>
      <c r="H107">
        <v>58080</v>
      </c>
      <c r="I107">
        <v>58080</v>
      </c>
      <c r="J107">
        <v>18720</v>
      </c>
      <c r="AB107">
        <v>259200</v>
      </c>
      <c r="AC107">
        <v>922080</v>
      </c>
    </row>
    <row r="108" spans="1:29" x14ac:dyDescent="0.3">
      <c r="A108" t="s">
        <v>144</v>
      </c>
      <c r="B108">
        <v>0</v>
      </c>
      <c r="C108">
        <v>3120</v>
      </c>
      <c r="D108">
        <v>9840</v>
      </c>
      <c r="E108">
        <v>20400</v>
      </c>
      <c r="F108">
        <v>32880</v>
      </c>
      <c r="G108">
        <v>58080</v>
      </c>
      <c r="H108">
        <v>58080</v>
      </c>
      <c r="I108">
        <v>58080</v>
      </c>
      <c r="J108">
        <v>18720</v>
      </c>
      <c r="K108">
        <v>39360</v>
      </c>
      <c r="AB108">
        <v>298560</v>
      </c>
      <c r="AC108">
        <v>1220640</v>
      </c>
    </row>
    <row r="109" spans="1:29" x14ac:dyDescent="0.3">
      <c r="A109" t="s">
        <v>145</v>
      </c>
      <c r="B109">
        <v>0</v>
      </c>
      <c r="C109">
        <v>3120</v>
      </c>
      <c r="D109">
        <v>9840</v>
      </c>
      <c r="E109">
        <v>20400</v>
      </c>
      <c r="F109">
        <v>32880</v>
      </c>
      <c r="G109">
        <v>58080</v>
      </c>
      <c r="H109">
        <v>58080</v>
      </c>
      <c r="I109">
        <v>58080</v>
      </c>
      <c r="J109">
        <v>18720</v>
      </c>
      <c r="K109">
        <v>39360</v>
      </c>
      <c r="L109">
        <v>39360</v>
      </c>
      <c r="AB109">
        <v>337920</v>
      </c>
      <c r="AC109">
        <v>1558560</v>
      </c>
    </row>
    <row r="110" spans="1:29" x14ac:dyDescent="0.3">
      <c r="A110" t="s">
        <v>146</v>
      </c>
      <c r="B110">
        <v>0</v>
      </c>
      <c r="C110">
        <v>3120</v>
      </c>
      <c r="D110">
        <v>9840</v>
      </c>
      <c r="E110">
        <v>20400</v>
      </c>
      <c r="F110">
        <v>32880</v>
      </c>
      <c r="G110">
        <v>58080</v>
      </c>
      <c r="H110">
        <v>58080</v>
      </c>
      <c r="I110">
        <v>58080</v>
      </c>
      <c r="J110">
        <v>18720</v>
      </c>
      <c r="K110">
        <v>39360</v>
      </c>
      <c r="L110">
        <v>39360</v>
      </c>
      <c r="M110">
        <v>39360</v>
      </c>
      <c r="AB110">
        <v>377280</v>
      </c>
      <c r="AC110">
        <v>1935840</v>
      </c>
    </row>
    <row r="111" spans="1:29" x14ac:dyDescent="0.3">
      <c r="A111" t="s">
        <v>147</v>
      </c>
      <c r="B111">
        <v>0</v>
      </c>
      <c r="C111">
        <v>3120</v>
      </c>
      <c r="D111">
        <v>9840</v>
      </c>
      <c r="E111">
        <v>20400</v>
      </c>
      <c r="F111">
        <v>32880</v>
      </c>
      <c r="G111">
        <v>58080</v>
      </c>
      <c r="H111">
        <v>58080</v>
      </c>
      <c r="I111">
        <v>58080</v>
      </c>
      <c r="J111">
        <v>18720</v>
      </c>
      <c r="K111">
        <v>39360</v>
      </c>
      <c r="L111">
        <v>39360</v>
      </c>
      <c r="M111">
        <v>39360</v>
      </c>
      <c r="N111">
        <v>47520</v>
      </c>
      <c r="AB111">
        <v>424800</v>
      </c>
      <c r="AC111">
        <v>2360640</v>
      </c>
    </row>
    <row r="112" spans="1:29" x14ac:dyDescent="0.3">
      <c r="A112" t="s">
        <v>148</v>
      </c>
      <c r="B112">
        <v>0</v>
      </c>
      <c r="C112">
        <v>3120</v>
      </c>
      <c r="D112">
        <v>9840</v>
      </c>
      <c r="E112">
        <v>20400</v>
      </c>
      <c r="F112">
        <v>32880</v>
      </c>
      <c r="G112">
        <v>58080</v>
      </c>
      <c r="H112">
        <v>58080</v>
      </c>
      <c r="I112">
        <v>58080</v>
      </c>
      <c r="J112">
        <v>18720</v>
      </c>
      <c r="K112">
        <v>39360</v>
      </c>
      <c r="L112">
        <v>39360</v>
      </c>
      <c r="M112">
        <v>39360</v>
      </c>
      <c r="N112">
        <v>47520</v>
      </c>
      <c r="O112">
        <v>26880.000000000004</v>
      </c>
      <c r="AB112">
        <v>451680</v>
      </c>
      <c r="AC112">
        <v>2812320</v>
      </c>
    </row>
    <row r="113" spans="1:29" x14ac:dyDescent="0.3">
      <c r="A113" t="s">
        <v>149</v>
      </c>
      <c r="B113">
        <v>0</v>
      </c>
      <c r="C113">
        <v>3120</v>
      </c>
      <c r="D113">
        <v>9840</v>
      </c>
      <c r="E113">
        <v>20400</v>
      </c>
      <c r="F113">
        <v>32880</v>
      </c>
      <c r="G113">
        <v>58080</v>
      </c>
      <c r="H113">
        <v>58080</v>
      </c>
      <c r="I113">
        <v>58080</v>
      </c>
      <c r="J113">
        <v>18720</v>
      </c>
      <c r="K113">
        <v>39360</v>
      </c>
      <c r="L113">
        <v>39360</v>
      </c>
      <c r="M113">
        <v>39360</v>
      </c>
      <c r="N113">
        <v>47520</v>
      </c>
      <c r="O113">
        <v>26880.000000000004</v>
      </c>
      <c r="P113">
        <v>33840</v>
      </c>
      <c r="AB113">
        <v>485520</v>
      </c>
      <c r="AC113">
        <v>3297840</v>
      </c>
    </row>
    <row r="114" spans="1:29" x14ac:dyDescent="0.3">
      <c r="A114" t="s">
        <v>150</v>
      </c>
      <c r="B114">
        <v>0</v>
      </c>
      <c r="C114">
        <v>3120</v>
      </c>
      <c r="D114">
        <v>9840</v>
      </c>
      <c r="E114">
        <v>20400</v>
      </c>
      <c r="F114">
        <v>32880</v>
      </c>
      <c r="G114">
        <v>58080</v>
      </c>
      <c r="H114">
        <v>58080</v>
      </c>
      <c r="I114">
        <v>58080</v>
      </c>
      <c r="J114">
        <v>18720</v>
      </c>
      <c r="K114">
        <v>39360</v>
      </c>
      <c r="L114">
        <v>39360</v>
      </c>
      <c r="M114">
        <v>39360</v>
      </c>
      <c r="N114">
        <v>47520</v>
      </c>
      <c r="O114">
        <v>26880.000000000004</v>
      </c>
      <c r="P114">
        <v>33840</v>
      </c>
      <c r="Q114">
        <v>45840</v>
      </c>
      <c r="AB114">
        <v>531360</v>
      </c>
      <c r="AC114">
        <v>3829200</v>
      </c>
    </row>
    <row r="115" spans="1:29" x14ac:dyDescent="0.3">
      <c r="A115" t="s">
        <v>151</v>
      </c>
      <c r="B115">
        <v>0</v>
      </c>
      <c r="C115">
        <v>3120</v>
      </c>
      <c r="D115">
        <v>9840</v>
      </c>
      <c r="E115">
        <v>20400</v>
      </c>
      <c r="F115">
        <v>32880</v>
      </c>
      <c r="G115">
        <v>58080</v>
      </c>
      <c r="H115">
        <v>58080</v>
      </c>
      <c r="I115">
        <v>58080</v>
      </c>
      <c r="J115">
        <v>18720</v>
      </c>
      <c r="K115">
        <v>39360</v>
      </c>
      <c r="L115">
        <v>39360</v>
      </c>
      <c r="M115">
        <v>39360</v>
      </c>
      <c r="N115">
        <v>47520</v>
      </c>
      <c r="O115">
        <v>26880.000000000004</v>
      </c>
      <c r="P115">
        <v>33840</v>
      </c>
      <c r="Q115">
        <v>45840</v>
      </c>
      <c r="R115">
        <v>43920</v>
      </c>
      <c r="AB115">
        <v>575280</v>
      </c>
      <c r="AC115">
        <v>4404480</v>
      </c>
    </row>
    <row r="116" spans="1:29" x14ac:dyDescent="0.3">
      <c r="A116" t="s">
        <v>152</v>
      </c>
      <c r="B116">
        <v>0</v>
      </c>
      <c r="C116">
        <v>3120</v>
      </c>
      <c r="D116">
        <v>9840</v>
      </c>
      <c r="E116">
        <v>20400</v>
      </c>
      <c r="F116">
        <v>32880</v>
      </c>
      <c r="G116">
        <v>58080</v>
      </c>
      <c r="H116">
        <v>58080</v>
      </c>
      <c r="I116">
        <v>58080</v>
      </c>
      <c r="J116">
        <v>18720</v>
      </c>
      <c r="K116">
        <v>39360</v>
      </c>
      <c r="L116">
        <v>39360</v>
      </c>
      <c r="M116">
        <v>39360</v>
      </c>
      <c r="N116">
        <v>47520</v>
      </c>
      <c r="O116">
        <v>26880.000000000004</v>
      </c>
      <c r="P116">
        <v>33840</v>
      </c>
      <c r="Q116">
        <v>45840</v>
      </c>
      <c r="R116">
        <v>43920</v>
      </c>
      <c r="S116">
        <v>26160.000000000004</v>
      </c>
      <c r="AB116">
        <v>601440</v>
      </c>
      <c r="AC116">
        <v>5005920</v>
      </c>
    </row>
    <row r="117" spans="1:29" x14ac:dyDescent="0.3">
      <c r="A117" t="s">
        <v>153</v>
      </c>
      <c r="B117">
        <v>0</v>
      </c>
      <c r="C117">
        <v>3120</v>
      </c>
      <c r="D117">
        <v>9840</v>
      </c>
      <c r="E117">
        <v>20400</v>
      </c>
      <c r="F117">
        <v>32880</v>
      </c>
      <c r="G117">
        <v>58080</v>
      </c>
      <c r="H117">
        <v>58080</v>
      </c>
      <c r="I117">
        <v>58080</v>
      </c>
      <c r="J117">
        <v>18720</v>
      </c>
      <c r="K117">
        <v>39360</v>
      </c>
      <c r="L117">
        <v>39360</v>
      </c>
      <c r="M117">
        <v>39360</v>
      </c>
      <c r="N117">
        <v>47520</v>
      </c>
      <c r="O117">
        <v>26880.000000000004</v>
      </c>
      <c r="P117">
        <v>33840</v>
      </c>
      <c r="Q117">
        <v>45840</v>
      </c>
      <c r="R117">
        <v>43920</v>
      </c>
      <c r="S117">
        <v>26160.000000000004</v>
      </c>
      <c r="T117">
        <v>23040</v>
      </c>
      <c r="AB117">
        <v>624480</v>
      </c>
      <c r="AC117">
        <v>5630400</v>
      </c>
    </row>
    <row r="118" spans="1:29" x14ac:dyDescent="0.3">
      <c r="A118" t="s">
        <v>154</v>
      </c>
      <c r="B118">
        <v>0</v>
      </c>
      <c r="C118">
        <v>3120</v>
      </c>
      <c r="D118">
        <v>9840</v>
      </c>
      <c r="E118">
        <v>20400</v>
      </c>
      <c r="F118">
        <v>32880</v>
      </c>
      <c r="G118">
        <v>58080</v>
      </c>
      <c r="H118">
        <v>58080</v>
      </c>
      <c r="I118">
        <v>58080</v>
      </c>
      <c r="J118">
        <v>18720</v>
      </c>
      <c r="K118">
        <v>39360</v>
      </c>
      <c r="L118">
        <v>39360</v>
      </c>
      <c r="M118">
        <v>39360</v>
      </c>
      <c r="N118">
        <v>47520</v>
      </c>
      <c r="O118">
        <v>26880.000000000004</v>
      </c>
      <c r="P118">
        <v>33840</v>
      </c>
      <c r="Q118">
        <v>45840</v>
      </c>
      <c r="R118">
        <v>43920</v>
      </c>
      <c r="S118">
        <v>26160.000000000004</v>
      </c>
      <c r="T118">
        <v>23040</v>
      </c>
      <c r="U118">
        <v>18240</v>
      </c>
      <c r="AB118">
        <v>642720</v>
      </c>
      <c r="AC118">
        <v>6273120</v>
      </c>
    </row>
    <row r="119" spans="1:29" x14ac:dyDescent="0.3">
      <c r="A119" t="s">
        <v>155</v>
      </c>
      <c r="B119">
        <v>0</v>
      </c>
      <c r="C119">
        <v>3120</v>
      </c>
      <c r="D119">
        <v>9840</v>
      </c>
      <c r="E119">
        <v>20400</v>
      </c>
      <c r="F119">
        <v>32880</v>
      </c>
      <c r="G119">
        <v>58080</v>
      </c>
      <c r="H119">
        <v>58080</v>
      </c>
      <c r="I119">
        <v>58080</v>
      </c>
      <c r="J119">
        <v>18720</v>
      </c>
      <c r="K119">
        <v>39360</v>
      </c>
      <c r="L119">
        <v>39360</v>
      </c>
      <c r="M119">
        <v>39360</v>
      </c>
      <c r="N119">
        <v>47520</v>
      </c>
      <c r="O119">
        <v>26880.000000000004</v>
      </c>
      <c r="P119">
        <v>33840</v>
      </c>
      <c r="Q119">
        <v>45840</v>
      </c>
      <c r="R119">
        <v>43920</v>
      </c>
      <c r="S119">
        <v>26160.000000000004</v>
      </c>
      <c r="T119">
        <v>23040</v>
      </c>
      <c r="U119">
        <v>18240</v>
      </c>
      <c r="V119">
        <v>30720</v>
      </c>
      <c r="AB119">
        <v>673440</v>
      </c>
      <c r="AC119">
        <v>6946560</v>
      </c>
    </row>
    <row r="120" spans="1:29" x14ac:dyDescent="0.3">
      <c r="A120" t="s">
        <v>156</v>
      </c>
      <c r="B120">
        <v>0</v>
      </c>
      <c r="C120">
        <v>3120</v>
      </c>
      <c r="D120">
        <v>9840</v>
      </c>
      <c r="E120">
        <v>20400</v>
      </c>
      <c r="F120">
        <v>32880</v>
      </c>
      <c r="G120">
        <v>58080</v>
      </c>
      <c r="H120">
        <v>58080</v>
      </c>
      <c r="I120">
        <v>58080</v>
      </c>
      <c r="J120">
        <v>18720</v>
      </c>
      <c r="K120">
        <v>39360</v>
      </c>
      <c r="L120">
        <v>39360</v>
      </c>
      <c r="M120">
        <v>39360</v>
      </c>
      <c r="N120">
        <v>47520</v>
      </c>
      <c r="O120">
        <v>26880.000000000004</v>
      </c>
      <c r="P120">
        <v>33840</v>
      </c>
      <c r="Q120">
        <v>45840</v>
      </c>
      <c r="R120">
        <v>43920</v>
      </c>
      <c r="S120">
        <v>26160.000000000004</v>
      </c>
      <c r="T120">
        <v>23040</v>
      </c>
      <c r="U120">
        <v>18240</v>
      </c>
      <c r="V120">
        <v>30720</v>
      </c>
      <c r="W120">
        <v>21120</v>
      </c>
      <c r="AB120">
        <v>694560</v>
      </c>
      <c r="AC120">
        <v>7641120</v>
      </c>
    </row>
    <row r="121" spans="1:29" x14ac:dyDescent="0.3">
      <c r="A121" t="s">
        <v>157</v>
      </c>
      <c r="B121">
        <v>0</v>
      </c>
      <c r="C121">
        <v>3120</v>
      </c>
      <c r="D121">
        <v>9840</v>
      </c>
      <c r="E121">
        <v>20400</v>
      </c>
      <c r="F121">
        <v>32880</v>
      </c>
      <c r="G121">
        <v>58080</v>
      </c>
      <c r="H121">
        <v>58080</v>
      </c>
      <c r="I121">
        <v>58080</v>
      </c>
      <c r="J121">
        <v>18720</v>
      </c>
      <c r="K121">
        <v>39360</v>
      </c>
      <c r="L121">
        <v>39360</v>
      </c>
      <c r="M121">
        <v>39360</v>
      </c>
      <c r="N121">
        <v>47520</v>
      </c>
      <c r="O121">
        <v>26880.000000000004</v>
      </c>
      <c r="P121">
        <v>33840</v>
      </c>
      <c r="Q121">
        <v>45840</v>
      </c>
      <c r="R121">
        <v>43920</v>
      </c>
      <c r="S121">
        <v>26160.000000000004</v>
      </c>
      <c r="T121">
        <v>23040</v>
      </c>
      <c r="U121">
        <v>18240</v>
      </c>
      <c r="V121">
        <v>30720</v>
      </c>
      <c r="W121">
        <v>21120</v>
      </c>
      <c r="X121">
        <v>18000</v>
      </c>
      <c r="AB121">
        <v>712560</v>
      </c>
      <c r="AC121">
        <v>8353680</v>
      </c>
    </row>
    <row r="122" spans="1:29" x14ac:dyDescent="0.3">
      <c r="A122" t="s">
        <v>158</v>
      </c>
      <c r="B122">
        <v>0</v>
      </c>
      <c r="C122">
        <v>3120</v>
      </c>
      <c r="D122">
        <v>9840</v>
      </c>
      <c r="E122">
        <v>20400</v>
      </c>
      <c r="F122">
        <v>32880</v>
      </c>
      <c r="G122">
        <v>58080</v>
      </c>
      <c r="H122">
        <v>58080</v>
      </c>
      <c r="I122">
        <v>58080</v>
      </c>
      <c r="J122">
        <v>18720</v>
      </c>
      <c r="K122">
        <v>39360</v>
      </c>
      <c r="L122">
        <v>39360</v>
      </c>
      <c r="M122">
        <v>39360</v>
      </c>
      <c r="N122">
        <v>47520</v>
      </c>
      <c r="O122">
        <v>26880.000000000004</v>
      </c>
      <c r="P122">
        <v>33840</v>
      </c>
      <c r="Q122">
        <v>45840</v>
      </c>
      <c r="R122">
        <v>43920</v>
      </c>
      <c r="S122">
        <v>26160.000000000004</v>
      </c>
      <c r="T122">
        <v>23040</v>
      </c>
      <c r="U122">
        <v>18240</v>
      </c>
      <c r="V122">
        <v>30720</v>
      </c>
      <c r="W122">
        <v>21120</v>
      </c>
      <c r="X122">
        <v>18000</v>
      </c>
      <c r="Y122">
        <v>5520</v>
      </c>
      <c r="AB122">
        <v>718080</v>
      </c>
      <c r="AC122">
        <v>9071760</v>
      </c>
    </row>
    <row r="123" spans="1:29" x14ac:dyDescent="0.3">
      <c r="A123" t="s">
        <v>159</v>
      </c>
      <c r="B123">
        <v>0</v>
      </c>
      <c r="C123">
        <v>3120</v>
      </c>
      <c r="D123">
        <v>9840</v>
      </c>
      <c r="E123">
        <v>20400</v>
      </c>
      <c r="F123">
        <v>32880</v>
      </c>
      <c r="G123">
        <v>58080</v>
      </c>
      <c r="H123">
        <v>58080</v>
      </c>
      <c r="I123">
        <v>58080</v>
      </c>
      <c r="J123">
        <v>18720</v>
      </c>
      <c r="K123">
        <v>39360</v>
      </c>
      <c r="L123">
        <v>39360</v>
      </c>
      <c r="M123">
        <v>39360</v>
      </c>
      <c r="N123">
        <v>47520</v>
      </c>
      <c r="O123">
        <v>26880.000000000004</v>
      </c>
      <c r="P123">
        <v>33840</v>
      </c>
      <c r="Q123">
        <v>45840</v>
      </c>
      <c r="R123">
        <v>43920</v>
      </c>
      <c r="S123">
        <v>26160.000000000004</v>
      </c>
      <c r="T123">
        <v>23040</v>
      </c>
      <c r="U123">
        <v>18240</v>
      </c>
      <c r="V123">
        <v>30720</v>
      </c>
      <c r="W123">
        <v>21120</v>
      </c>
      <c r="X123">
        <v>18000</v>
      </c>
      <c r="Y123">
        <v>5520</v>
      </c>
      <c r="Z123">
        <v>4800</v>
      </c>
      <c r="AB123">
        <v>722880</v>
      </c>
      <c r="AC123">
        <v>9794640</v>
      </c>
    </row>
    <row r="124" spans="1:29" x14ac:dyDescent="0.3">
      <c r="A124" t="s">
        <v>160</v>
      </c>
      <c r="B124">
        <v>0</v>
      </c>
      <c r="C124">
        <v>3120</v>
      </c>
      <c r="D124">
        <v>9840</v>
      </c>
      <c r="E124">
        <v>20400</v>
      </c>
      <c r="F124">
        <v>32880</v>
      </c>
      <c r="G124">
        <v>58080</v>
      </c>
      <c r="H124">
        <v>58080</v>
      </c>
      <c r="I124">
        <v>58080</v>
      </c>
      <c r="J124">
        <v>18720</v>
      </c>
      <c r="K124">
        <v>39360</v>
      </c>
      <c r="L124">
        <v>39360</v>
      </c>
      <c r="M124">
        <v>39360</v>
      </c>
      <c r="N124">
        <v>47520</v>
      </c>
      <c r="O124">
        <v>26880.000000000004</v>
      </c>
      <c r="P124">
        <v>33840</v>
      </c>
      <c r="Q124">
        <v>45840</v>
      </c>
      <c r="R124">
        <v>43920</v>
      </c>
      <c r="S124">
        <v>26160.000000000004</v>
      </c>
      <c r="T124">
        <v>23040</v>
      </c>
      <c r="U124">
        <v>18240</v>
      </c>
      <c r="V124">
        <v>30720</v>
      </c>
      <c r="W124">
        <v>21120</v>
      </c>
      <c r="X124">
        <v>18000</v>
      </c>
      <c r="Y124">
        <v>5520</v>
      </c>
      <c r="Z124">
        <v>4800</v>
      </c>
      <c r="AA124">
        <v>13919.999999999998</v>
      </c>
      <c r="AB124">
        <v>736800</v>
      </c>
      <c r="AC124">
        <v>10531440</v>
      </c>
    </row>
    <row r="125" spans="1:29" x14ac:dyDescent="0.3">
      <c r="AB125">
        <v>10531440</v>
      </c>
      <c r="AC125">
        <v>38650384.799999997</v>
      </c>
    </row>
    <row r="126" spans="1:29" x14ac:dyDescent="0.3">
      <c r="AB126">
        <v>10.53144</v>
      </c>
      <c r="AC126">
        <v>38.65</v>
      </c>
    </row>
    <row r="128" spans="1:29" x14ac:dyDescent="0.3">
      <c r="A128" t="s">
        <v>170</v>
      </c>
      <c r="B128">
        <v>0</v>
      </c>
      <c r="C128">
        <v>811.2</v>
      </c>
      <c r="AB128">
        <v>811.2</v>
      </c>
      <c r="AC128">
        <v>811.2</v>
      </c>
    </row>
    <row r="129" spans="1:29" x14ac:dyDescent="0.3">
      <c r="A129" t="s">
        <v>164</v>
      </c>
      <c r="B129">
        <v>0</v>
      </c>
      <c r="C129">
        <v>811.2</v>
      </c>
      <c r="D129">
        <v>2558.4</v>
      </c>
      <c r="AB129">
        <v>3369.6000000000004</v>
      </c>
      <c r="AC129">
        <v>4180.8</v>
      </c>
    </row>
    <row r="130" spans="1:29" x14ac:dyDescent="0.3">
      <c r="A130" t="s">
        <v>138</v>
      </c>
      <c r="B130">
        <v>0</v>
      </c>
      <c r="C130">
        <v>811.2</v>
      </c>
      <c r="D130">
        <v>2558.4</v>
      </c>
      <c r="E130">
        <v>5304</v>
      </c>
      <c r="AB130">
        <v>8673.6</v>
      </c>
      <c r="AC130">
        <v>12854.400000000001</v>
      </c>
    </row>
    <row r="131" spans="1:29" x14ac:dyDescent="0.3">
      <c r="A131" t="s">
        <v>139</v>
      </c>
      <c r="B131">
        <v>0</v>
      </c>
      <c r="C131">
        <v>811.2</v>
      </c>
      <c r="D131">
        <v>2558.4</v>
      </c>
      <c r="E131">
        <v>5304</v>
      </c>
      <c r="F131">
        <v>8548.8000000000011</v>
      </c>
      <c r="AB131">
        <v>17222.400000000001</v>
      </c>
      <c r="AC131">
        <v>30076.800000000003</v>
      </c>
    </row>
    <row r="132" spans="1:29" x14ac:dyDescent="0.3">
      <c r="A132" t="s">
        <v>140</v>
      </c>
      <c r="B132">
        <v>0</v>
      </c>
      <c r="C132">
        <v>811.2</v>
      </c>
      <c r="D132">
        <v>2558.4</v>
      </c>
      <c r="E132">
        <v>5304</v>
      </c>
      <c r="F132">
        <v>8548.8000000000011</v>
      </c>
      <c r="G132">
        <v>15100.8</v>
      </c>
      <c r="AB132">
        <v>32323.200000000001</v>
      </c>
      <c r="AC132">
        <v>62400</v>
      </c>
    </row>
    <row r="133" spans="1:29" x14ac:dyDescent="0.3">
      <c r="A133" t="s">
        <v>141</v>
      </c>
      <c r="B133">
        <v>0</v>
      </c>
      <c r="C133">
        <v>811.2</v>
      </c>
      <c r="D133">
        <v>2558.4</v>
      </c>
      <c r="E133">
        <v>5304</v>
      </c>
      <c r="F133">
        <v>8548.8000000000011</v>
      </c>
      <c r="G133">
        <v>15100.8</v>
      </c>
      <c r="H133">
        <v>15100.8</v>
      </c>
      <c r="AB133">
        <v>47424</v>
      </c>
      <c r="AC133">
        <v>109824</v>
      </c>
    </row>
    <row r="134" spans="1:29" x14ac:dyDescent="0.3">
      <c r="A134" t="s">
        <v>142</v>
      </c>
      <c r="B134">
        <v>0</v>
      </c>
      <c r="C134">
        <v>811.2</v>
      </c>
      <c r="D134">
        <v>2558.4</v>
      </c>
      <c r="E134">
        <v>5304</v>
      </c>
      <c r="F134">
        <v>8548.8000000000011</v>
      </c>
      <c r="G134">
        <v>15100.8</v>
      </c>
      <c r="H134">
        <v>15100.8</v>
      </c>
      <c r="I134">
        <v>15100.8</v>
      </c>
      <c r="AB134">
        <v>62524.800000000003</v>
      </c>
      <c r="AC134">
        <v>172348.79999999999</v>
      </c>
    </row>
    <row r="135" spans="1:29" x14ac:dyDescent="0.3">
      <c r="A135" t="s">
        <v>143</v>
      </c>
      <c r="B135">
        <v>0</v>
      </c>
      <c r="C135">
        <v>811.2</v>
      </c>
      <c r="D135">
        <v>2558.4</v>
      </c>
      <c r="E135">
        <v>5304</v>
      </c>
      <c r="F135">
        <v>8548.8000000000011</v>
      </c>
      <c r="G135">
        <v>15100.8</v>
      </c>
      <c r="H135">
        <v>15100.8</v>
      </c>
      <c r="I135">
        <v>15100.8</v>
      </c>
      <c r="J135">
        <v>4867.2</v>
      </c>
      <c r="AB135">
        <v>67392</v>
      </c>
      <c r="AC135">
        <v>239740.79999999999</v>
      </c>
    </row>
    <row r="136" spans="1:29" x14ac:dyDescent="0.3">
      <c r="A136" t="s">
        <v>144</v>
      </c>
      <c r="B136">
        <v>0</v>
      </c>
      <c r="C136">
        <v>811.2</v>
      </c>
      <c r="D136">
        <v>2558.4</v>
      </c>
      <c r="E136">
        <v>5304</v>
      </c>
      <c r="F136">
        <v>8548.8000000000011</v>
      </c>
      <c r="G136">
        <v>15100.8</v>
      </c>
      <c r="H136">
        <v>15100.8</v>
      </c>
      <c r="I136">
        <v>15100.8</v>
      </c>
      <c r="J136">
        <v>4867.2</v>
      </c>
      <c r="K136">
        <v>10233.6</v>
      </c>
      <c r="AB136">
        <v>77625.600000000006</v>
      </c>
      <c r="AC136">
        <v>317366.40000000002</v>
      </c>
    </row>
    <row r="137" spans="1:29" x14ac:dyDescent="0.3">
      <c r="A137" t="s">
        <v>145</v>
      </c>
      <c r="B137">
        <v>0</v>
      </c>
      <c r="C137">
        <v>811.2</v>
      </c>
      <c r="D137">
        <v>2558.4</v>
      </c>
      <c r="E137">
        <v>5304</v>
      </c>
      <c r="F137">
        <v>8548.8000000000011</v>
      </c>
      <c r="G137">
        <v>15100.8</v>
      </c>
      <c r="H137">
        <v>15100.8</v>
      </c>
      <c r="I137">
        <v>15100.8</v>
      </c>
      <c r="J137">
        <v>4867.2</v>
      </c>
      <c r="K137">
        <v>10233.6</v>
      </c>
      <c r="L137">
        <v>10233.6</v>
      </c>
      <c r="AB137">
        <v>87859.200000000012</v>
      </c>
      <c r="AC137">
        <v>405225.60000000003</v>
      </c>
    </row>
    <row r="138" spans="1:29" x14ac:dyDescent="0.3">
      <c r="A138" t="s">
        <v>146</v>
      </c>
      <c r="B138">
        <v>0</v>
      </c>
      <c r="C138">
        <v>811.2</v>
      </c>
      <c r="D138">
        <v>2558.4</v>
      </c>
      <c r="E138">
        <v>5304</v>
      </c>
      <c r="F138">
        <v>8548.8000000000011</v>
      </c>
      <c r="G138">
        <v>15100.8</v>
      </c>
      <c r="H138">
        <v>15100.8</v>
      </c>
      <c r="I138">
        <v>15100.8</v>
      </c>
      <c r="J138">
        <v>4867.2</v>
      </c>
      <c r="K138">
        <v>10233.6</v>
      </c>
      <c r="L138">
        <v>10233.6</v>
      </c>
      <c r="M138">
        <v>10233.6</v>
      </c>
      <c r="AB138">
        <v>98092.800000000017</v>
      </c>
      <c r="AC138">
        <v>503318.4</v>
      </c>
    </row>
    <row r="139" spans="1:29" x14ac:dyDescent="0.3">
      <c r="A139" t="s">
        <v>147</v>
      </c>
      <c r="B139">
        <v>0</v>
      </c>
      <c r="C139">
        <v>811.2</v>
      </c>
      <c r="D139">
        <v>2558.4</v>
      </c>
      <c r="E139">
        <v>5304</v>
      </c>
      <c r="F139">
        <v>8548.8000000000011</v>
      </c>
      <c r="G139">
        <v>15100.8</v>
      </c>
      <c r="H139">
        <v>15100.8</v>
      </c>
      <c r="I139">
        <v>15100.8</v>
      </c>
      <c r="J139">
        <v>4867.2</v>
      </c>
      <c r="K139">
        <v>10233.6</v>
      </c>
      <c r="L139">
        <v>10233.6</v>
      </c>
      <c r="M139">
        <v>10233.6</v>
      </c>
      <c r="N139">
        <v>12355.2</v>
      </c>
      <c r="AB139">
        <v>110448.00000000001</v>
      </c>
      <c r="AC139">
        <v>613766.40000000002</v>
      </c>
    </row>
    <row r="140" spans="1:29" x14ac:dyDescent="0.3">
      <c r="A140" t="s">
        <v>148</v>
      </c>
      <c r="B140">
        <v>0</v>
      </c>
      <c r="C140">
        <v>811.2</v>
      </c>
      <c r="D140">
        <v>2558.4</v>
      </c>
      <c r="E140">
        <v>5304</v>
      </c>
      <c r="F140">
        <v>8548.8000000000011</v>
      </c>
      <c r="G140">
        <v>15100.8</v>
      </c>
      <c r="H140">
        <v>15100.8</v>
      </c>
      <c r="I140">
        <v>15100.8</v>
      </c>
      <c r="J140">
        <v>4867.2</v>
      </c>
      <c r="K140">
        <v>10233.6</v>
      </c>
      <c r="L140">
        <v>10233.6</v>
      </c>
      <c r="M140">
        <v>10233.6</v>
      </c>
      <c r="N140">
        <v>12355.2</v>
      </c>
      <c r="O140">
        <v>6988.8</v>
      </c>
      <c r="AB140">
        <v>117436.80000000002</v>
      </c>
      <c r="AC140">
        <v>731203.20000000007</v>
      </c>
    </row>
    <row r="141" spans="1:29" x14ac:dyDescent="0.3">
      <c r="A141" t="s">
        <v>149</v>
      </c>
      <c r="B141">
        <v>0</v>
      </c>
      <c r="C141">
        <v>811.2</v>
      </c>
      <c r="D141">
        <v>2558.4</v>
      </c>
      <c r="E141">
        <v>5304</v>
      </c>
      <c r="F141">
        <v>8548.8000000000011</v>
      </c>
      <c r="G141">
        <v>15100.8</v>
      </c>
      <c r="H141">
        <v>15100.8</v>
      </c>
      <c r="I141">
        <v>15100.8</v>
      </c>
      <c r="J141">
        <v>4867.2</v>
      </c>
      <c r="K141">
        <v>10233.6</v>
      </c>
      <c r="L141">
        <v>10233.6</v>
      </c>
      <c r="M141">
        <v>10233.6</v>
      </c>
      <c r="N141">
        <v>12355.2</v>
      </c>
      <c r="O141">
        <v>6988.8</v>
      </c>
      <c r="P141">
        <v>8798.4</v>
      </c>
      <c r="AB141">
        <v>126235.20000000001</v>
      </c>
      <c r="AC141">
        <v>857438.40000000014</v>
      </c>
    </row>
    <row r="142" spans="1:29" x14ac:dyDescent="0.3">
      <c r="A142" t="s">
        <v>150</v>
      </c>
      <c r="B142">
        <v>0</v>
      </c>
      <c r="C142">
        <v>811.2</v>
      </c>
      <c r="D142">
        <v>2558.4</v>
      </c>
      <c r="E142">
        <v>5304</v>
      </c>
      <c r="F142">
        <v>8548.8000000000011</v>
      </c>
      <c r="G142">
        <v>15100.8</v>
      </c>
      <c r="H142">
        <v>15100.8</v>
      </c>
      <c r="I142">
        <v>15100.8</v>
      </c>
      <c r="J142">
        <v>4867.2</v>
      </c>
      <c r="K142">
        <v>10233.6</v>
      </c>
      <c r="L142">
        <v>10233.6</v>
      </c>
      <c r="M142">
        <v>10233.6</v>
      </c>
      <c r="N142">
        <v>12355.2</v>
      </c>
      <c r="O142">
        <v>6988.8</v>
      </c>
      <c r="P142">
        <v>8798.4</v>
      </c>
      <c r="Q142">
        <v>11918.4</v>
      </c>
      <c r="AB142">
        <v>138153.60000000001</v>
      </c>
      <c r="AC142">
        <v>995592.00000000012</v>
      </c>
    </row>
    <row r="143" spans="1:29" x14ac:dyDescent="0.3">
      <c r="A143" t="s">
        <v>151</v>
      </c>
      <c r="B143">
        <v>0</v>
      </c>
      <c r="C143">
        <v>811.2</v>
      </c>
      <c r="D143">
        <v>2558.4</v>
      </c>
      <c r="E143">
        <v>5304</v>
      </c>
      <c r="F143">
        <v>8548.8000000000011</v>
      </c>
      <c r="G143">
        <v>15100.8</v>
      </c>
      <c r="H143">
        <v>15100.8</v>
      </c>
      <c r="I143">
        <v>15100.8</v>
      </c>
      <c r="J143">
        <v>4867.2</v>
      </c>
      <c r="K143">
        <v>10233.6</v>
      </c>
      <c r="L143">
        <v>10233.6</v>
      </c>
      <c r="M143">
        <v>10233.6</v>
      </c>
      <c r="N143">
        <v>12355.2</v>
      </c>
      <c r="O143">
        <v>6988.8</v>
      </c>
      <c r="P143">
        <v>8798.4</v>
      </c>
      <c r="Q143">
        <v>11918.4</v>
      </c>
      <c r="R143">
        <v>11419.2</v>
      </c>
      <c r="AB143">
        <v>149572.80000000002</v>
      </c>
      <c r="AC143">
        <v>1145164.8</v>
      </c>
    </row>
    <row r="144" spans="1:29" x14ac:dyDescent="0.3">
      <c r="A144" t="s">
        <v>152</v>
      </c>
      <c r="B144">
        <v>0</v>
      </c>
      <c r="C144">
        <v>811.2</v>
      </c>
      <c r="D144">
        <v>2558.4</v>
      </c>
      <c r="E144">
        <v>5304</v>
      </c>
      <c r="F144">
        <v>8548.8000000000011</v>
      </c>
      <c r="G144">
        <v>15100.8</v>
      </c>
      <c r="H144">
        <v>15100.8</v>
      </c>
      <c r="I144">
        <v>15100.8</v>
      </c>
      <c r="J144">
        <v>4867.2</v>
      </c>
      <c r="K144">
        <v>10233.6</v>
      </c>
      <c r="L144">
        <v>10233.6</v>
      </c>
      <c r="M144">
        <v>10233.6</v>
      </c>
      <c r="N144">
        <v>12355.2</v>
      </c>
      <c r="O144">
        <v>6988.8</v>
      </c>
      <c r="P144">
        <v>8798.4</v>
      </c>
      <c r="Q144">
        <v>11918.4</v>
      </c>
      <c r="R144">
        <v>11419.2</v>
      </c>
      <c r="S144">
        <v>6801.6000000000013</v>
      </c>
      <c r="AB144">
        <v>156374.40000000002</v>
      </c>
      <c r="AC144">
        <v>1301539.2000000002</v>
      </c>
    </row>
    <row r="145" spans="1:29" x14ac:dyDescent="0.3">
      <c r="A145" t="s">
        <v>153</v>
      </c>
      <c r="B145">
        <v>0</v>
      </c>
      <c r="C145">
        <v>811.2</v>
      </c>
      <c r="D145">
        <v>2558.4</v>
      </c>
      <c r="E145">
        <v>5304</v>
      </c>
      <c r="F145">
        <v>8548.8000000000011</v>
      </c>
      <c r="G145">
        <v>15100.8</v>
      </c>
      <c r="H145">
        <v>15100.8</v>
      </c>
      <c r="I145">
        <v>15100.8</v>
      </c>
      <c r="J145">
        <v>4867.2</v>
      </c>
      <c r="K145">
        <v>10233.6</v>
      </c>
      <c r="L145">
        <v>10233.6</v>
      </c>
      <c r="M145">
        <v>10233.6</v>
      </c>
      <c r="N145">
        <v>12355.2</v>
      </c>
      <c r="O145">
        <v>6988.8</v>
      </c>
      <c r="P145">
        <v>8798.4</v>
      </c>
      <c r="Q145">
        <v>11918.4</v>
      </c>
      <c r="R145">
        <v>11419.2</v>
      </c>
      <c r="S145">
        <v>6801.6000000000013</v>
      </c>
      <c r="T145">
        <v>5990.4</v>
      </c>
      <c r="AB145">
        <v>162364.80000000002</v>
      </c>
      <c r="AC145">
        <v>1463904.0000000002</v>
      </c>
    </row>
    <row r="146" spans="1:29" x14ac:dyDescent="0.3">
      <c r="A146" t="s">
        <v>154</v>
      </c>
      <c r="B146">
        <v>0</v>
      </c>
      <c r="C146">
        <v>811.2</v>
      </c>
      <c r="D146">
        <v>2558.4</v>
      </c>
      <c r="E146">
        <v>5304</v>
      </c>
      <c r="F146">
        <v>8548.8000000000011</v>
      </c>
      <c r="G146">
        <v>15100.8</v>
      </c>
      <c r="H146">
        <v>15100.8</v>
      </c>
      <c r="I146">
        <v>15100.8</v>
      </c>
      <c r="J146">
        <v>4867.2</v>
      </c>
      <c r="K146">
        <v>10233.6</v>
      </c>
      <c r="L146">
        <v>10233.6</v>
      </c>
      <c r="M146">
        <v>10233.6</v>
      </c>
      <c r="N146">
        <v>12355.2</v>
      </c>
      <c r="O146">
        <v>6988.8</v>
      </c>
      <c r="P146">
        <v>8798.4</v>
      </c>
      <c r="Q146">
        <v>11918.4</v>
      </c>
      <c r="R146">
        <v>11419.2</v>
      </c>
      <c r="S146">
        <v>6801.6000000000013</v>
      </c>
      <c r="T146">
        <v>5990.4</v>
      </c>
      <c r="U146">
        <v>4742.3999999999996</v>
      </c>
      <c r="AB146">
        <v>167107.20000000001</v>
      </c>
      <c r="AC146">
        <v>1631011.2000000002</v>
      </c>
    </row>
    <row r="147" spans="1:29" x14ac:dyDescent="0.3">
      <c r="A147" t="s">
        <v>155</v>
      </c>
      <c r="B147">
        <v>0</v>
      </c>
      <c r="C147">
        <v>811.2</v>
      </c>
      <c r="D147">
        <v>2558.4</v>
      </c>
      <c r="E147">
        <v>5304</v>
      </c>
      <c r="F147">
        <v>8548.8000000000011</v>
      </c>
      <c r="G147">
        <v>15100.8</v>
      </c>
      <c r="H147">
        <v>15100.8</v>
      </c>
      <c r="I147">
        <v>15100.8</v>
      </c>
      <c r="J147">
        <v>4867.2</v>
      </c>
      <c r="K147">
        <v>10233.6</v>
      </c>
      <c r="L147">
        <v>10233.6</v>
      </c>
      <c r="M147">
        <v>10233.6</v>
      </c>
      <c r="N147">
        <v>12355.2</v>
      </c>
      <c r="O147">
        <v>6988.8</v>
      </c>
      <c r="P147">
        <v>8798.4</v>
      </c>
      <c r="Q147">
        <v>11918.4</v>
      </c>
      <c r="R147">
        <v>11419.2</v>
      </c>
      <c r="S147">
        <v>6801.6000000000013</v>
      </c>
      <c r="T147">
        <v>5990.4</v>
      </c>
      <c r="U147">
        <v>4742.3999999999996</v>
      </c>
      <c r="V147">
        <v>7987.2000000000007</v>
      </c>
      <c r="AB147">
        <v>175094.40000000002</v>
      </c>
      <c r="AC147">
        <v>1806105.6000000001</v>
      </c>
    </row>
    <row r="148" spans="1:29" x14ac:dyDescent="0.3">
      <c r="A148" t="s">
        <v>156</v>
      </c>
      <c r="B148">
        <v>0</v>
      </c>
      <c r="C148">
        <v>811.2</v>
      </c>
      <c r="D148">
        <v>2558.4</v>
      </c>
      <c r="E148">
        <v>5304</v>
      </c>
      <c r="F148">
        <v>8548.8000000000011</v>
      </c>
      <c r="G148">
        <v>15100.8</v>
      </c>
      <c r="H148">
        <v>15100.8</v>
      </c>
      <c r="I148">
        <v>15100.8</v>
      </c>
      <c r="J148">
        <v>4867.2</v>
      </c>
      <c r="K148">
        <v>10233.6</v>
      </c>
      <c r="L148">
        <v>10233.6</v>
      </c>
      <c r="M148">
        <v>10233.6</v>
      </c>
      <c r="N148">
        <v>12355.2</v>
      </c>
      <c r="O148">
        <v>6988.8</v>
      </c>
      <c r="P148">
        <v>8798.4</v>
      </c>
      <c r="Q148">
        <v>11918.4</v>
      </c>
      <c r="R148">
        <v>11419.2</v>
      </c>
      <c r="S148">
        <v>6801.6000000000013</v>
      </c>
      <c r="T148">
        <v>5990.4</v>
      </c>
      <c r="U148">
        <v>4742.3999999999996</v>
      </c>
      <c r="V148">
        <v>7987.2000000000007</v>
      </c>
      <c r="W148">
        <v>5491.2</v>
      </c>
      <c r="AB148">
        <v>180585.60000000003</v>
      </c>
      <c r="AC148">
        <v>1986691.2000000002</v>
      </c>
    </row>
    <row r="149" spans="1:29" x14ac:dyDescent="0.3">
      <c r="A149" t="s">
        <v>157</v>
      </c>
      <c r="B149">
        <v>0</v>
      </c>
      <c r="C149">
        <v>811.2</v>
      </c>
      <c r="D149">
        <v>2558.4</v>
      </c>
      <c r="E149">
        <v>5304</v>
      </c>
      <c r="F149">
        <v>8548.8000000000011</v>
      </c>
      <c r="G149">
        <v>15100.8</v>
      </c>
      <c r="H149">
        <v>15100.8</v>
      </c>
      <c r="I149">
        <v>15100.8</v>
      </c>
      <c r="J149">
        <v>4867.2</v>
      </c>
      <c r="K149">
        <v>10233.6</v>
      </c>
      <c r="L149">
        <v>10233.6</v>
      </c>
      <c r="M149">
        <v>10233.6</v>
      </c>
      <c r="N149">
        <v>12355.2</v>
      </c>
      <c r="O149">
        <v>6988.8</v>
      </c>
      <c r="P149">
        <v>8798.4</v>
      </c>
      <c r="Q149">
        <v>11918.4</v>
      </c>
      <c r="R149">
        <v>11419.2</v>
      </c>
      <c r="S149">
        <v>6801.6000000000013</v>
      </c>
      <c r="T149">
        <v>5990.4</v>
      </c>
      <c r="U149">
        <v>4742.3999999999996</v>
      </c>
      <c r="V149">
        <v>7987.2000000000007</v>
      </c>
      <c r="W149">
        <v>5491.2</v>
      </c>
      <c r="X149">
        <v>4680</v>
      </c>
      <c r="AB149">
        <v>185265.60000000003</v>
      </c>
      <c r="AC149">
        <v>2171956.8000000003</v>
      </c>
    </row>
    <row r="150" spans="1:29" x14ac:dyDescent="0.3">
      <c r="A150" t="s">
        <v>158</v>
      </c>
      <c r="B150">
        <v>0</v>
      </c>
      <c r="C150">
        <v>811.2</v>
      </c>
      <c r="D150">
        <v>2558.4</v>
      </c>
      <c r="E150">
        <v>5304</v>
      </c>
      <c r="F150">
        <v>8548.8000000000011</v>
      </c>
      <c r="G150">
        <v>15100.8</v>
      </c>
      <c r="H150">
        <v>15100.8</v>
      </c>
      <c r="I150">
        <v>15100.8</v>
      </c>
      <c r="J150">
        <v>4867.2</v>
      </c>
      <c r="K150">
        <v>10233.6</v>
      </c>
      <c r="L150">
        <v>10233.6</v>
      </c>
      <c r="M150">
        <v>10233.6</v>
      </c>
      <c r="N150">
        <v>12355.2</v>
      </c>
      <c r="O150">
        <v>6988.8</v>
      </c>
      <c r="P150">
        <v>8798.4</v>
      </c>
      <c r="Q150">
        <v>11918.4</v>
      </c>
      <c r="R150">
        <v>11419.2</v>
      </c>
      <c r="S150">
        <v>6801.6000000000013</v>
      </c>
      <c r="T150">
        <v>5990.4</v>
      </c>
      <c r="U150">
        <v>4742.3999999999996</v>
      </c>
      <c r="V150">
        <v>7987.2000000000007</v>
      </c>
      <c r="W150">
        <v>5491.2</v>
      </c>
      <c r="X150">
        <v>4680</v>
      </c>
      <c r="Y150">
        <v>1435.2</v>
      </c>
      <c r="AB150">
        <v>186700.80000000005</v>
      </c>
      <c r="AC150">
        <v>2358657.6000000006</v>
      </c>
    </row>
    <row r="151" spans="1:29" x14ac:dyDescent="0.3">
      <c r="A151" t="s">
        <v>159</v>
      </c>
      <c r="B151">
        <v>0</v>
      </c>
      <c r="C151">
        <v>811.2</v>
      </c>
      <c r="D151">
        <v>2558.4</v>
      </c>
      <c r="E151">
        <v>5304</v>
      </c>
      <c r="F151">
        <v>8548.8000000000011</v>
      </c>
      <c r="G151">
        <v>15100.8</v>
      </c>
      <c r="H151">
        <v>15100.8</v>
      </c>
      <c r="I151">
        <v>15100.8</v>
      </c>
      <c r="J151">
        <v>4867.2</v>
      </c>
      <c r="K151">
        <v>10233.6</v>
      </c>
      <c r="L151">
        <v>10233.6</v>
      </c>
      <c r="M151">
        <v>10233.6</v>
      </c>
      <c r="N151">
        <v>12355.2</v>
      </c>
      <c r="O151">
        <v>6988.8</v>
      </c>
      <c r="P151">
        <v>8798.4</v>
      </c>
      <c r="Q151">
        <v>11918.4</v>
      </c>
      <c r="R151">
        <v>11419.2</v>
      </c>
      <c r="S151">
        <v>6801.6000000000013</v>
      </c>
      <c r="T151">
        <v>5990.4</v>
      </c>
      <c r="U151">
        <v>4742.3999999999996</v>
      </c>
      <c r="V151">
        <v>7987.2000000000007</v>
      </c>
      <c r="W151">
        <v>5491.2</v>
      </c>
      <c r="X151">
        <v>4680</v>
      </c>
      <c r="Y151">
        <v>1435.2</v>
      </c>
      <c r="Z151">
        <v>1248</v>
      </c>
      <c r="AB151">
        <v>187948.80000000005</v>
      </c>
      <c r="AC151">
        <v>2546606.4000000004</v>
      </c>
    </row>
    <row r="152" spans="1:29" x14ac:dyDescent="0.3">
      <c r="A152" t="s">
        <v>160</v>
      </c>
      <c r="B152">
        <v>0</v>
      </c>
      <c r="C152">
        <v>811.2</v>
      </c>
      <c r="D152">
        <v>2558.4</v>
      </c>
      <c r="E152">
        <v>5304</v>
      </c>
      <c r="F152">
        <v>8548.8000000000011</v>
      </c>
      <c r="G152">
        <v>15100.8</v>
      </c>
      <c r="H152">
        <v>15100.8</v>
      </c>
      <c r="I152">
        <v>15100.8</v>
      </c>
      <c r="J152">
        <v>4867.2</v>
      </c>
      <c r="K152">
        <v>10233.6</v>
      </c>
      <c r="L152">
        <v>10233.6</v>
      </c>
      <c r="M152">
        <v>10233.6</v>
      </c>
      <c r="N152">
        <v>12355.2</v>
      </c>
      <c r="O152">
        <v>6988.8</v>
      </c>
      <c r="P152">
        <v>8798.4</v>
      </c>
      <c r="Q152">
        <v>11918.4</v>
      </c>
      <c r="R152">
        <v>11419.2</v>
      </c>
      <c r="S152">
        <v>6801.6000000000013</v>
      </c>
      <c r="T152">
        <v>5990.4</v>
      </c>
      <c r="U152">
        <v>4742.3999999999996</v>
      </c>
      <c r="V152">
        <v>7987.2000000000007</v>
      </c>
      <c r="W152">
        <v>5491.2</v>
      </c>
      <c r="X152">
        <v>4680</v>
      </c>
      <c r="Y152">
        <v>1435.2</v>
      </c>
      <c r="Z152">
        <v>1248</v>
      </c>
      <c r="AA152">
        <v>3619.2</v>
      </c>
      <c r="AB152">
        <v>191568.00000000006</v>
      </c>
      <c r="AC152">
        <v>2738174.4000000004</v>
      </c>
    </row>
    <row r="153" spans="1:29" x14ac:dyDescent="0.3">
      <c r="AB153">
        <v>2738174.4000000004</v>
      </c>
      <c r="AC153">
        <v>10049100.048</v>
      </c>
    </row>
    <row r="154" spans="1:29" x14ac:dyDescent="0.3">
      <c r="AB154">
        <v>2.74</v>
      </c>
      <c r="AC154">
        <v>10.049100048</v>
      </c>
    </row>
    <row r="157" spans="1:29" x14ac:dyDescent="0.3">
      <c r="A157" t="s">
        <v>171</v>
      </c>
      <c r="B157">
        <v>1993</v>
      </c>
      <c r="C157">
        <v>1994</v>
      </c>
      <c r="D157">
        <v>1995</v>
      </c>
      <c r="E157">
        <v>1996</v>
      </c>
      <c r="F157">
        <v>1997</v>
      </c>
      <c r="G157">
        <v>1998</v>
      </c>
      <c r="H157">
        <v>1999</v>
      </c>
      <c r="I157">
        <v>2000</v>
      </c>
      <c r="J157">
        <v>2001</v>
      </c>
      <c r="K157">
        <v>2002</v>
      </c>
      <c r="L157">
        <v>2003</v>
      </c>
      <c r="M157">
        <v>2004</v>
      </c>
      <c r="N157">
        <v>2005</v>
      </c>
      <c r="O157">
        <v>2006</v>
      </c>
      <c r="P157">
        <v>2007</v>
      </c>
      <c r="Q157">
        <v>2008</v>
      </c>
      <c r="R157">
        <v>2009</v>
      </c>
      <c r="S157">
        <v>2010</v>
      </c>
      <c r="T157">
        <v>2011</v>
      </c>
      <c r="U157">
        <v>2012</v>
      </c>
      <c r="V157">
        <v>2013</v>
      </c>
      <c r="W157">
        <v>2014</v>
      </c>
      <c r="X157">
        <v>2015</v>
      </c>
      <c r="Y157">
        <v>2016</v>
      </c>
      <c r="Z157">
        <v>2017</v>
      </c>
      <c r="AA157">
        <v>2018</v>
      </c>
    </row>
    <row r="158" spans="1:29" x14ac:dyDescent="0.3">
      <c r="A158" t="s">
        <v>172</v>
      </c>
      <c r="B158">
        <v>0</v>
      </c>
      <c r="C158">
        <v>0.18</v>
      </c>
      <c r="D158">
        <v>0.57999999999999996</v>
      </c>
      <c r="E158">
        <v>1.04</v>
      </c>
      <c r="F158">
        <v>1.62</v>
      </c>
      <c r="G158">
        <v>2.27</v>
      </c>
      <c r="H158">
        <v>2.27</v>
      </c>
      <c r="I158">
        <v>2.27</v>
      </c>
      <c r="J158">
        <v>0.7</v>
      </c>
      <c r="K158">
        <v>1.51</v>
      </c>
      <c r="L158">
        <v>1.51</v>
      </c>
      <c r="M158">
        <v>1.51</v>
      </c>
      <c r="N158">
        <v>2.0699999999999998</v>
      </c>
      <c r="O158">
        <v>1.28</v>
      </c>
      <c r="P158">
        <v>2.0699999999999998</v>
      </c>
      <c r="Q158">
        <v>2.46</v>
      </c>
      <c r="R158">
        <v>2.0699999999999998</v>
      </c>
      <c r="S158">
        <v>1.44</v>
      </c>
      <c r="T158">
        <v>1.38</v>
      </c>
      <c r="U158">
        <v>0.91</v>
      </c>
      <c r="V158">
        <v>1.26</v>
      </c>
      <c r="W158">
        <v>1.19</v>
      </c>
      <c r="X158">
        <v>0.38</v>
      </c>
      <c r="Y158">
        <v>0.67</v>
      </c>
      <c r="Z158">
        <v>0.64</v>
      </c>
      <c r="AA158">
        <v>0.94</v>
      </c>
    </row>
    <row r="159" spans="1:29" x14ac:dyDescent="0.3">
      <c r="A159" t="s">
        <v>173</v>
      </c>
      <c r="B159">
        <v>0</v>
      </c>
      <c r="C159">
        <v>4320</v>
      </c>
      <c r="AB159">
        <v>4320</v>
      </c>
      <c r="AC159">
        <v>4320</v>
      </c>
    </row>
    <row r="160" spans="1:29" x14ac:dyDescent="0.3">
      <c r="A160" t="s">
        <v>164</v>
      </c>
      <c r="B160">
        <v>0</v>
      </c>
      <c r="C160">
        <v>4320</v>
      </c>
      <c r="D160">
        <v>13919.999999999998</v>
      </c>
      <c r="AB160">
        <v>18240</v>
      </c>
      <c r="AC160">
        <v>22560</v>
      </c>
    </row>
    <row r="161" spans="1:29" x14ac:dyDescent="0.3">
      <c r="A161" t="s">
        <v>138</v>
      </c>
      <c r="B161">
        <v>0</v>
      </c>
      <c r="C161">
        <v>4320</v>
      </c>
      <c r="D161">
        <v>13919.999999999998</v>
      </c>
      <c r="E161">
        <v>24960</v>
      </c>
      <c r="AB161">
        <v>43200</v>
      </c>
      <c r="AC161">
        <v>65760</v>
      </c>
    </row>
    <row r="162" spans="1:29" x14ac:dyDescent="0.3">
      <c r="A162" t="s">
        <v>139</v>
      </c>
      <c r="B162">
        <v>0</v>
      </c>
      <c r="C162">
        <v>4320</v>
      </c>
      <c r="D162">
        <v>13919.999999999998</v>
      </c>
      <c r="E162">
        <v>24960</v>
      </c>
      <c r="F162">
        <v>38880</v>
      </c>
      <c r="AB162">
        <v>82080</v>
      </c>
      <c r="AC162">
        <v>147840</v>
      </c>
    </row>
    <row r="163" spans="1:29" x14ac:dyDescent="0.3">
      <c r="A163" t="s">
        <v>140</v>
      </c>
      <c r="B163">
        <v>0</v>
      </c>
      <c r="C163">
        <v>4320</v>
      </c>
      <c r="D163">
        <v>13919.999999999998</v>
      </c>
      <c r="E163">
        <v>24960</v>
      </c>
      <c r="F163">
        <v>38880</v>
      </c>
      <c r="G163">
        <v>54480</v>
      </c>
      <c r="AB163">
        <v>136560</v>
      </c>
      <c r="AC163">
        <v>284400</v>
      </c>
    </row>
    <row r="164" spans="1:29" x14ac:dyDescent="0.3">
      <c r="A164" t="s">
        <v>141</v>
      </c>
      <c r="B164">
        <v>0</v>
      </c>
      <c r="C164">
        <v>4320</v>
      </c>
      <c r="D164">
        <v>13919.999999999998</v>
      </c>
      <c r="E164">
        <v>24960</v>
      </c>
      <c r="F164">
        <v>38880</v>
      </c>
      <c r="G164">
        <v>54480</v>
      </c>
      <c r="H164">
        <v>54480</v>
      </c>
      <c r="AB164">
        <v>191040</v>
      </c>
      <c r="AC164">
        <v>475440</v>
      </c>
    </row>
    <row r="165" spans="1:29" x14ac:dyDescent="0.3">
      <c r="A165" t="s">
        <v>142</v>
      </c>
      <c r="B165">
        <v>0</v>
      </c>
      <c r="C165">
        <v>4320</v>
      </c>
      <c r="D165">
        <v>13919.999999999998</v>
      </c>
      <c r="E165">
        <v>24960</v>
      </c>
      <c r="F165">
        <v>38880</v>
      </c>
      <c r="G165">
        <v>54480</v>
      </c>
      <c r="H165">
        <v>54480</v>
      </c>
      <c r="I165">
        <v>54480</v>
      </c>
      <c r="AB165">
        <v>245520</v>
      </c>
      <c r="AC165">
        <v>720960</v>
      </c>
    </row>
    <row r="166" spans="1:29" x14ac:dyDescent="0.3">
      <c r="A166" t="s">
        <v>143</v>
      </c>
      <c r="B166">
        <v>0</v>
      </c>
      <c r="C166">
        <v>4320</v>
      </c>
      <c r="D166">
        <v>13919.999999999998</v>
      </c>
      <c r="E166">
        <v>24960</v>
      </c>
      <c r="F166">
        <v>38880</v>
      </c>
      <c r="G166">
        <v>54480</v>
      </c>
      <c r="H166">
        <v>54480</v>
      </c>
      <c r="I166">
        <v>54480</v>
      </c>
      <c r="J166">
        <v>16800</v>
      </c>
      <c r="AB166">
        <v>262320</v>
      </c>
      <c r="AC166">
        <v>983280</v>
      </c>
    </row>
    <row r="167" spans="1:29" x14ac:dyDescent="0.3">
      <c r="A167" t="s">
        <v>144</v>
      </c>
      <c r="B167">
        <v>0</v>
      </c>
      <c r="C167">
        <v>4320</v>
      </c>
      <c r="D167">
        <v>13919.999999999998</v>
      </c>
      <c r="E167">
        <v>24960</v>
      </c>
      <c r="F167">
        <v>38880</v>
      </c>
      <c r="G167">
        <v>54480</v>
      </c>
      <c r="H167">
        <v>54480</v>
      </c>
      <c r="I167">
        <v>54480</v>
      </c>
      <c r="J167">
        <v>16800</v>
      </c>
      <c r="K167">
        <v>36240</v>
      </c>
      <c r="AB167">
        <v>298560</v>
      </c>
      <c r="AC167">
        <v>1281840</v>
      </c>
    </row>
    <row r="168" spans="1:29" x14ac:dyDescent="0.3">
      <c r="A168" t="s">
        <v>145</v>
      </c>
      <c r="B168">
        <v>0</v>
      </c>
      <c r="C168">
        <v>4320</v>
      </c>
      <c r="D168">
        <v>13919.999999999998</v>
      </c>
      <c r="E168">
        <v>24960</v>
      </c>
      <c r="F168">
        <v>38880</v>
      </c>
      <c r="G168">
        <v>54480</v>
      </c>
      <c r="H168">
        <v>54480</v>
      </c>
      <c r="I168">
        <v>54480</v>
      </c>
      <c r="J168">
        <v>16800</v>
      </c>
      <c r="K168">
        <v>36240</v>
      </c>
      <c r="L168">
        <v>36240</v>
      </c>
      <c r="AB168">
        <v>334800</v>
      </c>
      <c r="AC168">
        <v>1616640</v>
      </c>
    </row>
    <row r="169" spans="1:29" x14ac:dyDescent="0.3">
      <c r="A169" t="s">
        <v>146</v>
      </c>
      <c r="B169">
        <v>0</v>
      </c>
      <c r="C169">
        <v>4320</v>
      </c>
      <c r="D169">
        <v>13919.999999999998</v>
      </c>
      <c r="E169">
        <v>24960</v>
      </c>
      <c r="F169">
        <v>38880</v>
      </c>
      <c r="G169">
        <v>54480</v>
      </c>
      <c r="H169">
        <v>54480</v>
      </c>
      <c r="I169">
        <v>54480</v>
      </c>
      <c r="J169">
        <v>16800</v>
      </c>
      <c r="K169">
        <v>36240</v>
      </c>
      <c r="L169">
        <v>36240</v>
      </c>
      <c r="M169">
        <v>36240</v>
      </c>
      <c r="AB169">
        <v>371040</v>
      </c>
      <c r="AC169">
        <v>1987680</v>
      </c>
    </row>
    <row r="170" spans="1:29" x14ac:dyDescent="0.3">
      <c r="A170" t="s">
        <v>147</v>
      </c>
      <c r="B170">
        <v>0</v>
      </c>
      <c r="C170">
        <v>4320</v>
      </c>
      <c r="D170">
        <v>13919.999999999998</v>
      </c>
      <c r="E170">
        <v>24960</v>
      </c>
      <c r="F170">
        <v>38880</v>
      </c>
      <c r="G170">
        <v>54480</v>
      </c>
      <c r="H170">
        <v>54480</v>
      </c>
      <c r="I170">
        <v>54480</v>
      </c>
      <c r="J170">
        <v>16800</v>
      </c>
      <c r="K170">
        <v>36240</v>
      </c>
      <c r="L170">
        <v>36240</v>
      </c>
      <c r="M170">
        <v>36240</v>
      </c>
      <c r="N170">
        <v>49679.999999999993</v>
      </c>
      <c r="AB170">
        <v>420720</v>
      </c>
      <c r="AC170">
        <v>2408400</v>
      </c>
    </row>
    <row r="171" spans="1:29" x14ac:dyDescent="0.3">
      <c r="A171" t="s">
        <v>148</v>
      </c>
      <c r="B171">
        <v>0</v>
      </c>
      <c r="C171">
        <v>4320</v>
      </c>
      <c r="D171">
        <v>13919.999999999998</v>
      </c>
      <c r="E171">
        <v>24960</v>
      </c>
      <c r="F171">
        <v>38880</v>
      </c>
      <c r="G171">
        <v>54480</v>
      </c>
      <c r="H171">
        <v>54480</v>
      </c>
      <c r="I171">
        <v>54480</v>
      </c>
      <c r="J171">
        <v>16800</v>
      </c>
      <c r="K171">
        <v>36240</v>
      </c>
      <c r="L171">
        <v>36240</v>
      </c>
      <c r="M171">
        <v>36240</v>
      </c>
      <c r="N171">
        <v>49679.999999999993</v>
      </c>
      <c r="O171">
        <v>30720</v>
      </c>
      <c r="AB171">
        <v>451440</v>
      </c>
      <c r="AC171">
        <v>2859840</v>
      </c>
    </row>
    <row r="172" spans="1:29" x14ac:dyDescent="0.3">
      <c r="A172" t="s">
        <v>149</v>
      </c>
      <c r="B172">
        <v>0</v>
      </c>
      <c r="C172">
        <v>4320</v>
      </c>
      <c r="D172">
        <v>13919.999999999998</v>
      </c>
      <c r="E172">
        <v>24960</v>
      </c>
      <c r="F172">
        <v>38880</v>
      </c>
      <c r="G172">
        <v>54480</v>
      </c>
      <c r="H172">
        <v>54480</v>
      </c>
      <c r="I172">
        <v>54480</v>
      </c>
      <c r="J172">
        <v>16800</v>
      </c>
      <c r="K172">
        <v>36240</v>
      </c>
      <c r="L172">
        <v>36240</v>
      </c>
      <c r="M172">
        <v>36240</v>
      </c>
      <c r="N172">
        <v>49679.999999999993</v>
      </c>
      <c r="O172">
        <v>30720</v>
      </c>
      <c r="P172">
        <v>49679.999999999993</v>
      </c>
      <c r="AB172">
        <v>501120</v>
      </c>
      <c r="AC172">
        <v>3360960</v>
      </c>
    </row>
    <row r="173" spans="1:29" x14ac:dyDescent="0.3">
      <c r="A173" t="s">
        <v>150</v>
      </c>
      <c r="B173">
        <v>0</v>
      </c>
      <c r="C173">
        <v>4320</v>
      </c>
      <c r="D173">
        <v>13919.999999999998</v>
      </c>
      <c r="E173">
        <v>24960</v>
      </c>
      <c r="F173">
        <v>38880</v>
      </c>
      <c r="G173">
        <v>54480</v>
      </c>
      <c r="H173">
        <v>54480</v>
      </c>
      <c r="I173">
        <v>54480</v>
      </c>
      <c r="J173">
        <v>16800</v>
      </c>
      <c r="K173">
        <v>36240</v>
      </c>
      <c r="L173">
        <v>36240</v>
      </c>
      <c r="M173">
        <v>36240</v>
      </c>
      <c r="N173">
        <v>49679.999999999993</v>
      </c>
      <c r="O173">
        <v>30720</v>
      </c>
      <c r="P173">
        <v>49679.999999999993</v>
      </c>
      <c r="Q173">
        <v>59040</v>
      </c>
      <c r="AB173">
        <v>560160</v>
      </c>
      <c r="AC173">
        <v>3921120</v>
      </c>
    </row>
    <row r="174" spans="1:29" x14ac:dyDescent="0.3">
      <c r="A174" t="s">
        <v>151</v>
      </c>
      <c r="B174">
        <v>0</v>
      </c>
      <c r="C174">
        <v>4320</v>
      </c>
      <c r="D174">
        <v>13919.999999999998</v>
      </c>
      <c r="E174">
        <v>24960</v>
      </c>
      <c r="F174">
        <v>38880</v>
      </c>
      <c r="G174">
        <v>54480</v>
      </c>
      <c r="H174">
        <v>54480</v>
      </c>
      <c r="I174">
        <v>54480</v>
      </c>
      <c r="J174">
        <v>16800</v>
      </c>
      <c r="K174">
        <v>36240</v>
      </c>
      <c r="L174">
        <v>36240</v>
      </c>
      <c r="M174">
        <v>36240</v>
      </c>
      <c r="N174">
        <v>49679.999999999993</v>
      </c>
      <c r="O174">
        <v>30720</v>
      </c>
      <c r="P174">
        <v>49679.999999999993</v>
      </c>
      <c r="Q174">
        <v>59040</v>
      </c>
      <c r="R174">
        <v>49679.999999999993</v>
      </c>
      <c r="AB174">
        <v>609840</v>
      </c>
      <c r="AC174">
        <v>4530960</v>
      </c>
    </row>
    <row r="175" spans="1:29" x14ac:dyDescent="0.3">
      <c r="A175" t="s">
        <v>152</v>
      </c>
      <c r="B175">
        <v>0</v>
      </c>
      <c r="C175">
        <v>4320</v>
      </c>
      <c r="D175">
        <v>13919.999999999998</v>
      </c>
      <c r="E175">
        <v>24960</v>
      </c>
      <c r="F175">
        <v>38880</v>
      </c>
      <c r="G175">
        <v>54480</v>
      </c>
      <c r="H175">
        <v>54480</v>
      </c>
      <c r="I175">
        <v>54480</v>
      </c>
      <c r="J175">
        <v>16800</v>
      </c>
      <c r="K175">
        <v>36240</v>
      </c>
      <c r="L175">
        <v>36240</v>
      </c>
      <c r="M175">
        <v>36240</v>
      </c>
      <c r="N175">
        <v>49679.999999999993</v>
      </c>
      <c r="O175">
        <v>30720</v>
      </c>
      <c r="P175">
        <v>49679.999999999993</v>
      </c>
      <c r="Q175">
        <v>59040</v>
      </c>
      <c r="R175">
        <v>49679.999999999993</v>
      </c>
      <c r="S175">
        <v>34560</v>
      </c>
      <c r="AB175">
        <v>644400</v>
      </c>
      <c r="AC175">
        <v>5175360</v>
      </c>
    </row>
    <row r="176" spans="1:29" x14ac:dyDescent="0.3">
      <c r="A176" t="s">
        <v>153</v>
      </c>
      <c r="B176">
        <v>0</v>
      </c>
      <c r="C176">
        <v>4320</v>
      </c>
      <c r="D176">
        <v>13919.999999999998</v>
      </c>
      <c r="E176">
        <v>24960</v>
      </c>
      <c r="F176">
        <v>38880</v>
      </c>
      <c r="G176">
        <v>54480</v>
      </c>
      <c r="H176">
        <v>54480</v>
      </c>
      <c r="I176">
        <v>54480</v>
      </c>
      <c r="J176">
        <v>16800</v>
      </c>
      <c r="K176">
        <v>36240</v>
      </c>
      <c r="L176">
        <v>36240</v>
      </c>
      <c r="M176">
        <v>36240</v>
      </c>
      <c r="N176">
        <v>49679.999999999993</v>
      </c>
      <c r="O176">
        <v>30720</v>
      </c>
      <c r="P176">
        <v>49679.999999999993</v>
      </c>
      <c r="Q176">
        <v>59040</v>
      </c>
      <c r="R176">
        <v>49679.999999999993</v>
      </c>
      <c r="S176">
        <v>34560</v>
      </c>
      <c r="T176">
        <v>33120</v>
      </c>
      <c r="AB176">
        <v>677520</v>
      </c>
      <c r="AC176">
        <v>5852880</v>
      </c>
    </row>
    <row r="177" spans="1:29" x14ac:dyDescent="0.3">
      <c r="A177" t="s">
        <v>154</v>
      </c>
      <c r="B177">
        <v>0</v>
      </c>
      <c r="C177">
        <v>4320</v>
      </c>
      <c r="D177">
        <v>13919.999999999998</v>
      </c>
      <c r="E177">
        <v>24960</v>
      </c>
      <c r="F177">
        <v>38880</v>
      </c>
      <c r="G177">
        <v>54480</v>
      </c>
      <c r="H177">
        <v>54480</v>
      </c>
      <c r="I177">
        <v>54480</v>
      </c>
      <c r="J177">
        <v>16800</v>
      </c>
      <c r="K177">
        <v>36240</v>
      </c>
      <c r="L177">
        <v>36240</v>
      </c>
      <c r="M177">
        <v>36240</v>
      </c>
      <c r="N177">
        <v>49679.999999999993</v>
      </c>
      <c r="O177">
        <v>30720</v>
      </c>
      <c r="P177">
        <v>49679.999999999993</v>
      </c>
      <c r="Q177">
        <v>59040</v>
      </c>
      <c r="R177">
        <v>49679.999999999993</v>
      </c>
      <c r="S177">
        <v>34560</v>
      </c>
      <c r="T177">
        <v>33120</v>
      </c>
      <c r="U177">
        <v>21840</v>
      </c>
      <c r="AB177">
        <v>699360</v>
      </c>
      <c r="AC177">
        <v>6552240</v>
      </c>
    </row>
    <row r="178" spans="1:29" x14ac:dyDescent="0.3">
      <c r="A178" t="s">
        <v>155</v>
      </c>
      <c r="B178">
        <v>0</v>
      </c>
      <c r="C178">
        <v>4320</v>
      </c>
      <c r="D178">
        <v>13919.999999999998</v>
      </c>
      <c r="E178">
        <v>24960</v>
      </c>
      <c r="F178">
        <v>38880</v>
      </c>
      <c r="G178">
        <v>54480</v>
      </c>
      <c r="H178">
        <v>54480</v>
      </c>
      <c r="I178">
        <v>54480</v>
      </c>
      <c r="J178">
        <v>16800</v>
      </c>
      <c r="K178">
        <v>36240</v>
      </c>
      <c r="L178">
        <v>36240</v>
      </c>
      <c r="M178">
        <v>36240</v>
      </c>
      <c r="N178">
        <v>49679.999999999993</v>
      </c>
      <c r="O178">
        <v>30720</v>
      </c>
      <c r="P178">
        <v>49679.999999999993</v>
      </c>
      <c r="Q178">
        <v>59040</v>
      </c>
      <c r="R178">
        <v>49679.999999999993</v>
      </c>
      <c r="S178">
        <v>34560</v>
      </c>
      <c r="T178">
        <v>33120</v>
      </c>
      <c r="U178">
        <v>21840</v>
      </c>
      <c r="V178">
        <v>30240</v>
      </c>
      <c r="AB178">
        <v>729600</v>
      </c>
      <c r="AC178">
        <v>7281840</v>
      </c>
    </row>
    <row r="179" spans="1:29" x14ac:dyDescent="0.3">
      <c r="A179" t="s">
        <v>156</v>
      </c>
      <c r="B179">
        <v>0</v>
      </c>
      <c r="C179">
        <v>4320</v>
      </c>
      <c r="D179">
        <v>13919.999999999998</v>
      </c>
      <c r="E179">
        <v>24960</v>
      </c>
      <c r="F179">
        <v>38880</v>
      </c>
      <c r="G179">
        <v>54480</v>
      </c>
      <c r="H179">
        <v>54480</v>
      </c>
      <c r="I179">
        <v>54480</v>
      </c>
      <c r="J179">
        <v>16800</v>
      </c>
      <c r="K179">
        <v>36240</v>
      </c>
      <c r="L179">
        <v>36240</v>
      </c>
      <c r="M179">
        <v>36240</v>
      </c>
      <c r="N179">
        <v>49679.999999999993</v>
      </c>
      <c r="O179">
        <v>30720</v>
      </c>
      <c r="P179">
        <v>49679.999999999993</v>
      </c>
      <c r="Q179">
        <v>59040</v>
      </c>
      <c r="R179">
        <v>49679.999999999993</v>
      </c>
      <c r="S179">
        <v>34560</v>
      </c>
      <c r="T179">
        <v>33120</v>
      </c>
      <c r="U179">
        <v>21840</v>
      </c>
      <c r="V179">
        <v>30240</v>
      </c>
      <c r="W179">
        <v>28560</v>
      </c>
      <c r="AB179">
        <v>758160</v>
      </c>
      <c r="AC179">
        <v>8040000</v>
      </c>
    </row>
    <row r="180" spans="1:29" x14ac:dyDescent="0.3">
      <c r="A180" t="s">
        <v>157</v>
      </c>
      <c r="B180">
        <v>0</v>
      </c>
      <c r="C180">
        <v>4320</v>
      </c>
      <c r="D180">
        <v>13919.999999999998</v>
      </c>
      <c r="E180">
        <v>24960</v>
      </c>
      <c r="F180">
        <v>38880</v>
      </c>
      <c r="G180">
        <v>54480</v>
      </c>
      <c r="H180">
        <v>54480</v>
      </c>
      <c r="I180">
        <v>54480</v>
      </c>
      <c r="J180">
        <v>16800</v>
      </c>
      <c r="K180">
        <v>36240</v>
      </c>
      <c r="L180">
        <v>36240</v>
      </c>
      <c r="M180">
        <v>36240</v>
      </c>
      <c r="N180">
        <v>49679.999999999993</v>
      </c>
      <c r="O180">
        <v>30720</v>
      </c>
      <c r="P180">
        <v>49679.999999999993</v>
      </c>
      <c r="Q180">
        <v>59040</v>
      </c>
      <c r="R180">
        <v>49679.999999999993</v>
      </c>
      <c r="S180">
        <v>34560</v>
      </c>
      <c r="T180">
        <v>33120</v>
      </c>
      <c r="U180">
        <v>21840</v>
      </c>
      <c r="V180">
        <v>30240</v>
      </c>
      <c r="W180">
        <v>28560</v>
      </c>
      <c r="X180">
        <v>9120</v>
      </c>
      <c r="AB180">
        <v>767280</v>
      </c>
      <c r="AC180">
        <v>8807280</v>
      </c>
    </row>
    <row r="181" spans="1:29" x14ac:dyDescent="0.3">
      <c r="A181" t="s">
        <v>158</v>
      </c>
      <c r="B181">
        <v>0</v>
      </c>
      <c r="C181">
        <v>4320</v>
      </c>
      <c r="D181">
        <v>13919.999999999998</v>
      </c>
      <c r="E181">
        <v>24960</v>
      </c>
      <c r="F181">
        <v>38880</v>
      </c>
      <c r="G181">
        <v>54480</v>
      </c>
      <c r="H181">
        <v>54480</v>
      </c>
      <c r="I181">
        <v>54480</v>
      </c>
      <c r="J181">
        <v>16800</v>
      </c>
      <c r="K181">
        <v>36240</v>
      </c>
      <c r="L181">
        <v>36240</v>
      </c>
      <c r="M181">
        <v>36240</v>
      </c>
      <c r="N181">
        <v>49679.999999999993</v>
      </c>
      <c r="O181">
        <v>30720</v>
      </c>
      <c r="P181">
        <v>49679.999999999993</v>
      </c>
      <c r="Q181">
        <v>59040</v>
      </c>
      <c r="R181">
        <v>49679.999999999993</v>
      </c>
      <c r="S181">
        <v>34560</v>
      </c>
      <c r="T181">
        <v>33120</v>
      </c>
      <c r="U181">
        <v>21840</v>
      </c>
      <c r="V181">
        <v>30240</v>
      </c>
      <c r="W181">
        <v>28560</v>
      </c>
      <c r="X181">
        <v>9120</v>
      </c>
      <c r="Y181">
        <v>16080.000000000002</v>
      </c>
      <c r="AB181">
        <v>783360</v>
      </c>
      <c r="AC181">
        <v>9590640</v>
      </c>
    </row>
    <row r="182" spans="1:29" x14ac:dyDescent="0.3">
      <c r="A182" t="s">
        <v>159</v>
      </c>
      <c r="B182">
        <v>0</v>
      </c>
      <c r="C182">
        <v>4320</v>
      </c>
      <c r="D182">
        <v>13919.999999999998</v>
      </c>
      <c r="E182">
        <v>24960</v>
      </c>
      <c r="F182">
        <v>38880</v>
      </c>
      <c r="G182">
        <v>54480</v>
      </c>
      <c r="H182">
        <v>54480</v>
      </c>
      <c r="I182">
        <v>54480</v>
      </c>
      <c r="J182">
        <v>16800</v>
      </c>
      <c r="K182">
        <v>36240</v>
      </c>
      <c r="L182">
        <v>36240</v>
      </c>
      <c r="M182">
        <v>36240</v>
      </c>
      <c r="N182">
        <v>49679.999999999993</v>
      </c>
      <c r="O182">
        <v>30720</v>
      </c>
      <c r="P182">
        <v>49679.999999999993</v>
      </c>
      <c r="Q182">
        <v>59040</v>
      </c>
      <c r="R182">
        <v>49679.999999999993</v>
      </c>
      <c r="S182">
        <v>34560</v>
      </c>
      <c r="T182">
        <v>33120</v>
      </c>
      <c r="U182">
        <v>21840</v>
      </c>
      <c r="V182">
        <v>30240</v>
      </c>
      <c r="W182">
        <v>28560</v>
      </c>
      <c r="X182">
        <v>9120</v>
      </c>
      <c r="Y182">
        <v>16080.000000000002</v>
      </c>
      <c r="Z182">
        <v>15360</v>
      </c>
      <c r="AB182">
        <v>798720</v>
      </c>
      <c r="AC182">
        <v>10389360</v>
      </c>
    </row>
    <row r="183" spans="1:29" x14ac:dyDescent="0.3">
      <c r="A183" t="s">
        <v>160</v>
      </c>
      <c r="B183">
        <v>0</v>
      </c>
      <c r="C183">
        <v>4320</v>
      </c>
      <c r="D183">
        <v>13919.999999999998</v>
      </c>
      <c r="E183">
        <v>24960</v>
      </c>
      <c r="F183">
        <v>38880</v>
      </c>
      <c r="G183">
        <v>54480</v>
      </c>
      <c r="H183">
        <v>54480</v>
      </c>
      <c r="I183">
        <v>54480</v>
      </c>
      <c r="J183">
        <v>16800</v>
      </c>
      <c r="K183">
        <v>36240</v>
      </c>
      <c r="L183">
        <v>36240</v>
      </c>
      <c r="M183">
        <v>36240</v>
      </c>
      <c r="N183">
        <v>49679.999999999993</v>
      </c>
      <c r="O183">
        <v>30720</v>
      </c>
      <c r="P183">
        <v>49679.999999999993</v>
      </c>
      <c r="Q183">
        <v>59040</v>
      </c>
      <c r="R183">
        <v>49679.999999999993</v>
      </c>
      <c r="S183">
        <v>34560</v>
      </c>
      <c r="T183">
        <v>33120</v>
      </c>
      <c r="U183">
        <v>21840</v>
      </c>
      <c r="V183">
        <v>30240</v>
      </c>
      <c r="W183">
        <v>28560</v>
      </c>
      <c r="X183">
        <v>9120</v>
      </c>
      <c r="Y183">
        <v>16080.000000000002</v>
      </c>
      <c r="Z183">
        <v>15360</v>
      </c>
      <c r="AA183">
        <v>22560</v>
      </c>
      <c r="AB183">
        <v>821280</v>
      </c>
      <c r="AC183">
        <v>11210640</v>
      </c>
    </row>
    <row r="184" spans="1:29" x14ac:dyDescent="0.3">
      <c r="AB184">
        <v>11210640</v>
      </c>
      <c r="AC184">
        <v>41143048.799999997</v>
      </c>
    </row>
    <row r="185" spans="1:29" x14ac:dyDescent="0.3">
      <c r="AB185">
        <v>11.21064</v>
      </c>
      <c r="AC185">
        <v>41.143048799999995</v>
      </c>
    </row>
    <row r="187" spans="1:29" x14ac:dyDescent="0.3">
      <c r="A187" t="s">
        <v>174</v>
      </c>
      <c r="B187">
        <v>0</v>
      </c>
      <c r="C187">
        <v>1123.2</v>
      </c>
      <c r="AB187">
        <v>1123.2</v>
      </c>
      <c r="AC187">
        <v>1123.2</v>
      </c>
    </row>
    <row r="188" spans="1:29" x14ac:dyDescent="0.3">
      <c r="A188" t="s">
        <v>164</v>
      </c>
      <c r="B188">
        <v>0</v>
      </c>
      <c r="C188">
        <v>1123.2</v>
      </c>
      <c r="D188">
        <v>3619.2</v>
      </c>
      <c r="AB188">
        <v>4742.3999999999996</v>
      </c>
      <c r="AC188">
        <v>5865.5999999999995</v>
      </c>
    </row>
    <row r="189" spans="1:29" x14ac:dyDescent="0.3">
      <c r="A189" t="s">
        <v>138</v>
      </c>
      <c r="B189">
        <v>0</v>
      </c>
      <c r="C189">
        <v>1123.2</v>
      </c>
      <c r="D189">
        <v>3619.2</v>
      </c>
      <c r="E189">
        <v>6489.6</v>
      </c>
      <c r="AB189">
        <v>11232</v>
      </c>
      <c r="AC189">
        <v>17097.599999999999</v>
      </c>
    </row>
    <row r="190" spans="1:29" x14ac:dyDescent="0.3">
      <c r="A190" t="s">
        <v>139</v>
      </c>
      <c r="B190">
        <v>0</v>
      </c>
      <c r="C190">
        <v>1123.2</v>
      </c>
      <c r="D190">
        <v>3619.2</v>
      </c>
      <c r="E190">
        <v>6489.6</v>
      </c>
      <c r="F190">
        <v>10108.800000000001</v>
      </c>
      <c r="AB190">
        <v>21340.800000000003</v>
      </c>
      <c r="AC190">
        <v>38438.400000000001</v>
      </c>
    </row>
    <row r="191" spans="1:29" x14ac:dyDescent="0.3">
      <c r="A191" t="s">
        <v>140</v>
      </c>
      <c r="B191">
        <v>0</v>
      </c>
      <c r="C191">
        <v>1123.2</v>
      </c>
      <c r="D191">
        <v>3619.2</v>
      </c>
      <c r="E191">
        <v>6489.6</v>
      </c>
      <c r="F191">
        <v>10108.800000000001</v>
      </c>
      <c r="G191">
        <v>14164.800000000001</v>
      </c>
      <c r="AB191">
        <v>35505.600000000006</v>
      </c>
      <c r="AC191">
        <v>73944</v>
      </c>
    </row>
    <row r="192" spans="1:29" x14ac:dyDescent="0.3">
      <c r="A192" t="s">
        <v>141</v>
      </c>
      <c r="B192">
        <v>0</v>
      </c>
      <c r="C192">
        <v>1123.2</v>
      </c>
      <c r="D192">
        <v>3619.2</v>
      </c>
      <c r="E192">
        <v>6489.6</v>
      </c>
      <c r="F192">
        <v>10108.800000000001</v>
      </c>
      <c r="G192">
        <v>14164.800000000001</v>
      </c>
      <c r="H192">
        <v>14164.800000000001</v>
      </c>
      <c r="AB192">
        <v>49670.400000000009</v>
      </c>
      <c r="AC192">
        <v>123614.40000000001</v>
      </c>
    </row>
    <row r="193" spans="1:29" x14ac:dyDescent="0.3">
      <c r="A193" t="s">
        <v>142</v>
      </c>
      <c r="B193">
        <v>0</v>
      </c>
      <c r="C193">
        <v>1123.2</v>
      </c>
      <c r="D193">
        <v>3619.2</v>
      </c>
      <c r="E193">
        <v>6489.6</v>
      </c>
      <c r="F193">
        <v>10108.800000000001</v>
      </c>
      <c r="G193">
        <v>14164.800000000001</v>
      </c>
      <c r="H193">
        <v>14164.800000000001</v>
      </c>
      <c r="I193">
        <v>14164.800000000001</v>
      </c>
      <c r="AB193">
        <v>63835.200000000012</v>
      </c>
      <c r="AC193">
        <v>187449.60000000003</v>
      </c>
    </row>
    <row r="194" spans="1:29" x14ac:dyDescent="0.3">
      <c r="A194" t="s">
        <v>143</v>
      </c>
      <c r="B194">
        <v>0</v>
      </c>
      <c r="C194">
        <v>1123.2</v>
      </c>
      <c r="D194">
        <v>3619.2</v>
      </c>
      <c r="E194">
        <v>6489.6</v>
      </c>
      <c r="F194">
        <v>10108.800000000001</v>
      </c>
      <c r="G194">
        <v>14164.800000000001</v>
      </c>
      <c r="H194">
        <v>14164.800000000001</v>
      </c>
      <c r="I194">
        <v>14164.800000000001</v>
      </c>
      <c r="J194">
        <v>4368</v>
      </c>
      <c r="AB194">
        <v>68203.200000000012</v>
      </c>
      <c r="AC194">
        <v>255652.80000000005</v>
      </c>
    </row>
    <row r="195" spans="1:29" x14ac:dyDescent="0.3">
      <c r="A195" t="s">
        <v>144</v>
      </c>
      <c r="B195">
        <v>0</v>
      </c>
      <c r="C195">
        <v>1123.2</v>
      </c>
      <c r="D195">
        <v>3619.2</v>
      </c>
      <c r="E195">
        <v>6489.6</v>
      </c>
      <c r="F195">
        <v>10108.800000000001</v>
      </c>
      <c r="G195">
        <v>14164.800000000001</v>
      </c>
      <c r="H195">
        <v>14164.800000000001</v>
      </c>
      <c r="I195">
        <v>14164.800000000001</v>
      </c>
      <c r="J195">
        <v>4368</v>
      </c>
      <c r="K195">
        <v>9422.4</v>
      </c>
      <c r="AB195">
        <v>77625.600000000006</v>
      </c>
      <c r="AC195">
        <v>333278.40000000002</v>
      </c>
    </row>
    <row r="196" spans="1:29" x14ac:dyDescent="0.3">
      <c r="A196" t="s">
        <v>145</v>
      </c>
      <c r="B196">
        <v>0</v>
      </c>
      <c r="C196">
        <v>1123.2</v>
      </c>
      <c r="D196">
        <v>3619.2</v>
      </c>
      <c r="E196">
        <v>6489.6</v>
      </c>
      <c r="F196">
        <v>10108.800000000001</v>
      </c>
      <c r="G196">
        <v>14164.800000000001</v>
      </c>
      <c r="H196">
        <v>14164.800000000001</v>
      </c>
      <c r="I196">
        <v>14164.800000000001</v>
      </c>
      <c r="J196">
        <v>4368</v>
      </c>
      <c r="K196">
        <v>9422.4</v>
      </c>
      <c r="L196">
        <v>9422.4</v>
      </c>
      <c r="AB196">
        <v>87048</v>
      </c>
      <c r="AC196">
        <v>420326.40000000002</v>
      </c>
    </row>
    <row r="197" spans="1:29" x14ac:dyDescent="0.3">
      <c r="A197" t="s">
        <v>146</v>
      </c>
      <c r="B197">
        <v>0</v>
      </c>
      <c r="C197">
        <v>1123.2</v>
      </c>
      <c r="D197">
        <v>3619.2</v>
      </c>
      <c r="E197">
        <v>6489.6</v>
      </c>
      <c r="F197">
        <v>10108.800000000001</v>
      </c>
      <c r="G197">
        <v>14164.800000000001</v>
      </c>
      <c r="H197">
        <v>14164.800000000001</v>
      </c>
      <c r="I197">
        <v>14164.800000000001</v>
      </c>
      <c r="J197">
        <v>4368</v>
      </c>
      <c r="K197">
        <v>9422.4</v>
      </c>
      <c r="L197">
        <v>9422.4</v>
      </c>
      <c r="M197">
        <v>9422.4</v>
      </c>
      <c r="AB197">
        <v>96470.399999999994</v>
      </c>
      <c r="AC197">
        <v>516796.80000000005</v>
      </c>
    </row>
    <row r="198" spans="1:29" x14ac:dyDescent="0.3">
      <c r="A198" t="s">
        <v>147</v>
      </c>
      <c r="B198">
        <v>0</v>
      </c>
      <c r="C198">
        <v>1123.2</v>
      </c>
      <c r="D198">
        <v>3619.2</v>
      </c>
      <c r="E198">
        <v>6489.6</v>
      </c>
      <c r="F198">
        <v>10108.800000000001</v>
      </c>
      <c r="G198">
        <v>14164.800000000001</v>
      </c>
      <c r="H198">
        <v>14164.800000000001</v>
      </c>
      <c r="I198">
        <v>14164.800000000001</v>
      </c>
      <c r="J198">
        <v>4368</v>
      </c>
      <c r="K198">
        <v>9422.4</v>
      </c>
      <c r="L198">
        <v>9422.4</v>
      </c>
      <c r="M198">
        <v>9422.4</v>
      </c>
      <c r="N198">
        <v>12916.800000000001</v>
      </c>
      <c r="AB198">
        <v>109387.2</v>
      </c>
      <c r="AC198">
        <v>626184</v>
      </c>
    </row>
    <row r="199" spans="1:29" x14ac:dyDescent="0.3">
      <c r="A199" t="s">
        <v>148</v>
      </c>
      <c r="B199">
        <v>0</v>
      </c>
      <c r="C199">
        <v>1123.2</v>
      </c>
      <c r="D199">
        <v>3619.2</v>
      </c>
      <c r="E199">
        <v>6489.6</v>
      </c>
      <c r="F199">
        <v>10108.800000000001</v>
      </c>
      <c r="G199">
        <v>14164.800000000001</v>
      </c>
      <c r="H199">
        <v>14164.800000000001</v>
      </c>
      <c r="I199">
        <v>14164.800000000001</v>
      </c>
      <c r="J199">
        <v>4368</v>
      </c>
      <c r="K199">
        <v>9422.4</v>
      </c>
      <c r="L199">
        <v>9422.4</v>
      </c>
      <c r="M199">
        <v>9422.4</v>
      </c>
      <c r="N199">
        <v>12916.800000000001</v>
      </c>
      <c r="O199">
        <v>7987.2000000000007</v>
      </c>
      <c r="AB199">
        <v>117374.39999999999</v>
      </c>
      <c r="AC199">
        <v>743558.4</v>
      </c>
    </row>
    <row r="200" spans="1:29" x14ac:dyDescent="0.3">
      <c r="A200" t="s">
        <v>149</v>
      </c>
      <c r="B200">
        <v>0</v>
      </c>
      <c r="C200">
        <v>1123.2</v>
      </c>
      <c r="D200">
        <v>3619.2</v>
      </c>
      <c r="E200">
        <v>6489.6</v>
      </c>
      <c r="F200">
        <v>10108.800000000001</v>
      </c>
      <c r="G200">
        <v>14164.800000000001</v>
      </c>
      <c r="H200">
        <v>14164.800000000001</v>
      </c>
      <c r="I200">
        <v>14164.800000000001</v>
      </c>
      <c r="J200">
        <v>4368</v>
      </c>
      <c r="K200">
        <v>9422.4</v>
      </c>
      <c r="L200">
        <v>9422.4</v>
      </c>
      <c r="M200">
        <v>9422.4</v>
      </c>
      <c r="N200">
        <v>12916.800000000001</v>
      </c>
      <c r="O200">
        <v>7987.2000000000007</v>
      </c>
      <c r="P200">
        <v>12916.800000000001</v>
      </c>
      <c r="AB200">
        <v>130291.2</v>
      </c>
      <c r="AC200">
        <v>873849.6</v>
      </c>
    </row>
    <row r="201" spans="1:29" x14ac:dyDescent="0.3">
      <c r="A201" t="s">
        <v>150</v>
      </c>
      <c r="B201">
        <v>0</v>
      </c>
      <c r="C201">
        <v>1123.2</v>
      </c>
      <c r="D201">
        <v>3619.2</v>
      </c>
      <c r="E201">
        <v>6489.6</v>
      </c>
      <c r="F201">
        <v>10108.800000000001</v>
      </c>
      <c r="G201">
        <v>14164.800000000001</v>
      </c>
      <c r="H201">
        <v>14164.800000000001</v>
      </c>
      <c r="I201">
        <v>14164.800000000001</v>
      </c>
      <c r="J201">
        <v>4368</v>
      </c>
      <c r="K201">
        <v>9422.4</v>
      </c>
      <c r="L201">
        <v>9422.4</v>
      </c>
      <c r="M201">
        <v>9422.4</v>
      </c>
      <c r="N201">
        <v>12916.800000000001</v>
      </c>
      <c r="O201">
        <v>7987.2000000000007</v>
      </c>
      <c r="P201">
        <v>12916.800000000001</v>
      </c>
      <c r="Q201">
        <v>15350.400000000001</v>
      </c>
      <c r="AB201">
        <v>145641.60000000001</v>
      </c>
      <c r="AC201">
        <v>1019491.2</v>
      </c>
    </row>
    <row r="202" spans="1:29" x14ac:dyDescent="0.3">
      <c r="A202" t="s">
        <v>151</v>
      </c>
      <c r="B202">
        <v>0</v>
      </c>
      <c r="C202">
        <v>1123.2</v>
      </c>
      <c r="D202">
        <v>3619.2</v>
      </c>
      <c r="E202">
        <v>6489.6</v>
      </c>
      <c r="F202">
        <v>10108.800000000001</v>
      </c>
      <c r="G202">
        <v>14164.800000000001</v>
      </c>
      <c r="H202">
        <v>14164.800000000001</v>
      </c>
      <c r="I202">
        <v>14164.800000000001</v>
      </c>
      <c r="J202">
        <v>4368</v>
      </c>
      <c r="K202">
        <v>9422.4</v>
      </c>
      <c r="L202">
        <v>9422.4</v>
      </c>
      <c r="M202">
        <v>9422.4</v>
      </c>
      <c r="N202">
        <v>12916.800000000001</v>
      </c>
      <c r="O202">
        <v>7987.2000000000007</v>
      </c>
      <c r="P202">
        <v>12916.800000000001</v>
      </c>
      <c r="Q202">
        <v>15350.400000000001</v>
      </c>
      <c r="R202">
        <v>12916.800000000001</v>
      </c>
      <c r="AB202">
        <v>158558.39999999999</v>
      </c>
      <c r="AC202">
        <v>1178049.5999999999</v>
      </c>
    </row>
    <row r="203" spans="1:29" x14ac:dyDescent="0.3">
      <c r="A203" t="s">
        <v>152</v>
      </c>
      <c r="B203">
        <v>0</v>
      </c>
      <c r="C203">
        <v>1123.2</v>
      </c>
      <c r="D203">
        <v>3619.2</v>
      </c>
      <c r="E203">
        <v>6489.6</v>
      </c>
      <c r="F203">
        <v>10108.800000000001</v>
      </c>
      <c r="G203">
        <v>14164.800000000001</v>
      </c>
      <c r="H203">
        <v>14164.800000000001</v>
      </c>
      <c r="I203">
        <v>14164.800000000001</v>
      </c>
      <c r="J203">
        <v>4368</v>
      </c>
      <c r="K203">
        <v>9422.4</v>
      </c>
      <c r="L203">
        <v>9422.4</v>
      </c>
      <c r="M203">
        <v>9422.4</v>
      </c>
      <c r="N203">
        <v>12916.800000000001</v>
      </c>
      <c r="O203">
        <v>7987.2000000000007</v>
      </c>
      <c r="P203">
        <v>12916.800000000001</v>
      </c>
      <c r="Q203">
        <v>15350.400000000001</v>
      </c>
      <c r="R203">
        <v>12916.800000000001</v>
      </c>
      <c r="S203">
        <v>8985.6</v>
      </c>
      <c r="AB203">
        <v>167544</v>
      </c>
      <c r="AC203">
        <v>1345593.5999999999</v>
      </c>
    </row>
    <row r="204" spans="1:29" x14ac:dyDescent="0.3">
      <c r="A204" t="s">
        <v>153</v>
      </c>
      <c r="B204">
        <v>0</v>
      </c>
      <c r="C204">
        <v>1123.2</v>
      </c>
      <c r="D204">
        <v>3619.2</v>
      </c>
      <c r="E204">
        <v>6489.6</v>
      </c>
      <c r="F204">
        <v>10108.800000000001</v>
      </c>
      <c r="G204">
        <v>14164.800000000001</v>
      </c>
      <c r="H204">
        <v>14164.800000000001</v>
      </c>
      <c r="I204">
        <v>14164.800000000001</v>
      </c>
      <c r="J204">
        <v>4368</v>
      </c>
      <c r="K204">
        <v>9422.4</v>
      </c>
      <c r="L204">
        <v>9422.4</v>
      </c>
      <c r="M204">
        <v>9422.4</v>
      </c>
      <c r="N204">
        <v>12916.800000000001</v>
      </c>
      <c r="O204">
        <v>7987.2000000000007</v>
      </c>
      <c r="P204">
        <v>12916.800000000001</v>
      </c>
      <c r="Q204">
        <v>15350.400000000001</v>
      </c>
      <c r="R204">
        <v>12916.800000000001</v>
      </c>
      <c r="S204">
        <v>8985.6</v>
      </c>
      <c r="T204">
        <v>8611.2000000000007</v>
      </c>
      <c r="AB204">
        <v>176155.2</v>
      </c>
      <c r="AC204">
        <v>1521748.7999999998</v>
      </c>
    </row>
    <row r="205" spans="1:29" x14ac:dyDescent="0.3">
      <c r="A205" t="s">
        <v>154</v>
      </c>
      <c r="B205">
        <v>0</v>
      </c>
      <c r="C205">
        <v>1123.2</v>
      </c>
      <c r="D205">
        <v>3619.2</v>
      </c>
      <c r="E205">
        <v>6489.6</v>
      </c>
      <c r="F205">
        <v>10108.800000000001</v>
      </c>
      <c r="G205">
        <v>14164.800000000001</v>
      </c>
      <c r="H205">
        <v>14164.800000000001</v>
      </c>
      <c r="I205">
        <v>14164.800000000001</v>
      </c>
      <c r="J205">
        <v>4368</v>
      </c>
      <c r="K205">
        <v>9422.4</v>
      </c>
      <c r="L205">
        <v>9422.4</v>
      </c>
      <c r="M205">
        <v>9422.4</v>
      </c>
      <c r="N205">
        <v>12916.800000000001</v>
      </c>
      <c r="O205">
        <v>7987.2000000000007</v>
      </c>
      <c r="P205">
        <v>12916.800000000001</v>
      </c>
      <c r="Q205">
        <v>15350.400000000001</v>
      </c>
      <c r="R205">
        <v>12916.800000000001</v>
      </c>
      <c r="S205">
        <v>8985.6</v>
      </c>
      <c r="T205">
        <v>8611.2000000000007</v>
      </c>
      <c r="U205">
        <v>5678.4000000000005</v>
      </c>
      <c r="AB205">
        <v>181833.60000000001</v>
      </c>
      <c r="AC205">
        <v>1703582.4</v>
      </c>
    </row>
    <row r="206" spans="1:29" x14ac:dyDescent="0.3">
      <c r="A206" t="s">
        <v>155</v>
      </c>
      <c r="B206">
        <v>0</v>
      </c>
      <c r="C206">
        <v>1123.2</v>
      </c>
      <c r="D206">
        <v>3619.2</v>
      </c>
      <c r="E206">
        <v>6489.6</v>
      </c>
      <c r="F206">
        <v>10108.800000000001</v>
      </c>
      <c r="G206">
        <v>14164.800000000001</v>
      </c>
      <c r="H206">
        <v>14164.800000000001</v>
      </c>
      <c r="I206">
        <v>14164.800000000001</v>
      </c>
      <c r="J206">
        <v>4368</v>
      </c>
      <c r="K206">
        <v>9422.4</v>
      </c>
      <c r="L206">
        <v>9422.4</v>
      </c>
      <c r="M206">
        <v>9422.4</v>
      </c>
      <c r="N206">
        <v>12916.800000000001</v>
      </c>
      <c r="O206">
        <v>7987.2000000000007</v>
      </c>
      <c r="P206">
        <v>12916.800000000001</v>
      </c>
      <c r="Q206">
        <v>15350.400000000001</v>
      </c>
      <c r="R206">
        <v>12916.800000000001</v>
      </c>
      <c r="S206">
        <v>8985.6</v>
      </c>
      <c r="T206">
        <v>8611.2000000000007</v>
      </c>
      <c r="U206">
        <v>5678.4000000000005</v>
      </c>
      <c r="V206">
        <v>7862.4</v>
      </c>
      <c r="AB206">
        <v>189696</v>
      </c>
      <c r="AC206">
        <v>1893278.4</v>
      </c>
    </row>
    <row r="207" spans="1:29" x14ac:dyDescent="0.3">
      <c r="A207" t="s">
        <v>156</v>
      </c>
      <c r="B207">
        <v>0</v>
      </c>
      <c r="C207">
        <v>1123.2</v>
      </c>
      <c r="D207">
        <v>3619.2</v>
      </c>
      <c r="E207">
        <v>6489.6</v>
      </c>
      <c r="F207">
        <v>10108.800000000001</v>
      </c>
      <c r="G207">
        <v>14164.800000000001</v>
      </c>
      <c r="H207">
        <v>14164.800000000001</v>
      </c>
      <c r="I207">
        <v>14164.800000000001</v>
      </c>
      <c r="J207">
        <v>4368</v>
      </c>
      <c r="K207">
        <v>9422.4</v>
      </c>
      <c r="L207">
        <v>9422.4</v>
      </c>
      <c r="M207">
        <v>9422.4</v>
      </c>
      <c r="N207">
        <v>12916.800000000001</v>
      </c>
      <c r="O207">
        <v>7987.2000000000007</v>
      </c>
      <c r="P207">
        <v>12916.800000000001</v>
      </c>
      <c r="Q207">
        <v>15350.400000000001</v>
      </c>
      <c r="R207">
        <v>12916.800000000001</v>
      </c>
      <c r="S207">
        <v>8985.6</v>
      </c>
      <c r="T207">
        <v>8611.2000000000007</v>
      </c>
      <c r="U207">
        <v>5678.4000000000005</v>
      </c>
      <c r="V207">
        <v>7862.4</v>
      </c>
      <c r="W207">
        <v>7425.6</v>
      </c>
      <c r="AB207">
        <v>197121.6</v>
      </c>
      <c r="AC207">
        <v>2090400</v>
      </c>
    </row>
    <row r="208" spans="1:29" x14ac:dyDescent="0.3">
      <c r="A208" t="s">
        <v>157</v>
      </c>
      <c r="B208">
        <v>0</v>
      </c>
      <c r="C208">
        <v>1123.2</v>
      </c>
      <c r="D208">
        <v>3619.2</v>
      </c>
      <c r="E208">
        <v>6489.6</v>
      </c>
      <c r="F208">
        <v>10108.800000000001</v>
      </c>
      <c r="G208">
        <v>14164.800000000001</v>
      </c>
      <c r="H208">
        <v>14164.800000000001</v>
      </c>
      <c r="I208">
        <v>14164.800000000001</v>
      </c>
      <c r="J208">
        <v>4368</v>
      </c>
      <c r="K208">
        <v>9422.4</v>
      </c>
      <c r="L208">
        <v>9422.4</v>
      </c>
      <c r="M208">
        <v>9422.4</v>
      </c>
      <c r="N208">
        <v>12916.800000000001</v>
      </c>
      <c r="O208">
        <v>7987.2000000000007</v>
      </c>
      <c r="P208">
        <v>12916.800000000001</v>
      </c>
      <c r="Q208">
        <v>15350.400000000001</v>
      </c>
      <c r="R208">
        <v>12916.800000000001</v>
      </c>
      <c r="S208">
        <v>8985.6</v>
      </c>
      <c r="T208">
        <v>8611.2000000000007</v>
      </c>
      <c r="U208">
        <v>5678.4000000000005</v>
      </c>
      <c r="V208">
        <v>7862.4</v>
      </c>
      <c r="W208">
        <v>7425.6</v>
      </c>
      <c r="X208">
        <v>2371.1999999999998</v>
      </c>
      <c r="AB208">
        <v>199492.80000000002</v>
      </c>
      <c r="AC208">
        <v>2289892.7999999998</v>
      </c>
    </row>
    <row r="209" spans="1:29" x14ac:dyDescent="0.3">
      <c r="A209" t="s">
        <v>158</v>
      </c>
      <c r="B209">
        <v>0</v>
      </c>
      <c r="C209">
        <v>1123.2</v>
      </c>
      <c r="D209">
        <v>3619.2</v>
      </c>
      <c r="E209">
        <v>6489.6</v>
      </c>
      <c r="F209">
        <v>10108.800000000001</v>
      </c>
      <c r="G209">
        <v>14164.800000000001</v>
      </c>
      <c r="H209">
        <v>14164.800000000001</v>
      </c>
      <c r="I209">
        <v>14164.800000000001</v>
      </c>
      <c r="J209">
        <v>4368</v>
      </c>
      <c r="K209">
        <v>9422.4</v>
      </c>
      <c r="L209">
        <v>9422.4</v>
      </c>
      <c r="M209">
        <v>9422.4</v>
      </c>
      <c r="N209">
        <v>12916.800000000001</v>
      </c>
      <c r="O209">
        <v>7987.2000000000007</v>
      </c>
      <c r="P209">
        <v>12916.800000000001</v>
      </c>
      <c r="Q209">
        <v>15350.400000000001</v>
      </c>
      <c r="R209">
        <v>12916.800000000001</v>
      </c>
      <c r="S209">
        <v>8985.6</v>
      </c>
      <c r="T209">
        <v>8611.2000000000007</v>
      </c>
      <c r="U209">
        <v>5678.4000000000005</v>
      </c>
      <c r="V209">
        <v>7862.4</v>
      </c>
      <c r="W209">
        <v>7425.6</v>
      </c>
      <c r="X209">
        <v>2371.1999999999998</v>
      </c>
      <c r="Y209">
        <v>4180.8</v>
      </c>
      <c r="AB209">
        <v>203673.60000000001</v>
      </c>
      <c r="AC209">
        <v>2493566.4</v>
      </c>
    </row>
    <row r="210" spans="1:29" x14ac:dyDescent="0.3">
      <c r="A210" t="s">
        <v>159</v>
      </c>
      <c r="B210">
        <v>0</v>
      </c>
      <c r="C210">
        <v>1123.2</v>
      </c>
      <c r="D210">
        <v>3619.2</v>
      </c>
      <c r="E210">
        <v>6489.6</v>
      </c>
      <c r="F210">
        <v>10108.800000000001</v>
      </c>
      <c r="G210">
        <v>14164.800000000001</v>
      </c>
      <c r="H210">
        <v>14164.800000000001</v>
      </c>
      <c r="I210">
        <v>14164.800000000001</v>
      </c>
      <c r="J210">
        <v>4368</v>
      </c>
      <c r="K210">
        <v>9422.4</v>
      </c>
      <c r="L210">
        <v>9422.4</v>
      </c>
      <c r="M210">
        <v>9422.4</v>
      </c>
      <c r="N210">
        <v>12916.800000000001</v>
      </c>
      <c r="O210">
        <v>7987.2000000000007</v>
      </c>
      <c r="P210">
        <v>12916.800000000001</v>
      </c>
      <c r="Q210">
        <v>15350.400000000001</v>
      </c>
      <c r="R210">
        <v>12916.800000000001</v>
      </c>
      <c r="S210">
        <v>8985.6</v>
      </c>
      <c r="T210">
        <v>8611.2000000000007</v>
      </c>
      <c r="U210">
        <v>5678.4000000000005</v>
      </c>
      <c r="V210">
        <v>7862.4</v>
      </c>
      <c r="W210">
        <v>7425.6</v>
      </c>
      <c r="X210">
        <v>2371.1999999999998</v>
      </c>
      <c r="Y210">
        <v>4180.8</v>
      </c>
      <c r="Z210">
        <v>3993.6000000000004</v>
      </c>
      <c r="AB210">
        <v>207667.20000000001</v>
      </c>
      <c r="AC210">
        <v>2701233.6</v>
      </c>
    </row>
    <row r="211" spans="1:29" x14ac:dyDescent="0.3">
      <c r="A211" t="s">
        <v>160</v>
      </c>
      <c r="B211">
        <v>0</v>
      </c>
      <c r="C211">
        <v>1123.2</v>
      </c>
      <c r="D211">
        <v>3619.2</v>
      </c>
      <c r="E211">
        <v>6489.6</v>
      </c>
      <c r="F211">
        <v>10108.800000000001</v>
      </c>
      <c r="G211">
        <v>14164.800000000001</v>
      </c>
      <c r="H211">
        <v>14164.800000000001</v>
      </c>
      <c r="I211">
        <v>14164.800000000001</v>
      </c>
      <c r="J211">
        <v>4368</v>
      </c>
      <c r="K211">
        <v>9422.4</v>
      </c>
      <c r="L211">
        <v>9422.4</v>
      </c>
      <c r="M211">
        <v>9422.4</v>
      </c>
      <c r="N211">
        <v>12916.800000000001</v>
      </c>
      <c r="O211">
        <v>7987.2000000000007</v>
      </c>
      <c r="P211">
        <v>12916.800000000001</v>
      </c>
      <c r="Q211">
        <v>15350.400000000001</v>
      </c>
      <c r="R211">
        <v>12916.800000000001</v>
      </c>
      <c r="S211">
        <v>8985.6</v>
      </c>
      <c r="T211">
        <v>8611.2000000000007</v>
      </c>
      <c r="U211">
        <v>5678.4000000000005</v>
      </c>
      <c r="V211">
        <v>7862.4</v>
      </c>
      <c r="W211">
        <v>7425.6</v>
      </c>
      <c r="X211">
        <v>2371.1999999999998</v>
      </c>
      <c r="Y211">
        <v>4180.8</v>
      </c>
      <c r="Z211">
        <v>3993.6000000000004</v>
      </c>
      <c r="AA211">
        <v>5865.6</v>
      </c>
      <c r="AB211">
        <v>213532.80000000002</v>
      </c>
      <c r="AC211">
        <v>2914766.4</v>
      </c>
    </row>
    <row r="212" spans="1:29" x14ac:dyDescent="0.3">
      <c r="AB212">
        <v>2914766.4</v>
      </c>
      <c r="AC212">
        <v>10697192.687999999</v>
      </c>
    </row>
    <row r="216" spans="1:29" x14ac:dyDescent="0.3">
      <c r="A216" t="s">
        <v>175</v>
      </c>
      <c r="B216">
        <v>1993</v>
      </c>
      <c r="C216">
        <v>1994</v>
      </c>
      <c r="D216">
        <v>1995</v>
      </c>
      <c r="E216">
        <v>1996</v>
      </c>
      <c r="F216">
        <v>1997</v>
      </c>
      <c r="G216">
        <v>1998</v>
      </c>
      <c r="H216">
        <v>1999</v>
      </c>
      <c r="I216">
        <v>2000</v>
      </c>
      <c r="J216">
        <v>2001</v>
      </c>
      <c r="K216">
        <v>2002</v>
      </c>
      <c r="L216">
        <v>2003</v>
      </c>
      <c r="M216">
        <v>2004</v>
      </c>
      <c r="N216">
        <v>2005</v>
      </c>
      <c r="O216">
        <v>2006</v>
      </c>
      <c r="P216">
        <v>2007</v>
      </c>
      <c r="Q216">
        <v>2008</v>
      </c>
      <c r="R216">
        <v>2009</v>
      </c>
      <c r="S216">
        <v>2010</v>
      </c>
      <c r="T216">
        <v>2011</v>
      </c>
      <c r="U216">
        <v>2012</v>
      </c>
      <c r="V216">
        <v>2013</v>
      </c>
      <c r="W216">
        <v>2014</v>
      </c>
      <c r="X216">
        <v>2015</v>
      </c>
      <c r="Y216">
        <v>2016</v>
      </c>
      <c r="Z216">
        <v>2017</v>
      </c>
      <c r="AA216">
        <v>2018</v>
      </c>
    </row>
    <row r="217" spans="1:29" x14ac:dyDescent="0.3">
      <c r="A217" t="s">
        <v>176</v>
      </c>
      <c r="B217">
        <v>0</v>
      </c>
      <c r="C217">
        <v>0.23</v>
      </c>
      <c r="D217">
        <v>0.64</v>
      </c>
      <c r="E217">
        <v>0.93</v>
      </c>
      <c r="F217">
        <v>1.73</v>
      </c>
      <c r="G217">
        <v>2.75</v>
      </c>
      <c r="H217">
        <v>2.75</v>
      </c>
      <c r="I217">
        <v>2.75</v>
      </c>
      <c r="J217">
        <v>1.18</v>
      </c>
      <c r="K217">
        <v>2.0030000000000001</v>
      </c>
      <c r="L217">
        <v>2.0030000000000001</v>
      </c>
      <c r="M217">
        <v>2.0030000000000001</v>
      </c>
      <c r="N217">
        <v>2.94</v>
      </c>
      <c r="O217">
        <v>1.88</v>
      </c>
      <c r="P217">
        <v>3.008</v>
      </c>
      <c r="Q217">
        <v>3.35</v>
      </c>
      <c r="R217">
        <v>3.03</v>
      </c>
      <c r="S217">
        <v>3.33</v>
      </c>
      <c r="T217">
        <v>2.36</v>
      </c>
      <c r="U217">
        <v>1.39</v>
      </c>
      <c r="V217">
        <v>2.2400000000000002</v>
      </c>
      <c r="W217">
        <v>2.52</v>
      </c>
      <c r="X217">
        <v>2.73</v>
      </c>
      <c r="Y217">
        <v>2.2599999999999998</v>
      </c>
      <c r="Z217">
        <v>2.12</v>
      </c>
      <c r="AA217">
        <v>2.74</v>
      </c>
    </row>
    <row r="218" spans="1:29" x14ac:dyDescent="0.3">
      <c r="A218" t="s">
        <v>173</v>
      </c>
      <c r="B218">
        <v>0</v>
      </c>
      <c r="C218">
        <v>5520</v>
      </c>
      <c r="AB218">
        <v>5520</v>
      </c>
      <c r="AC218">
        <v>5520</v>
      </c>
    </row>
    <row r="219" spans="1:29" x14ac:dyDescent="0.3">
      <c r="A219" t="s">
        <v>164</v>
      </c>
      <c r="B219">
        <v>0</v>
      </c>
      <c r="C219">
        <v>5520</v>
      </c>
      <c r="D219">
        <v>15360</v>
      </c>
      <c r="AB219">
        <v>20880</v>
      </c>
      <c r="AC219">
        <v>26400</v>
      </c>
    </row>
    <row r="220" spans="1:29" x14ac:dyDescent="0.3">
      <c r="A220" t="s">
        <v>138</v>
      </c>
      <c r="B220">
        <v>0</v>
      </c>
      <c r="C220">
        <v>5520</v>
      </c>
      <c r="D220">
        <v>15360</v>
      </c>
      <c r="E220">
        <v>22320</v>
      </c>
      <c r="AB220">
        <v>43200</v>
      </c>
      <c r="AC220">
        <v>69600</v>
      </c>
    </row>
    <row r="221" spans="1:29" x14ac:dyDescent="0.3">
      <c r="A221" t="s">
        <v>139</v>
      </c>
      <c r="B221">
        <v>0</v>
      </c>
      <c r="C221">
        <v>5520</v>
      </c>
      <c r="D221">
        <v>15360</v>
      </c>
      <c r="E221">
        <v>22320</v>
      </c>
      <c r="F221">
        <v>41520</v>
      </c>
      <c r="AB221">
        <v>84720</v>
      </c>
      <c r="AC221">
        <v>154320</v>
      </c>
    </row>
    <row r="222" spans="1:29" x14ac:dyDescent="0.3">
      <c r="A222" t="s">
        <v>140</v>
      </c>
      <c r="B222">
        <v>0</v>
      </c>
      <c r="C222">
        <v>5520</v>
      </c>
      <c r="D222">
        <v>15360</v>
      </c>
      <c r="E222">
        <v>22320</v>
      </c>
      <c r="F222">
        <v>41520</v>
      </c>
      <c r="G222">
        <v>66000</v>
      </c>
      <c r="AB222">
        <v>150720</v>
      </c>
      <c r="AC222">
        <v>305040</v>
      </c>
    </row>
    <row r="223" spans="1:29" x14ac:dyDescent="0.3">
      <c r="A223" t="s">
        <v>141</v>
      </c>
      <c r="B223">
        <v>0</v>
      </c>
      <c r="C223">
        <v>5520</v>
      </c>
      <c r="D223">
        <v>15360</v>
      </c>
      <c r="E223">
        <v>22320</v>
      </c>
      <c r="F223">
        <v>41520</v>
      </c>
      <c r="G223">
        <v>66000</v>
      </c>
      <c r="H223">
        <v>66000</v>
      </c>
      <c r="AB223">
        <v>216720</v>
      </c>
      <c r="AC223">
        <v>521760</v>
      </c>
    </row>
    <row r="224" spans="1:29" x14ac:dyDescent="0.3">
      <c r="A224" t="s">
        <v>142</v>
      </c>
      <c r="B224">
        <v>0</v>
      </c>
      <c r="C224">
        <v>5520</v>
      </c>
      <c r="D224">
        <v>15360</v>
      </c>
      <c r="E224">
        <v>22320</v>
      </c>
      <c r="F224">
        <v>41520</v>
      </c>
      <c r="G224">
        <v>66000</v>
      </c>
      <c r="H224">
        <v>66000</v>
      </c>
      <c r="I224">
        <v>66000</v>
      </c>
      <c r="AB224">
        <v>282720</v>
      </c>
      <c r="AC224">
        <v>804480</v>
      </c>
    </row>
    <row r="225" spans="1:29" x14ac:dyDescent="0.3">
      <c r="A225" t="s">
        <v>143</v>
      </c>
      <c r="B225">
        <v>0</v>
      </c>
      <c r="C225">
        <v>5520</v>
      </c>
      <c r="D225">
        <v>15360</v>
      </c>
      <c r="E225">
        <v>22320</v>
      </c>
      <c r="F225">
        <v>41520</v>
      </c>
      <c r="G225">
        <v>66000</v>
      </c>
      <c r="H225">
        <v>66000</v>
      </c>
      <c r="I225">
        <v>66000</v>
      </c>
      <c r="J225">
        <v>28320</v>
      </c>
      <c r="AB225">
        <v>311040</v>
      </c>
      <c r="AC225">
        <v>1115520</v>
      </c>
    </row>
    <row r="226" spans="1:29" x14ac:dyDescent="0.3">
      <c r="A226" t="s">
        <v>144</v>
      </c>
      <c r="B226">
        <v>0</v>
      </c>
      <c r="C226">
        <v>5520</v>
      </c>
      <c r="D226">
        <v>15360</v>
      </c>
      <c r="E226">
        <v>22320</v>
      </c>
      <c r="F226">
        <v>41520</v>
      </c>
      <c r="G226">
        <v>66000</v>
      </c>
      <c r="H226">
        <v>66000</v>
      </c>
      <c r="I226">
        <v>66000</v>
      </c>
      <c r="J226">
        <v>28320</v>
      </c>
      <c r="K226">
        <v>48072</v>
      </c>
      <c r="AB226">
        <v>359112</v>
      </c>
      <c r="AC226">
        <v>1474632</v>
      </c>
    </row>
    <row r="227" spans="1:29" x14ac:dyDescent="0.3">
      <c r="A227" t="s">
        <v>145</v>
      </c>
      <c r="B227">
        <v>0</v>
      </c>
      <c r="C227">
        <v>5520</v>
      </c>
      <c r="D227">
        <v>15360</v>
      </c>
      <c r="E227">
        <v>22320</v>
      </c>
      <c r="F227">
        <v>41520</v>
      </c>
      <c r="G227">
        <v>66000</v>
      </c>
      <c r="H227">
        <v>66000</v>
      </c>
      <c r="I227">
        <v>66000</v>
      </c>
      <c r="J227">
        <v>28320</v>
      </c>
      <c r="K227">
        <v>48072</v>
      </c>
      <c r="L227">
        <v>48072</v>
      </c>
      <c r="AB227">
        <v>407184</v>
      </c>
      <c r="AC227">
        <v>1881816</v>
      </c>
    </row>
    <row r="228" spans="1:29" x14ac:dyDescent="0.3">
      <c r="A228" t="s">
        <v>146</v>
      </c>
      <c r="B228">
        <v>0</v>
      </c>
      <c r="C228">
        <v>5520</v>
      </c>
      <c r="D228">
        <v>15360</v>
      </c>
      <c r="E228">
        <v>22320</v>
      </c>
      <c r="F228">
        <v>41520</v>
      </c>
      <c r="G228">
        <v>66000</v>
      </c>
      <c r="H228">
        <v>66000</v>
      </c>
      <c r="I228">
        <v>66000</v>
      </c>
      <c r="J228">
        <v>28320</v>
      </c>
      <c r="K228">
        <v>48072</v>
      </c>
      <c r="L228">
        <v>48072</v>
      </c>
      <c r="M228">
        <v>48072</v>
      </c>
      <c r="AB228">
        <v>455256</v>
      </c>
      <c r="AC228">
        <v>2337072</v>
      </c>
    </row>
    <row r="229" spans="1:29" x14ac:dyDescent="0.3">
      <c r="A229" t="s">
        <v>147</v>
      </c>
      <c r="B229">
        <v>0</v>
      </c>
      <c r="C229">
        <v>5520</v>
      </c>
      <c r="D229">
        <v>15360</v>
      </c>
      <c r="E229">
        <v>22320</v>
      </c>
      <c r="F229">
        <v>41520</v>
      </c>
      <c r="G229">
        <v>66000</v>
      </c>
      <c r="H229">
        <v>66000</v>
      </c>
      <c r="I229">
        <v>66000</v>
      </c>
      <c r="J229">
        <v>28320</v>
      </c>
      <c r="K229">
        <v>48072</v>
      </c>
      <c r="L229">
        <v>48072</v>
      </c>
      <c r="M229">
        <v>48072</v>
      </c>
      <c r="N229">
        <v>70560</v>
      </c>
      <c r="AB229">
        <v>525816</v>
      </c>
      <c r="AC229">
        <v>2862888</v>
      </c>
    </row>
    <row r="230" spans="1:29" x14ac:dyDescent="0.3">
      <c r="A230" t="s">
        <v>148</v>
      </c>
      <c r="B230">
        <v>0</v>
      </c>
      <c r="C230">
        <v>5520</v>
      </c>
      <c r="D230">
        <v>15360</v>
      </c>
      <c r="E230">
        <v>22320</v>
      </c>
      <c r="F230">
        <v>41520</v>
      </c>
      <c r="G230">
        <v>66000</v>
      </c>
      <c r="H230">
        <v>66000</v>
      </c>
      <c r="I230">
        <v>66000</v>
      </c>
      <c r="J230">
        <v>28320</v>
      </c>
      <c r="K230">
        <v>48072</v>
      </c>
      <c r="L230">
        <v>48072</v>
      </c>
      <c r="M230">
        <v>48072</v>
      </c>
      <c r="N230">
        <v>70560</v>
      </c>
      <c r="O230">
        <v>45120</v>
      </c>
      <c r="AB230">
        <v>570936</v>
      </c>
      <c r="AC230">
        <v>3433824</v>
      </c>
    </row>
    <row r="231" spans="1:29" x14ac:dyDescent="0.3">
      <c r="A231" t="s">
        <v>149</v>
      </c>
      <c r="B231">
        <v>0</v>
      </c>
      <c r="C231">
        <v>5520</v>
      </c>
      <c r="D231">
        <v>15360</v>
      </c>
      <c r="E231">
        <v>22320</v>
      </c>
      <c r="F231">
        <v>41520</v>
      </c>
      <c r="G231">
        <v>66000</v>
      </c>
      <c r="H231">
        <v>66000</v>
      </c>
      <c r="I231">
        <v>66000</v>
      </c>
      <c r="J231">
        <v>28320</v>
      </c>
      <c r="K231">
        <v>48072</v>
      </c>
      <c r="L231">
        <v>48072</v>
      </c>
      <c r="M231">
        <v>48072</v>
      </c>
      <c r="N231">
        <v>70560</v>
      </c>
      <c r="O231">
        <v>45120</v>
      </c>
      <c r="P231">
        <v>72192</v>
      </c>
      <c r="AB231">
        <v>643128</v>
      </c>
      <c r="AC231">
        <v>4076952</v>
      </c>
    </row>
    <row r="232" spans="1:29" x14ac:dyDescent="0.3">
      <c r="A232" t="s">
        <v>150</v>
      </c>
      <c r="B232">
        <v>0</v>
      </c>
      <c r="C232">
        <v>5520</v>
      </c>
      <c r="D232">
        <v>15360</v>
      </c>
      <c r="E232">
        <v>22320</v>
      </c>
      <c r="F232">
        <v>41520</v>
      </c>
      <c r="G232">
        <v>66000</v>
      </c>
      <c r="H232">
        <v>66000</v>
      </c>
      <c r="I232">
        <v>66000</v>
      </c>
      <c r="J232">
        <v>28320</v>
      </c>
      <c r="K232">
        <v>48072</v>
      </c>
      <c r="L232">
        <v>48072</v>
      </c>
      <c r="M232">
        <v>48072</v>
      </c>
      <c r="N232">
        <v>70560</v>
      </c>
      <c r="O232">
        <v>45120</v>
      </c>
      <c r="P232">
        <v>72192</v>
      </c>
      <c r="Q232">
        <v>80400</v>
      </c>
      <c r="AB232">
        <v>723528</v>
      </c>
      <c r="AC232">
        <v>4800480</v>
      </c>
    </row>
    <row r="233" spans="1:29" x14ac:dyDescent="0.3">
      <c r="A233" t="s">
        <v>151</v>
      </c>
      <c r="B233">
        <v>0</v>
      </c>
      <c r="C233">
        <v>5520</v>
      </c>
      <c r="D233">
        <v>15360</v>
      </c>
      <c r="E233">
        <v>22320</v>
      </c>
      <c r="F233">
        <v>41520</v>
      </c>
      <c r="G233">
        <v>66000</v>
      </c>
      <c r="H233">
        <v>66000</v>
      </c>
      <c r="I233">
        <v>66000</v>
      </c>
      <c r="J233">
        <v>28320</v>
      </c>
      <c r="K233">
        <v>48072</v>
      </c>
      <c r="L233">
        <v>48072</v>
      </c>
      <c r="M233">
        <v>48072</v>
      </c>
      <c r="N233">
        <v>70560</v>
      </c>
      <c r="O233">
        <v>45120</v>
      </c>
      <c r="P233">
        <v>72192</v>
      </c>
      <c r="Q233">
        <v>80400</v>
      </c>
      <c r="R233">
        <v>72720</v>
      </c>
      <c r="AB233">
        <v>796248</v>
      </c>
      <c r="AC233">
        <v>5596728</v>
      </c>
    </row>
    <row r="234" spans="1:29" x14ac:dyDescent="0.3">
      <c r="A234" t="s">
        <v>152</v>
      </c>
      <c r="B234">
        <v>0</v>
      </c>
      <c r="C234">
        <v>5520</v>
      </c>
      <c r="D234">
        <v>15360</v>
      </c>
      <c r="E234">
        <v>22320</v>
      </c>
      <c r="F234">
        <v>41520</v>
      </c>
      <c r="G234">
        <v>66000</v>
      </c>
      <c r="H234">
        <v>66000</v>
      </c>
      <c r="I234">
        <v>66000</v>
      </c>
      <c r="J234">
        <v>28320</v>
      </c>
      <c r="K234">
        <v>48072</v>
      </c>
      <c r="L234">
        <v>48072</v>
      </c>
      <c r="M234">
        <v>48072</v>
      </c>
      <c r="N234">
        <v>70560</v>
      </c>
      <c r="O234">
        <v>45120</v>
      </c>
      <c r="P234">
        <v>72192</v>
      </c>
      <c r="Q234">
        <v>80400</v>
      </c>
      <c r="R234">
        <v>72720</v>
      </c>
      <c r="S234">
        <v>79920</v>
      </c>
      <c r="AB234">
        <v>876168</v>
      </c>
      <c r="AC234">
        <v>6472896</v>
      </c>
    </row>
    <row r="235" spans="1:29" x14ac:dyDescent="0.3">
      <c r="A235" t="s">
        <v>153</v>
      </c>
      <c r="B235">
        <v>0</v>
      </c>
      <c r="C235">
        <v>5520</v>
      </c>
      <c r="D235">
        <v>15360</v>
      </c>
      <c r="E235">
        <v>22320</v>
      </c>
      <c r="F235">
        <v>41520</v>
      </c>
      <c r="G235">
        <v>66000</v>
      </c>
      <c r="H235">
        <v>66000</v>
      </c>
      <c r="I235">
        <v>66000</v>
      </c>
      <c r="J235">
        <v>28320</v>
      </c>
      <c r="K235">
        <v>48072</v>
      </c>
      <c r="L235">
        <v>48072</v>
      </c>
      <c r="M235">
        <v>48072</v>
      </c>
      <c r="N235">
        <v>70560</v>
      </c>
      <c r="O235">
        <v>45120</v>
      </c>
      <c r="P235">
        <v>72192</v>
      </c>
      <c r="Q235">
        <v>80400</v>
      </c>
      <c r="R235">
        <v>72720</v>
      </c>
      <c r="S235">
        <v>79920</v>
      </c>
      <c r="T235">
        <v>56640</v>
      </c>
      <c r="AB235">
        <v>932808</v>
      </c>
      <c r="AC235">
        <v>7405704</v>
      </c>
    </row>
    <row r="236" spans="1:29" x14ac:dyDescent="0.3">
      <c r="A236" t="s">
        <v>154</v>
      </c>
      <c r="B236">
        <v>0</v>
      </c>
      <c r="C236">
        <v>5520</v>
      </c>
      <c r="D236">
        <v>15360</v>
      </c>
      <c r="E236">
        <v>22320</v>
      </c>
      <c r="F236">
        <v>41520</v>
      </c>
      <c r="G236">
        <v>66000</v>
      </c>
      <c r="H236">
        <v>66000</v>
      </c>
      <c r="I236">
        <v>66000</v>
      </c>
      <c r="J236">
        <v>28320</v>
      </c>
      <c r="K236">
        <v>48072</v>
      </c>
      <c r="L236">
        <v>48072</v>
      </c>
      <c r="M236">
        <v>48072</v>
      </c>
      <c r="N236">
        <v>70560</v>
      </c>
      <c r="O236">
        <v>45120</v>
      </c>
      <c r="P236">
        <v>72192</v>
      </c>
      <c r="Q236">
        <v>80400</v>
      </c>
      <c r="R236">
        <v>72720</v>
      </c>
      <c r="S236">
        <v>79920</v>
      </c>
      <c r="T236">
        <v>56640</v>
      </c>
      <c r="U236">
        <v>33360</v>
      </c>
      <c r="AB236">
        <v>966168</v>
      </c>
      <c r="AC236">
        <v>8371872</v>
      </c>
    </row>
    <row r="237" spans="1:29" x14ac:dyDescent="0.3">
      <c r="A237" t="s">
        <v>155</v>
      </c>
      <c r="B237">
        <v>0</v>
      </c>
      <c r="C237">
        <v>5520</v>
      </c>
      <c r="D237">
        <v>15360</v>
      </c>
      <c r="E237">
        <v>22320</v>
      </c>
      <c r="F237">
        <v>41520</v>
      </c>
      <c r="G237">
        <v>66000</v>
      </c>
      <c r="H237">
        <v>66000</v>
      </c>
      <c r="I237">
        <v>66000</v>
      </c>
      <c r="J237">
        <v>28320</v>
      </c>
      <c r="K237">
        <v>48072</v>
      </c>
      <c r="L237">
        <v>48072</v>
      </c>
      <c r="M237">
        <v>48072</v>
      </c>
      <c r="N237">
        <v>70560</v>
      </c>
      <c r="O237">
        <v>45120</v>
      </c>
      <c r="P237">
        <v>72192</v>
      </c>
      <c r="Q237">
        <v>80400</v>
      </c>
      <c r="R237">
        <v>72720</v>
      </c>
      <c r="S237">
        <v>79920</v>
      </c>
      <c r="T237">
        <v>56640</v>
      </c>
      <c r="U237">
        <v>33360</v>
      </c>
      <c r="V237">
        <v>53760.000000000007</v>
      </c>
      <c r="AB237">
        <v>1019928</v>
      </c>
      <c r="AC237">
        <v>9391800</v>
      </c>
    </row>
    <row r="238" spans="1:29" x14ac:dyDescent="0.3">
      <c r="A238" t="s">
        <v>156</v>
      </c>
      <c r="B238">
        <v>0</v>
      </c>
      <c r="C238">
        <v>5520</v>
      </c>
      <c r="D238">
        <v>15360</v>
      </c>
      <c r="E238">
        <v>22320</v>
      </c>
      <c r="F238">
        <v>41520</v>
      </c>
      <c r="G238">
        <v>66000</v>
      </c>
      <c r="H238">
        <v>66000</v>
      </c>
      <c r="I238">
        <v>66000</v>
      </c>
      <c r="J238">
        <v>28320</v>
      </c>
      <c r="K238">
        <v>48072</v>
      </c>
      <c r="L238">
        <v>48072</v>
      </c>
      <c r="M238">
        <v>48072</v>
      </c>
      <c r="N238">
        <v>70560</v>
      </c>
      <c r="O238">
        <v>45120</v>
      </c>
      <c r="P238">
        <v>72192</v>
      </c>
      <c r="Q238">
        <v>80400</v>
      </c>
      <c r="R238">
        <v>72720</v>
      </c>
      <c r="S238">
        <v>79920</v>
      </c>
      <c r="T238">
        <v>56640</v>
      </c>
      <c r="U238">
        <v>33360</v>
      </c>
      <c r="V238">
        <v>53760.000000000007</v>
      </c>
      <c r="W238">
        <v>60480</v>
      </c>
      <c r="AB238">
        <v>1080408</v>
      </c>
      <c r="AC238">
        <v>10472208</v>
      </c>
    </row>
    <row r="239" spans="1:29" x14ac:dyDescent="0.3">
      <c r="A239" t="s">
        <v>157</v>
      </c>
      <c r="B239">
        <v>0</v>
      </c>
      <c r="C239">
        <v>5520</v>
      </c>
      <c r="D239">
        <v>15360</v>
      </c>
      <c r="E239">
        <v>22320</v>
      </c>
      <c r="F239">
        <v>41520</v>
      </c>
      <c r="G239">
        <v>66000</v>
      </c>
      <c r="H239">
        <v>66000</v>
      </c>
      <c r="I239">
        <v>66000</v>
      </c>
      <c r="J239">
        <v>28320</v>
      </c>
      <c r="K239">
        <v>48072</v>
      </c>
      <c r="L239">
        <v>48072</v>
      </c>
      <c r="M239">
        <v>48072</v>
      </c>
      <c r="N239">
        <v>70560</v>
      </c>
      <c r="O239">
        <v>45120</v>
      </c>
      <c r="P239">
        <v>72192</v>
      </c>
      <c r="Q239">
        <v>80400</v>
      </c>
      <c r="R239">
        <v>72720</v>
      </c>
      <c r="S239">
        <v>79920</v>
      </c>
      <c r="T239">
        <v>56640</v>
      </c>
      <c r="U239">
        <v>33360</v>
      </c>
      <c r="V239">
        <v>53760.000000000007</v>
      </c>
      <c r="W239">
        <v>60480</v>
      </c>
      <c r="X239">
        <v>65520</v>
      </c>
      <c r="AB239">
        <v>1145928</v>
      </c>
      <c r="AC239">
        <v>11618136</v>
      </c>
    </row>
    <row r="240" spans="1:29" x14ac:dyDescent="0.3">
      <c r="A240" t="s">
        <v>158</v>
      </c>
      <c r="B240">
        <v>0</v>
      </c>
      <c r="C240">
        <v>5520</v>
      </c>
      <c r="D240">
        <v>15360</v>
      </c>
      <c r="E240">
        <v>22320</v>
      </c>
      <c r="F240">
        <v>41520</v>
      </c>
      <c r="G240">
        <v>66000</v>
      </c>
      <c r="H240">
        <v>66000</v>
      </c>
      <c r="I240">
        <v>66000</v>
      </c>
      <c r="J240">
        <v>28320</v>
      </c>
      <c r="K240">
        <v>48072</v>
      </c>
      <c r="L240">
        <v>48072</v>
      </c>
      <c r="M240">
        <v>48072</v>
      </c>
      <c r="N240">
        <v>70560</v>
      </c>
      <c r="O240">
        <v>45120</v>
      </c>
      <c r="P240">
        <v>72192</v>
      </c>
      <c r="Q240">
        <v>80400</v>
      </c>
      <c r="R240">
        <v>72720</v>
      </c>
      <c r="S240">
        <v>79920</v>
      </c>
      <c r="T240">
        <v>56640</v>
      </c>
      <c r="U240">
        <v>33360</v>
      </c>
      <c r="V240">
        <v>53760.000000000007</v>
      </c>
      <c r="W240">
        <v>60480</v>
      </c>
      <c r="X240">
        <v>65520</v>
      </c>
      <c r="Y240">
        <v>54239.999999999993</v>
      </c>
      <c r="AB240">
        <v>1200168</v>
      </c>
      <c r="AC240">
        <v>12818304</v>
      </c>
    </row>
    <row r="241" spans="1:29" x14ac:dyDescent="0.3">
      <c r="A241" t="s">
        <v>159</v>
      </c>
      <c r="B241">
        <v>0</v>
      </c>
      <c r="C241">
        <v>5520</v>
      </c>
      <c r="D241">
        <v>15360</v>
      </c>
      <c r="E241">
        <v>22320</v>
      </c>
      <c r="F241">
        <v>41520</v>
      </c>
      <c r="G241">
        <v>66000</v>
      </c>
      <c r="H241">
        <v>66000</v>
      </c>
      <c r="I241">
        <v>66000</v>
      </c>
      <c r="J241">
        <v>28320</v>
      </c>
      <c r="K241">
        <v>48072</v>
      </c>
      <c r="L241">
        <v>48072</v>
      </c>
      <c r="M241">
        <v>48072</v>
      </c>
      <c r="N241">
        <v>70560</v>
      </c>
      <c r="O241">
        <v>45120</v>
      </c>
      <c r="P241">
        <v>72192</v>
      </c>
      <c r="Q241">
        <v>80400</v>
      </c>
      <c r="R241">
        <v>72720</v>
      </c>
      <c r="S241">
        <v>79920</v>
      </c>
      <c r="T241">
        <v>56640</v>
      </c>
      <c r="U241">
        <v>33360</v>
      </c>
      <c r="V241">
        <v>53760.000000000007</v>
      </c>
      <c r="W241">
        <v>60480</v>
      </c>
      <c r="X241">
        <v>65520</v>
      </c>
      <c r="Y241">
        <v>54239.999999999993</v>
      </c>
      <c r="Z241">
        <v>50880</v>
      </c>
      <c r="AB241">
        <v>1251048</v>
      </c>
      <c r="AC241">
        <v>14069352</v>
      </c>
    </row>
    <row r="242" spans="1:29" x14ac:dyDescent="0.3">
      <c r="A242" t="s">
        <v>160</v>
      </c>
      <c r="B242">
        <v>0</v>
      </c>
      <c r="C242">
        <v>5520</v>
      </c>
      <c r="D242">
        <v>15360</v>
      </c>
      <c r="E242">
        <v>22320</v>
      </c>
      <c r="F242">
        <v>41520</v>
      </c>
      <c r="G242">
        <v>66000</v>
      </c>
      <c r="H242">
        <v>66000</v>
      </c>
      <c r="I242">
        <v>66000</v>
      </c>
      <c r="J242">
        <v>28320</v>
      </c>
      <c r="K242">
        <v>48072</v>
      </c>
      <c r="L242">
        <v>48072</v>
      </c>
      <c r="M242">
        <v>48072</v>
      </c>
      <c r="N242">
        <v>70560</v>
      </c>
      <c r="O242">
        <v>45120</v>
      </c>
      <c r="P242">
        <v>72192</v>
      </c>
      <c r="Q242">
        <v>80400</v>
      </c>
      <c r="R242">
        <v>72720</v>
      </c>
      <c r="S242">
        <v>79920</v>
      </c>
      <c r="T242">
        <v>56640</v>
      </c>
      <c r="U242">
        <v>33360</v>
      </c>
      <c r="V242">
        <v>53760.000000000007</v>
      </c>
      <c r="W242">
        <v>60480</v>
      </c>
      <c r="X242">
        <v>65520</v>
      </c>
      <c r="Y242">
        <v>54239.999999999993</v>
      </c>
      <c r="Z242">
        <v>50880</v>
      </c>
      <c r="AA242">
        <v>65760</v>
      </c>
      <c r="AB242">
        <v>1316808</v>
      </c>
      <c r="AC242">
        <v>15386160</v>
      </c>
    </row>
    <row r="243" spans="1:29" x14ac:dyDescent="0.3">
      <c r="AB243">
        <v>15386160</v>
      </c>
      <c r="AC243">
        <v>56467207.199999996</v>
      </c>
    </row>
    <row r="244" spans="1:29" x14ac:dyDescent="0.3">
      <c r="AB244">
        <v>15.38616</v>
      </c>
      <c r="AC244">
        <v>56.467207199999997</v>
      </c>
    </row>
    <row r="246" spans="1:29" x14ac:dyDescent="0.3">
      <c r="A246" t="s">
        <v>177</v>
      </c>
      <c r="B246">
        <v>0</v>
      </c>
      <c r="C246">
        <v>1435.2</v>
      </c>
      <c r="AB246">
        <v>1435.2</v>
      </c>
      <c r="AC246">
        <v>1435.2</v>
      </c>
    </row>
    <row r="247" spans="1:29" x14ac:dyDescent="0.3">
      <c r="A247" t="s">
        <v>164</v>
      </c>
      <c r="B247">
        <v>0</v>
      </c>
      <c r="C247">
        <v>1435.2</v>
      </c>
      <c r="D247">
        <v>3993.6000000000004</v>
      </c>
      <c r="AB247">
        <v>5428.8</v>
      </c>
      <c r="AC247">
        <v>6864</v>
      </c>
    </row>
    <row r="248" spans="1:29" x14ac:dyDescent="0.3">
      <c r="A248" t="s">
        <v>138</v>
      </c>
      <c r="B248">
        <v>0</v>
      </c>
      <c r="C248">
        <v>1435.2</v>
      </c>
      <c r="D248">
        <v>3993.6000000000004</v>
      </c>
      <c r="E248">
        <v>5803.2000000000007</v>
      </c>
      <c r="AB248">
        <v>11232</v>
      </c>
      <c r="AC248">
        <v>18096</v>
      </c>
    </row>
    <row r="249" spans="1:29" x14ac:dyDescent="0.3">
      <c r="A249" t="s">
        <v>139</v>
      </c>
      <c r="B249">
        <v>0</v>
      </c>
      <c r="C249">
        <v>1435.2</v>
      </c>
      <c r="D249">
        <v>3993.6000000000004</v>
      </c>
      <c r="E249">
        <v>5803.2000000000007</v>
      </c>
      <c r="F249">
        <v>10795.2</v>
      </c>
      <c r="AB249">
        <v>22027.200000000001</v>
      </c>
      <c r="AC249">
        <v>40123.199999999997</v>
      </c>
    </row>
    <row r="250" spans="1:29" x14ac:dyDescent="0.3">
      <c r="A250" t="s">
        <v>140</v>
      </c>
      <c r="B250">
        <v>0</v>
      </c>
      <c r="C250">
        <v>1435.2</v>
      </c>
      <c r="D250">
        <v>3993.6000000000004</v>
      </c>
      <c r="E250">
        <v>5803.2000000000007</v>
      </c>
      <c r="F250">
        <v>10795.2</v>
      </c>
      <c r="G250">
        <v>17160.000000000004</v>
      </c>
      <c r="AB250">
        <v>39187.200000000004</v>
      </c>
      <c r="AC250">
        <v>79310.399999999994</v>
      </c>
    </row>
    <row r="251" spans="1:29" x14ac:dyDescent="0.3">
      <c r="A251" t="s">
        <v>141</v>
      </c>
      <c r="B251">
        <v>0</v>
      </c>
      <c r="C251">
        <v>1435.2</v>
      </c>
      <c r="D251">
        <v>3993.6000000000004</v>
      </c>
      <c r="E251">
        <v>5803.2000000000007</v>
      </c>
      <c r="F251">
        <v>10795.2</v>
      </c>
      <c r="G251">
        <v>17160.000000000004</v>
      </c>
      <c r="H251">
        <v>17160.000000000004</v>
      </c>
      <c r="AB251">
        <v>56347.200000000012</v>
      </c>
      <c r="AC251">
        <v>135657.60000000001</v>
      </c>
    </row>
    <row r="252" spans="1:29" x14ac:dyDescent="0.3">
      <c r="A252" t="s">
        <v>142</v>
      </c>
      <c r="B252">
        <v>0</v>
      </c>
      <c r="C252">
        <v>1435.2</v>
      </c>
      <c r="D252">
        <v>3993.6000000000004</v>
      </c>
      <c r="E252">
        <v>5803.2000000000007</v>
      </c>
      <c r="F252">
        <v>10795.2</v>
      </c>
      <c r="G252">
        <v>17160.000000000004</v>
      </c>
      <c r="H252">
        <v>17160.000000000004</v>
      </c>
      <c r="I252">
        <v>17160.000000000004</v>
      </c>
      <c r="AB252">
        <v>73507.200000000012</v>
      </c>
      <c r="AC252">
        <v>209164.80000000002</v>
      </c>
    </row>
    <row r="253" spans="1:29" x14ac:dyDescent="0.3">
      <c r="A253" t="s">
        <v>143</v>
      </c>
      <c r="B253">
        <v>0</v>
      </c>
      <c r="C253">
        <v>1435.2</v>
      </c>
      <c r="D253">
        <v>3993.6000000000004</v>
      </c>
      <c r="E253">
        <v>5803.2000000000007</v>
      </c>
      <c r="F253">
        <v>10795.2</v>
      </c>
      <c r="G253">
        <v>17160.000000000004</v>
      </c>
      <c r="H253">
        <v>17160.000000000004</v>
      </c>
      <c r="I253">
        <v>17160.000000000004</v>
      </c>
      <c r="J253">
        <v>7363.2000000000007</v>
      </c>
      <c r="AB253">
        <v>80870.400000000009</v>
      </c>
      <c r="AC253">
        <v>290035.20000000001</v>
      </c>
    </row>
    <row r="254" spans="1:29" x14ac:dyDescent="0.3">
      <c r="A254" t="s">
        <v>144</v>
      </c>
      <c r="B254">
        <v>0</v>
      </c>
      <c r="C254">
        <v>1435.2</v>
      </c>
      <c r="D254">
        <v>3993.6000000000004</v>
      </c>
      <c r="E254">
        <v>5803.2000000000007</v>
      </c>
      <c r="F254">
        <v>10795.2</v>
      </c>
      <c r="G254">
        <v>17160.000000000004</v>
      </c>
      <c r="H254">
        <v>17160.000000000004</v>
      </c>
      <c r="I254">
        <v>17160.000000000004</v>
      </c>
      <c r="J254">
        <v>7363.2000000000007</v>
      </c>
      <c r="K254">
        <v>12498.720000000001</v>
      </c>
      <c r="AB254">
        <v>93369.12000000001</v>
      </c>
      <c r="AC254">
        <v>383404.32</v>
      </c>
    </row>
    <row r="255" spans="1:29" x14ac:dyDescent="0.3">
      <c r="A255" t="s">
        <v>145</v>
      </c>
      <c r="B255">
        <v>0</v>
      </c>
      <c r="C255">
        <v>1435.2</v>
      </c>
      <c r="D255">
        <v>3993.6000000000004</v>
      </c>
      <c r="E255">
        <v>5803.2000000000007</v>
      </c>
      <c r="F255">
        <v>10795.2</v>
      </c>
      <c r="G255">
        <v>17160.000000000004</v>
      </c>
      <c r="H255">
        <v>17160.000000000004</v>
      </c>
      <c r="I255">
        <v>17160.000000000004</v>
      </c>
      <c r="J255">
        <v>7363.2000000000007</v>
      </c>
      <c r="K255">
        <v>12498.720000000001</v>
      </c>
      <c r="L255">
        <v>12498.720000000001</v>
      </c>
      <c r="AB255">
        <v>105867.84000000001</v>
      </c>
      <c r="AC255">
        <v>489272.16000000003</v>
      </c>
    </row>
    <row r="256" spans="1:29" x14ac:dyDescent="0.3">
      <c r="A256" t="s">
        <v>146</v>
      </c>
      <c r="B256">
        <v>0</v>
      </c>
      <c r="C256">
        <v>1435.2</v>
      </c>
      <c r="D256">
        <v>3993.6000000000004</v>
      </c>
      <c r="E256">
        <v>5803.2000000000007</v>
      </c>
      <c r="F256">
        <v>10795.2</v>
      </c>
      <c r="G256">
        <v>17160.000000000004</v>
      </c>
      <c r="H256">
        <v>17160.000000000004</v>
      </c>
      <c r="I256">
        <v>17160.000000000004</v>
      </c>
      <c r="J256">
        <v>7363.2000000000007</v>
      </c>
      <c r="K256">
        <v>12498.720000000001</v>
      </c>
      <c r="L256">
        <v>12498.720000000001</v>
      </c>
      <c r="M256">
        <v>12498.720000000001</v>
      </c>
      <c r="AB256">
        <v>118366.56000000001</v>
      </c>
      <c r="AC256">
        <v>607638.72000000009</v>
      </c>
    </row>
    <row r="257" spans="1:29" x14ac:dyDescent="0.3">
      <c r="A257" t="s">
        <v>147</v>
      </c>
      <c r="B257">
        <v>0</v>
      </c>
      <c r="C257">
        <v>1435.2</v>
      </c>
      <c r="D257">
        <v>3993.6000000000004</v>
      </c>
      <c r="E257">
        <v>5803.2000000000007</v>
      </c>
      <c r="F257">
        <v>10795.2</v>
      </c>
      <c r="G257">
        <v>17160.000000000004</v>
      </c>
      <c r="H257">
        <v>17160.000000000004</v>
      </c>
      <c r="I257">
        <v>17160.000000000004</v>
      </c>
      <c r="J257">
        <v>7363.2000000000007</v>
      </c>
      <c r="K257">
        <v>12498.720000000001</v>
      </c>
      <c r="L257">
        <v>12498.720000000001</v>
      </c>
      <c r="M257">
        <v>12498.720000000001</v>
      </c>
      <c r="N257">
        <v>18345.599999999999</v>
      </c>
      <c r="AB257">
        <v>136712.16</v>
      </c>
      <c r="AC257">
        <v>744350.88000000012</v>
      </c>
    </row>
    <row r="258" spans="1:29" x14ac:dyDescent="0.3">
      <c r="A258" t="s">
        <v>148</v>
      </c>
      <c r="B258">
        <v>0</v>
      </c>
      <c r="C258">
        <v>1435.2</v>
      </c>
      <c r="D258">
        <v>3993.6000000000004</v>
      </c>
      <c r="E258">
        <v>5803.2000000000007</v>
      </c>
      <c r="F258">
        <v>10795.2</v>
      </c>
      <c r="G258">
        <v>17160.000000000004</v>
      </c>
      <c r="H258">
        <v>17160.000000000004</v>
      </c>
      <c r="I258">
        <v>17160.000000000004</v>
      </c>
      <c r="J258">
        <v>7363.2000000000007</v>
      </c>
      <c r="K258">
        <v>12498.720000000001</v>
      </c>
      <c r="L258">
        <v>12498.720000000001</v>
      </c>
      <c r="M258">
        <v>12498.720000000001</v>
      </c>
      <c r="N258">
        <v>18345.599999999999</v>
      </c>
      <c r="O258">
        <v>11731.2</v>
      </c>
      <c r="AB258">
        <v>148443.36000000002</v>
      </c>
      <c r="AC258">
        <v>892794.24000000011</v>
      </c>
    </row>
    <row r="259" spans="1:29" x14ac:dyDescent="0.3">
      <c r="A259" t="s">
        <v>149</v>
      </c>
      <c r="B259">
        <v>0</v>
      </c>
      <c r="C259">
        <v>1435.2</v>
      </c>
      <c r="D259">
        <v>3993.6000000000004</v>
      </c>
      <c r="E259">
        <v>5803.2000000000007</v>
      </c>
      <c r="F259">
        <v>10795.2</v>
      </c>
      <c r="G259">
        <v>17160.000000000004</v>
      </c>
      <c r="H259">
        <v>17160.000000000004</v>
      </c>
      <c r="I259">
        <v>17160.000000000004</v>
      </c>
      <c r="J259">
        <v>7363.2000000000007</v>
      </c>
      <c r="K259">
        <v>12498.720000000001</v>
      </c>
      <c r="L259">
        <v>12498.720000000001</v>
      </c>
      <c r="M259">
        <v>12498.720000000001</v>
      </c>
      <c r="N259">
        <v>18345.599999999999</v>
      </c>
      <c r="O259">
        <v>11731.2</v>
      </c>
      <c r="P259">
        <v>18769.919999999998</v>
      </c>
      <c r="AB259">
        <v>167213.28000000003</v>
      </c>
      <c r="AC259">
        <v>1060007.52</v>
      </c>
    </row>
    <row r="260" spans="1:29" x14ac:dyDescent="0.3">
      <c r="A260" t="s">
        <v>150</v>
      </c>
      <c r="B260">
        <v>0</v>
      </c>
      <c r="C260">
        <v>1435.2</v>
      </c>
      <c r="D260">
        <v>3993.6000000000004</v>
      </c>
      <c r="E260">
        <v>5803.2000000000007</v>
      </c>
      <c r="F260">
        <v>10795.2</v>
      </c>
      <c r="G260">
        <v>17160.000000000004</v>
      </c>
      <c r="H260">
        <v>17160.000000000004</v>
      </c>
      <c r="I260">
        <v>17160.000000000004</v>
      </c>
      <c r="J260">
        <v>7363.2000000000007</v>
      </c>
      <c r="K260">
        <v>12498.720000000001</v>
      </c>
      <c r="L260">
        <v>12498.720000000001</v>
      </c>
      <c r="M260">
        <v>12498.720000000001</v>
      </c>
      <c r="N260">
        <v>18345.599999999999</v>
      </c>
      <c r="O260">
        <v>11731.2</v>
      </c>
      <c r="P260">
        <v>18769.919999999998</v>
      </c>
      <c r="Q260">
        <v>20904.000000000004</v>
      </c>
      <c r="AB260">
        <v>188117.28000000003</v>
      </c>
      <c r="AC260">
        <v>1248124.8</v>
      </c>
    </row>
    <row r="261" spans="1:29" x14ac:dyDescent="0.3">
      <c r="A261" t="s">
        <v>151</v>
      </c>
      <c r="B261">
        <v>0</v>
      </c>
      <c r="C261">
        <v>1435.2</v>
      </c>
      <c r="D261">
        <v>3993.6000000000004</v>
      </c>
      <c r="E261">
        <v>5803.2000000000007</v>
      </c>
      <c r="F261">
        <v>10795.2</v>
      </c>
      <c r="G261">
        <v>17160.000000000004</v>
      </c>
      <c r="H261">
        <v>17160.000000000004</v>
      </c>
      <c r="I261">
        <v>17160.000000000004</v>
      </c>
      <c r="J261">
        <v>7363.2000000000007</v>
      </c>
      <c r="K261">
        <v>12498.720000000001</v>
      </c>
      <c r="L261">
        <v>12498.720000000001</v>
      </c>
      <c r="M261">
        <v>12498.720000000001</v>
      </c>
      <c r="N261">
        <v>18345.599999999999</v>
      </c>
      <c r="O261">
        <v>11731.2</v>
      </c>
      <c r="P261">
        <v>18769.919999999998</v>
      </c>
      <c r="Q261">
        <v>20904.000000000004</v>
      </c>
      <c r="R261">
        <v>18907.199999999997</v>
      </c>
      <c r="AB261">
        <v>207024.48000000004</v>
      </c>
      <c r="AC261">
        <v>1455149.28</v>
      </c>
    </row>
    <row r="262" spans="1:29" x14ac:dyDescent="0.3">
      <c r="A262" t="s">
        <v>152</v>
      </c>
      <c r="B262">
        <v>0</v>
      </c>
      <c r="C262">
        <v>1435.2</v>
      </c>
      <c r="D262">
        <v>3993.6000000000004</v>
      </c>
      <c r="E262">
        <v>5803.2000000000007</v>
      </c>
      <c r="F262">
        <v>10795.2</v>
      </c>
      <c r="G262">
        <v>17160.000000000004</v>
      </c>
      <c r="H262">
        <v>17160.000000000004</v>
      </c>
      <c r="I262">
        <v>17160.000000000004</v>
      </c>
      <c r="J262">
        <v>7363.2000000000007</v>
      </c>
      <c r="K262">
        <v>12498.720000000001</v>
      </c>
      <c r="L262">
        <v>12498.720000000001</v>
      </c>
      <c r="M262">
        <v>12498.720000000001</v>
      </c>
      <c r="N262">
        <v>18345.599999999999</v>
      </c>
      <c r="O262">
        <v>11731.2</v>
      </c>
      <c r="P262">
        <v>18769.919999999998</v>
      </c>
      <c r="Q262">
        <v>20904.000000000004</v>
      </c>
      <c r="R262">
        <v>18907.199999999997</v>
      </c>
      <c r="S262">
        <v>20779.2</v>
      </c>
      <c r="AB262">
        <v>227803.68000000005</v>
      </c>
      <c r="AC262">
        <v>1682952.96</v>
      </c>
    </row>
    <row r="263" spans="1:29" x14ac:dyDescent="0.3">
      <c r="A263" t="s">
        <v>153</v>
      </c>
      <c r="B263">
        <v>0</v>
      </c>
      <c r="C263">
        <v>1435.2</v>
      </c>
      <c r="D263">
        <v>3993.6000000000004</v>
      </c>
      <c r="E263">
        <v>5803.2000000000007</v>
      </c>
      <c r="F263">
        <v>10795.2</v>
      </c>
      <c r="G263">
        <v>17160.000000000004</v>
      </c>
      <c r="H263">
        <v>17160.000000000004</v>
      </c>
      <c r="I263">
        <v>17160.000000000004</v>
      </c>
      <c r="J263">
        <v>7363.2000000000007</v>
      </c>
      <c r="K263">
        <v>12498.720000000001</v>
      </c>
      <c r="L263">
        <v>12498.720000000001</v>
      </c>
      <c r="M263">
        <v>12498.720000000001</v>
      </c>
      <c r="N263">
        <v>18345.599999999999</v>
      </c>
      <c r="O263">
        <v>11731.2</v>
      </c>
      <c r="P263">
        <v>18769.919999999998</v>
      </c>
      <c r="Q263">
        <v>20904.000000000004</v>
      </c>
      <c r="R263">
        <v>18907.199999999997</v>
      </c>
      <c r="S263">
        <v>20779.2</v>
      </c>
      <c r="T263">
        <v>14726.400000000001</v>
      </c>
      <c r="AB263">
        <v>242530.08000000005</v>
      </c>
      <c r="AC263">
        <v>1925483.04</v>
      </c>
    </row>
    <row r="264" spans="1:29" x14ac:dyDescent="0.3">
      <c r="A264" t="s">
        <v>154</v>
      </c>
      <c r="B264">
        <v>0</v>
      </c>
      <c r="C264">
        <v>1435.2</v>
      </c>
      <c r="D264">
        <v>3993.6000000000004</v>
      </c>
      <c r="E264">
        <v>5803.2000000000007</v>
      </c>
      <c r="F264">
        <v>10795.2</v>
      </c>
      <c r="G264">
        <v>17160.000000000004</v>
      </c>
      <c r="H264">
        <v>17160.000000000004</v>
      </c>
      <c r="I264">
        <v>17160.000000000004</v>
      </c>
      <c r="J264">
        <v>7363.2000000000007</v>
      </c>
      <c r="K264">
        <v>12498.720000000001</v>
      </c>
      <c r="L264">
        <v>12498.720000000001</v>
      </c>
      <c r="M264">
        <v>12498.720000000001</v>
      </c>
      <c r="N264">
        <v>18345.599999999999</v>
      </c>
      <c r="O264">
        <v>11731.2</v>
      </c>
      <c r="P264">
        <v>18769.919999999998</v>
      </c>
      <c r="Q264">
        <v>20904.000000000004</v>
      </c>
      <c r="R264">
        <v>18907.199999999997</v>
      </c>
      <c r="S264">
        <v>20779.2</v>
      </c>
      <c r="T264">
        <v>14726.400000000001</v>
      </c>
      <c r="U264">
        <v>8673.6</v>
      </c>
      <c r="AB264">
        <v>251203.68000000005</v>
      </c>
      <c r="AC264">
        <v>2176686.7200000002</v>
      </c>
    </row>
    <row r="265" spans="1:29" x14ac:dyDescent="0.3">
      <c r="A265" t="s">
        <v>155</v>
      </c>
      <c r="B265">
        <v>0</v>
      </c>
      <c r="C265">
        <v>1435.2</v>
      </c>
      <c r="D265">
        <v>3993.6000000000004</v>
      </c>
      <c r="E265">
        <v>5803.2000000000007</v>
      </c>
      <c r="F265">
        <v>10795.2</v>
      </c>
      <c r="G265">
        <v>17160.000000000004</v>
      </c>
      <c r="H265">
        <v>17160.000000000004</v>
      </c>
      <c r="I265">
        <v>17160.000000000004</v>
      </c>
      <c r="J265">
        <v>7363.2000000000007</v>
      </c>
      <c r="K265">
        <v>12498.720000000001</v>
      </c>
      <c r="L265">
        <v>12498.720000000001</v>
      </c>
      <c r="M265">
        <v>12498.720000000001</v>
      </c>
      <c r="N265">
        <v>18345.599999999999</v>
      </c>
      <c r="O265">
        <v>11731.2</v>
      </c>
      <c r="P265">
        <v>18769.919999999998</v>
      </c>
      <c r="Q265">
        <v>20904.000000000004</v>
      </c>
      <c r="R265">
        <v>18907.199999999997</v>
      </c>
      <c r="S265">
        <v>20779.2</v>
      </c>
      <c r="T265">
        <v>14726.400000000001</v>
      </c>
      <c r="U265">
        <v>8673.6</v>
      </c>
      <c r="V265">
        <v>13977.6</v>
      </c>
      <c r="AB265">
        <v>265181.28000000003</v>
      </c>
      <c r="AC265">
        <v>2441868</v>
      </c>
    </row>
    <row r="266" spans="1:29" x14ac:dyDescent="0.3">
      <c r="A266" t="s">
        <v>156</v>
      </c>
      <c r="B266">
        <v>0</v>
      </c>
      <c r="C266">
        <v>1435.2</v>
      </c>
      <c r="D266">
        <v>3993.6000000000004</v>
      </c>
      <c r="E266">
        <v>5803.2000000000007</v>
      </c>
      <c r="F266">
        <v>10795.2</v>
      </c>
      <c r="G266">
        <v>17160.000000000004</v>
      </c>
      <c r="H266">
        <v>17160.000000000004</v>
      </c>
      <c r="I266">
        <v>17160.000000000004</v>
      </c>
      <c r="J266">
        <v>7363.2000000000007</v>
      </c>
      <c r="K266">
        <v>12498.720000000001</v>
      </c>
      <c r="L266">
        <v>12498.720000000001</v>
      </c>
      <c r="M266">
        <v>12498.720000000001</v>
      </c>
      <c r="N266">
        <v>18345.599999999999</v>
      </c>
      <c r="O266">
        <v>11731.2</v>
      </c>
      <c r="P266">
        <v>18769.919999999998</v>
      </c>
      <c r="Q266">
        <v>20904.000000000004</v>
      </c>
      <c r="R266">
        <v>18907.199999999997</v>
      </c>
      <c r="S266">
        <v>20779.2</v>
      </c>
      <c r="T266">
        <v>14726.400000000001</v>
      </c>
      <c r="U266">
        <v>8673.6</v>
      </c>
      <c r="V266">
        <v>13977.6</v>
      </c>
      <c r="W266">
        <v>15724.8</v>
      </c>
      <c r="AB266">
        <v>280906.08</v>
      </c>
      <c r="AC266">
        <v>2722774.08</v>
      </c>
    </row>
    <row r="267" spans="1:29" x14ac:dyDescent="0.3">
      <c r="A267" t="s">
        <v>157</v>
      </c>
      <c r="B267">
        <v>0</v>
      </c>
      <c r="C267">
        <v>1435.2</v>
      </c>
      <c r="D267">
        <v>3993.6000000000004</v>
      </c>
      <c r="E267">
        <v>5803.2000000000007</v>
      </c>
      <c r="F267">
        <v>10795.2</v>
      </c>
      <c r="G267">
        <v>17160.000000000004</v>
      </c>
      <c r="H267">
        <v>17160.000000000004</v>
      </c>
      <c r="I267">
        <v>17160.000000000004</v>
      </c>
      <c r="J267">
        <v>7363.2000000000007</v>
      </c>
      <c r="K267">
        <v>12498.720000000001</v>
      </c>
      <c r="L267">
        <v>12498.720000000001</v>
      </c>
      <c r="M267">
        <v>12498.720000000001</v>
      </c>
      <c r="N267">
        <v>18345.599999999999</v>
      </c>
      <c r="O267">
        <v>11731.2</v>
      </c>
      <c r="P267">
        <v>18769.919999999998</v>
      </c>
      <c r="Q267">
        <v>20904.000000000004</v>
      </c>
      <c r="R267">
        <v>18907.199999999997</v>
      </c>
      <c r="S267">
        <v>20779.2</v>
      </c>
      <c r="T267">
        <v>14726.400000000001</v>
      </c>
      <c r="U267">
        <v>8673.6</v>
      </c>
      <c r="V267">
        <v>13977.6</v>
      </c>
      <c r="W267">
        <v>15724.8</v>
      </c>
      <c r="X267">
        <v>17035.2</v>
      </c>
      <c r="AB267">
        <v>297941.28000000003</v>
      </c>
      <c r="AC267">
        <v>3020715.3600000003</v>
      </c>
    </row>
    <row r="268" spans="1:29" x14ac:dyDescent="0.3">
      <c r="A268" t="s">
        <v>158</v>
      </c>
      <c r="B268">
        <v>0</v>
      </c>
      <c r="C268">
        <v>1435.2</v>
      </c>
      <c r="D268">
        <v>3993.6000000000004</v>
      </c>
      <c r="E268">
        <v>5803.2000000000007</v>
      </c>
      <c r="F268">
        <v>10795.2</v>
      </c>
      <c r="G268">
        <v>17160.000000000004</v>
      </c>
      <c r="H268">
        <v>17160.000000000004</v>
      </c>
      <c r="I268">
        <v>17160.000000000004</v>
      </c>
      <c r="J268">
        <v>7363.2000000000007</v>
      </c>
      <c r="K268">
        <v>12498.720000000001</v>
      </c>
      <c r="L268">
        <v>12498.720000000001</v>
      </c>
      <c r="M268">
        <v>12498.720000000001</v>
      </c>
      <c r="N268">
        <v>18345.599999999999</v>
      </c>
      <c r="O268">
        <v>11731.2</v>
      </c>
      <c r="P268">
        <v>18769.919999999998</v>
      </c>
      <c r="Q268">
        <v>20904.000000000004</v>
      </c>
      <c r="R268">
        <v>18907.199999999997</v>
      </c>
      <c r="S268">
        <v>20779.2</v>
      </c>
      <c r="T268">
        <v>14726.400000000001</v>
      </c>
      <c r="U268">
        <v>8673.6</v>
      </c>
      <c r="V268">
        <v>13977.6</v>
      </c>
      <c r="W268">
        <v>15724.8</v>
      </c>
      <c r="X268">
        <v>17035.2</v>
      </c>
      <c r="Y268">
        <v>14102.4</v>
      </c>
      <c r="AB268">
        <v>312043.68000000005</v>
      </c>
      <c r="AC268">
        <v>3332759.0400000005</v>
      </c>
    </row>
    <row r="269" spans="1:29" x14ac:dyDescent="0.3">
      <c r="A269" t="s">
        <v>159</v>
      </c>
      <c r="B269">
        <v>0</v>
      </c>
      <c r="C269">
        <v>1435.2</v>
      </c>
      <c r="D269">
        <v>3993.6000000000004</v>
      </c>
      <c r="E269">
        <v>5803.2000000000007</v>
      </c>
      <c r="F269">
        <v>10795.2</v>
      </c>
      <c r="G269">
        <v>17160.000000000004</v>
      </c>
      <c r="H269">
        <v>17160.000000000004</v>
      </c>
      <c r="I269">
        <v>17160.000000000004</v>
      </c>
      <c r="J269">
        <v>7363.2000000000007</v>
      </c>
      <c r="K269">
        <v>12498.720000000001</v>
      </c>
      <c r="L269">
        <v>12498.720000000001</v>
      </c>
      <c r="M269">
        <v>12498.720000000001</v>
      </c>
      <c r="N269">
        <v>18345.599999999999</v>
      </c>
      <c r="O269">
        <v>11731.2</v>
      </c>
      <c r="P269">
        <v>18769.919999999998</v>
      </c>
      <c r="Q269">
        <v>20904.000000000004</v>
      </c>
      <c r="R269">
        <v>18907.199999999997</v>
      </c>
      <c r="S269">
        <v>20779.2</v>
      </c>
      <c r="T269">
        <v>14726.400000000001</v>
      </c>
      <c r="U269">
        <v>8673.6</v>
      </c>
      <c r="V269">
        <v>13977.6</v>
      </c>
      <c r="W269">
        <v>15724.8</v>
      </c>
      <c r="X269">
        <v>17035.2</v>
      </c>
      <c r="Y269">
        <v>14102.4</v>
      </c>
      <c r="Z269">
        <v>13228.800000000001</v>
      </c>
      <c r="AB269">
        <v>325272.48000000004</v>
      </c>
      <c r="AC269">
        <v>3658031.5200000005</v>
      </c>
    </row>
    <row r="270" spans="1:29" x14ac:dyDescent="0.3">
      <c r="A270" t="s">
        <v>160</v>
      </c>
      <c r="B270">
        <v>0</v>
      </c>
      <c r="C270">
        <v>1435.2</v>
      </c>
      <c r="D270">
        <v>3993.6000000000004</v>
      </c>
      <c r="E270">
        <v>5803.2000000000007</v>
      </c>
      <c r="F270">
        <v>10795.2</v>
      </c>
      <c r="G270">
        <v>17160.000000000004</v>
      </c>
      <c r="H270">
        <v>17160.000000000004</v>
      </c>
      <c r="I270">
        <v>17160.000000000004</v>
      </c>
      <c r="J270">
        <v>7363.2000000000007</v>
      </c>
      <c r="K270">
        <v>12498.720000000001</v>
      </c>
      <c r="L270">
        <v>12498.720000000001</v>
      </c>
      <c r="M270">
        <v>12498.720000000001</v>
      </c>
      <c r="N270">
        <v>18345.599999999999</v>
      </c>
      <c r="O270">
        <v>11731.2</v>
      </c>
      <c r="P270">
        <v>18769.919999999998</v>
      </c>
      <c r="Q270">
        <v>20904.000000000004</v>
      </c>
      <c r="R270">
        <v>18907.199999999997</v>
      </c>
      <c r="S270">
        <v>20779.2</v>
      </c>
      <c r="T270">
        <v>14726.400000000001</v>
      </c>
      <c r="U270">
        <v>8673.6</v>
      </c>
      <c r="V270">
        <v>13977.6</v>
      </c>
      <c r="W270">
        <v>15724.8</v>
      </c>
      <c r="X270">
        <v>17035.2</v>
      </c>
      <c r="Y270">
        <v>14102.4</v>
      </c>
      <c r="Z270">
        <v>13228.800000000001</v>
      </c>
      <c r="AA270">
        <v>17097.600000000002</v>
      </c>
      <c r="AB270">
        <v>342370.08</v>
      </c>
      <c r="AC270">
        <v>4000401.6000000006</v>
      </c>
    </row>
    <row r="271" spans="1:29" x14ac:dyDescent="0.3">
      <c r="AB271">
        <v>4000401.6000000006</v>
      </c>
      <c r="AC271">
        <v>14681473.872000001</v>
      </c>
    </row>
    <row r="272" spans="1:29" x14ac:dyDescent="0.3">
      <c r="AB272">
        <v>4.0004016000000009</v>
      </c>
      <c r="AC272">
        <v>14.681473872000002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31611-B555-4DDF-BDE8-0988A4244C57}">
  <dimension ref="A2:AD270"/>
  <sheetViews>
    <sheetView topLeftCell="W1" workbookViewId="0">
      <selection activeCell="C8" sqref="C8"/>
    </sheetView>
  </sheetViews>
  <sheetFormatPr defaultColWidth="16.109375" defaultRowHeight="14.4" x14ac:dyDescent="0.3"/>
  <sheetData>
    <row r="2" spans="1:30" x14ac:dyDescent="0.3">
      <c r="A2" t="s">
        <v>178</v>
      </c>
      <c r="B2" t="s">
        <v>179</v>
      </c>
    </row>
    <row r="3" spans="1:30" x14ac:dyDescent="0.3">
      <c r="A3" t="s">
        <v>180</v>
      </c>
      <c r="B3" t="s">
        <v>181</v>
      </c>
    </row>
    <row r="7" spans="1:30" x14ac:dyDescent="0.3">
      <c r="A7" t="s">
        <v>96</v>
      </c>
      <c r="B7">
        <v>1993</v>
      </c>
      <c r="C7">
        <v>1994</v>
      </c>
      <c r="D7">
        <v>1995</v>
      </c>
      <c r="E7">
        <v>1996</v>
      </c>
      <c r="F7">
        <v>1997</v>
      </c>
      <c r="G7">
        <v>1998</v>
      </c>
      <c r="H7">
        <v>1999</v>
      </c>
      <c r="I7">
        <v>2000</v>
      </c>
      <c r="J7">
        <v>2001</v>
      </c>
      <c r="K7">
        <v>2002</v>
      </c>
      <c r="L7">
        <v>2003</v>
      </c>
      <c r="M7">
        <v>2004</v>
      </c>
      <c r="N7">
        <v>2005</v>
      </c>
      <c r="O7">
        <v>2006</v>
      </c>
      <c r="P7">
        <v>2007</v>
      </c>
      <c r="Q7">
        <v>2008</v>
      </c>
      <c r="R7">
        <v>2009</v>
      </c>
      <c r="S7">
        <v>2010</v>
      </c>
      <c r="T7">
        <v>2011</v>
      </c>
      <c r="U7">
        <v>2012</v>
      </c>
      <c r="V7">
        <v>2013</v>
      </c>
      <c r="W7">
        <v>2014</v>
      </c>
      <c r="X7">
        <v>2015</v>
      </c>
      <c r="Y7">
        <v>2016</v>
      </c>
      <c r="Z7">
        <v>2017</v>
      </c>
      <c r="AA7">
        <v>2018</v>
      </c>
    </row>
    <row r="8" spans="1:30" x14ac:dyDescent="0.3">
      <c r="A8" t="s">
        <v>135</v>
      </c>
      <c r="B8">
        <v>0</v>
      </c>
      <c r="C8">
        <v>0.52</v>
      </c>
      <c r="D8">
        <v>1.1599999999999999</v>
      </c>
      <c r="E8">
        <v>1.29</v>
      </c>
      <c r="F8">
        <v>2.2799999999999998</v>
      </c>
      <c r="G8">
        <v>3.14</v>
      </c>
      <c r="H8">
        <v>0.9</v>
      </c>
      <c r="I8">
        <v>0.9</v>
      </c>
      <c r="J8">
        <v>0.9</v>
      </c>
      <c r="K8">
        <v>1.93</v>
      </c>
      <c r="L8">
        <v>2.14</v>
      </c>
      <c r="M8">
        <v>2.14</v>
      </c>
      <c r="N8">
        <v>2.14</v>
      </c>
      <c r="O8">
        <v>1.25</v>
      </c>
      <c r="P8">
        <v>1.76</v>
      </c>
      <c r="Q8">
        <v>2.0499999999999998</v>
      </c>
      <c r="R8">
        <v>2.0099999999999998</v>
      </c>
      <c r="S8">
        <v>1.24</v>
      </c>
      <c r="T8">
        <v>1.27</v>
      </c>
      <c r="U8">
        <v>0.87</v>
      </c>
      <c r="V8">
        <v>1.28</v>
      </c>
      <c r="W8">
        <v>0.81</v>
      </c>
      <c r="X8">
        <v>0.96</v>
      </c>
      <c r="Y8">
        <v>0.33</v>
      </c>
      <c r="Z8">
        <v>0.52</v>
      </c>
      <c r="AA8">
        <v>0.72</v>
      </c>
    </row>
    <row r="9" spans="1:30" x14ac:dyDescent="0.3">
      <c r="A9" t="s">
        <v>136</v>
      </c>
      <c r="B9">
        <v>0</v>
      </c>
      <c r="C9">
        <v>6240</v>
      </c>
      <c r="AC9">
        <v>6240</v>
      </c>
      <c r="AD9">
        <v>6240</v>
      </c>
    </row>
    <row r="10" spans="1:30" x14ac:dyDescent="0.3">
      <c r="A10" t="s">
        <v>137</v>
      </c>
      <c r="B10">
        <v>0</v>
      </c>
      <c r="C10">
        <v>6240</v>
      </c>
      <c r="D10">
        <v>13919.999999999998</v>
      </c>
      <c r="AC10">
        <v>20160</v>
      </c>
      <c r="AD10">
        <v>26400</v>
      </c>
    </row>
    <row r="11" spans="1:30" x14ac:dyDescent="0.3">
      <c r="A11" t="s">
        <v>138</v>
      </c>
      <c r="B11">
        <v>0</v>
      </c>
      <c r="C11">
        <v>6240</v>
      </c>
      <c r="D11">
        <v>13919.999999999998</v>
      </c>
      <c r="E11">
        <v>15480</v>
      </c>
      <c r="AC11">
        <v>35640</v>
      </c>
      <c r="AD11">
        <v>62040</v>
      </c>
    </row>
    <row r="12" spans="1:30" x14ac:dyDescent="0.3">
      <c r="A12" t="s">
        <v>139</v>
      </c>
      <c r="B12">
        <v>0</v>
      </c>
      <c r="C12">
        <v>6240</v>
      </c>
      <c r="D12">
        <v>13919.999999999998</v>
      </c>
      <c r="E12">
        <v>15480</v>
      </c>
      <c r="F12">
        <v>27359.999999999996</v>
      </c>
      <c r="AC12">
        <v>63000</v>
      </c>
      <c r="AD12">
        <v>125040</v>
      </c>
    </row>
    <row r="13" spans="1:30" x14ac:dyDescent="0.3">
      <c r="A13" t="s">
        <v>140</v>
      </c>
      <c r="B13">
        <v>0</v>
      </c>
      <c r="C13">
        <v>6240</v>
      </c>
      <c r="D13">
        <v>13919.999999999998</v>
      </c>
      <c r="E13">
        <v>15480</v>
      </c>
      <c r="F13">
        <v>27359.999999999996</v>
      </c>
      <c r="G13">
        <v>37680</v>
      </c>
      <c r="AC13">
        <v>100680</v>
      </c>
      <c r="AD13">
        <v>225720</v>
      </c>
    </row>
    <row r="14" spans="1:30" x14ac:dyDescent="0.3">
      <c r="A14" t="s">
        <v>141</v>
      </c>
      <c r="B14">
        <v>0</v>
      </c>
      <c r="C14">
        <v>6240</v>
      </c>
      <c r="D14">
        <v>13919.999999999998</v>
      </c>
      <c r="E14">
        <v>15480</v>
      </c>
      <c r="F14">
        <v>27359.999999999996</v>
      </c>
      <c r="G14">
        <v>37680</v>
      </c>
      <c r="H14">
        <v>10800</v>
      </c>
      <c r="AC14">
        <v>111480</v>
      </c>
      <c r="AD14">
        <v>337200</v>
      </c>
    </row>
    <row r="15" spans="1:30" x14ac:dyDescent="0.3">
      <c r="A15" t="s">
        <v>142</v>
      </c>
      <c r="B15">
        <v>0</v>
      </c>
      <c r="C15">
        <v>6240</v>
      </c>
      <c r="D15">
        <v>13919.999999999998</v>
      </c>
      <c r="E15">
        <v>15480</v>
      </c>
      <c r="F15">
        <v>27359.999999999996</v>
      </c>
      <c r="G15">
        <v>37680</v>
      </c>
      <c r="H15">
        <v>10800</v>
      </c>
      <c r="I15">
        <v>10800</v>
      </c>
      <c r="AC15">
        <v>122280</v>
      </c>
      <c r="AD15">
        <v>459480</v>
      </c>
    </row>
    <row r="16" spans="1:30" x14ac:dyDescent="0.3">
      <c r="A16" t="s">
        <v>143</v>
      </c>
      <c r="B16">
        <v>0</v>
      </c>
      <c r="C16">
        <v>6240</v>
      </c>
      <c r="D16">
        <v>13919.999999999998</v>
      </c>
      <c r="E16">
        <v>15480</v>
      </c>
      <c r="F16">
        <v>27359.999999999996</v>
      </c>
      <c r="G16">
        <v>37680</v>
      </c>
      <c r="H16">
        <v>10800</v>
      </c>
      <c r="I16">
        <v>10800</v>
      </c>
      <c r="J16">
        <v>10800</v>
      </c>
      <c r="AC16">
        <v>133080</v>
      </c>
      <c r="AD16">
        <v>592560</v>
      </c>
    </row>
    <row r="17" spans="1:30" x14ac:dyDescent="0.3">
      <c r="A17" t="s">
        <v>144</v>
      </c>
      <c r="B17">
        <v>0</v>
      </c>
      <c r="C17">
        <v>6240</v>
      </c>
      <c r="D17">
        <v>13919.999999999998</v>
      </c>
      <c r="E17">
        <v>15480</v>
      </c>
      <c r="F17">
        <v>27359.999999999996</v>
      </c>
      <c r="G17">
        <v>37680</v>
      </c>
      <c r="H17">
        <v>10800</v>
      </c>
      <c r="I17">
        <v>10800</v>
      </c>
      <c r="J17">
        <v>10800</v>
      </c>
      <c r="K17">
        <v>23160</v>
      </c>
      <c r="AC17">
        <v>156240</v>
      </c>
      <c r="AD17">
        <v>748800</v>
      </c>
    </row>
    <row r="18" spans="1:30" x14ac:dyDescent="0.3">
      <c r="A18" t="s">
        <v>145</v>
      </c>
      <c r="B18">
        <v>0</v>
      </c>
      <c r="C18">
        <v>6240</v>
      </c>
      <c r="D18">
        <v>13919.999999999998</v>
      </c>
      <c r="E18">
        <v>15480</v>
      </c>
      <c r="F18">
        <v>27359.999999999996</v>
      </c>
      <c r="G18">
        <v>37680</v>
      </c>
      <c r="H18">
        <v>10800</v>
      </c>
      <c r="I18">
        <v>10800</v>
      </c>
      <c r="J18">
        <v>10800</v>
      </c>
      <c r="K18">
        <v>23160</v>
      </c>
      <c r="L18">
        <v>25680</v>
      </c>
      <c r="AC18">
        <v>181920</v>
      </c>
      <c r="AD18">
        <v>930720</v>
      </c>
    </row>
    <row r="19" spans="1:30" x14ac:dyDescent="0.3">
      <c r="A19" t="s">
        <v>146</v>
      </c>
      <c r="B19">
        <v>0</v>
      </c>
      <c r="C19">
        <v>6240</v>
      </c>
      <c r="D19">
        <v>13919.999999999998</v>
      </c>
      <c r="E19">
        <v>15480</v>
      </c>
      <c r="F19">
        <v>27359.999999999996</v>
      </c>
      <c r="G19">
        <v>37680</v>
      </c>
      <c r="H19">
        <v>10800</v>
      </c>
      <c r="I19">
        <v>10800</v>
      </c>
      <c r="J19">
        <v>10800</v>
      </c>
      <c r="K19">
        <v>23160</v>
      </c>
      <c r="L19">
        <v>25680</v>
      </c>
      <c r="M19">
        <v>25680</v>
      </c>
      <c r="AC19">
        <v>207600</v>
      </c>
      <c r="AD19">
        <v>1138320</v>
      </c>
    </row>
    <row r="20" spans="1:30" x14ac:dyDescent="0.3">
      <c r="A20" t="s">
        <v>147</v>
      </c>
      <c r="B20">
        <v>0</v>
      </c>
      <c r="C20">
        <v>6240</v>
      </c>
      <c r="D20">
        <v>13919.999999999998</v>
      </c>
      <c r="E20">
        <v>15480</v>
      </c>
      <c r="F20">
        <v>27359.999999999996</v>
      </c>
      <c r="G20">
        <v>37680</v>
      </c>
      <c r="H20">
        <v>10800</v>
      </c>
      <c r="I20">
        <v>10800</v>
      </c>
      <c r="J20">
        <v>10800</v>
      </c>
      <c r="K20">
        <v>23160</v>
      </c>
      <c r="L20">
        <v>25680</v>
      </c>
      <c r="M20">
        <v>25680</v>
      </c>
      <c r="N20">
        <v>25680</v>
      </c>
      <c r="AC20">
        <v>233280</v>
      </c>
      <c r="AD20">
        <v>1371600</v>
      </c>
    </row>
    <row r="21" spans="1:30" x14ac:dyDescent="0.3">
      <c r="A21" t="s">
        <v>148</v>
      </c>
      <c r="B21">
        <v>0</v>
      </c>
      <c r="C21">
        <v>6240</v>
      </c>
      <c r="D21">
        <v>13919.999999999998</v>
      </c>
      <c r="E21">
        <v>15480</v>
      </c>
      <c r="F21">
        <v>27359.999999999996</v>
      </c>
      <c r="G21">
        <v>37680</v>
      </c>
      <c r="H21">
        <v>10800</v>
      </c>
      <c r="I21">
        <v>10800</v>
      </c>
      <c r="J21">
        <v>10800</v>
      </c>
      <c r="K21">
        <v>23160</v>
      </c>
      <c r="L21">
        <v>25680</v>
      </c>
      <c r="M21">
        <v>25680</v>
      </c>
      <c r="N21">
        <v>25680</v>
      </c>
      <c r="O21">
        <v>15000</v>
      </c>
      <c r="AC21">
        <v>248280</v>
      </c>
      <c r="AD21">
        <v>1619880</v>
      </c>
    </row>
    <row r="22" spans="1:30" x14ac:dyDescent="0.3">
      <c r="A22" t="s">
        <v>149</v>
      </c>
      <c r="B22">
        <v>0</v>
      </c>
      <c r="C22">
        <v>6240</v>
      </c>
      <c r="D22">
        <v>13919.999999999998</v>
      </c>
      <c r="E22">
        <v>15480</v>
      </c>
      <c r="F22">
        <v>27359.999999999996</v>
      </c>
      <c r="G22">
        <v>37680</v>
      </c>
      <c r="H22">
        <v>10800</v>
      </c>
      <c r="I22">
        <v>10800</v>
      </c>
      <c r="J22">
        <v>10800</v>
      </c>
      <c r="K22">
        <v>23160</v>
      </c>
      <c r="L22">
        <v>25680</v>
      </c>
      <c r="M22">
        <v>25680</v>
      </c>
      <c r="N22">
        <v>25680</v>
      </c>
      <c r="O22">
        <v>15000</v>
      </c>
      <c r="P22">
        <v>21120</v>
      </c>
      <c r="AC22">
        <v>269400</v>
      </c>
      <c r="AD22">
        <v>1889280</v>
      </c>
    </row>
    <row r="23" spans="1:30" x14ac:dyDescent="0.3">
      <c r="A23" t="s">
        <v>150</v>
      </c>
      <c r="B23">
        <v>0</v>
      </c>
      <c r="C23">
        <v>6240</v>
      </c>
      <c r="D23">
        <v>13919.999999999998</v>
      </c>
      <c r="E23">
        <v>15480</v>
      </c>
      <c r="F23">
        <v>27359.999999999996</v>
      </c>
      <c r="G23">
        <v>37680</v>
      </c>
      <c r="H23">
        <v>10800</v>
      </c>
      <c r="I23">
        <v>10800</v>
      </c>
      <c r="J23">
        <v>10800</v>
      </c>
      <c r="K23">
        <v>23160</v>
      </c>
      <c r="L23">
        <v>25680</v>
      </c>
      <c r="M23">
        <v>25680</v>
      </c>
      <c r="N23">
        <v>25680</v>
      </c>
      <c r="O23">
        <v>15000</v>
      </c>
      <c r="P23">
        <v>21120</v>
      </c>
      <c r="Q23">
        <v>24599.999999999996</v>
      </c>
      <c r="AC23">
        <v>294000</v>
      </c>
      <c r="AD23">
        <v>2183280</v>
      </c>
    </row>
    <row r="24" spans="1:30" x14ac:dyDescent="0.3">
      <c r="A24" t="s">
        <v>151</v>
      </c>
      <c r="B24">
        <v>0</v>
      </c>
      <c r="C24">
        <v>6240</v>
      </c>
      <c r="D24">
        <v>13919.999999999998</v>
      </c>
      <c r="E24">
        <v>15480</v>
      </c>
      <c r="F24">
        <v>27359.999999999996</v>
      </c>
      <c r="G24">
        <v>37680</v>
      </c>
      <c r="H24">
        <v>10800</v>
      </c>
      <c r="I24">
        <v>10800</v>
      </c>
      <c r="J24">
        <v>10800</v>
      </c>
      <c r="K24">
        <v>23160</v>
      </c>
      <c r="L24">
        <v>25680</v>
      </c>
      <c r="M24">
        <v>25680</v>
      </c>
      <c r="N24">
        <v>25680</v>
      </c>
      <c r="O24">
        <v>15000</v>
      </c>
      <c r="P24">
        <v>21120</v>
      </c>
      <c r="Q24">
        <v>24599.999999999996</v>
      </c>
      <c r="R24">
        <v>24119.999999999996</v>
      </c>
      <c r="AC24">
        <v>318120</v>
      </c>
      <c r="AD24">
        <v>2501400</v>
      </c>
    </row>
    <row r="25" spans="1:30" x14ac:dyDescent="0.3">
      <c r="A25" t="s">
        <v>152</v>
      </c>
      <c r="B25">
        <v>0</v>
      </c>
      <c r="C25">
        <v>6240</v>
      </c>
      <c r="D25">
        <v>13919.999999999998</v>
      </c>
      <c r="E25">
        <v>15480</v>
      </c>
      <c r="F25">
        <v>27359.999999999996</v>
      </c>
      <c r="G25">
        <v>37680</v>
      </c>
      <c r="H25">
        <v>10800</v>
      </c>
      <c r="I25">
        <v>10800</v>
      </c>
      <c r="J25">
        <v>10800</v>
      </c>
      <c r="K25">
        <v>23160</v>
      </c>
      <c r="L25">
        <v>25680</v>
      </c>
      <c r="M25">
        <v>25680</v>
      </c>
      <c r="N25">
        <v>25680</v>
      </c>
      <c r="O25">
        <v>15000</v>
      </c>
      <c r="P25">
        <v>21120</v>
      </c>
      <c r="Q25">
        <v>24599.999999999996</v>
      </c>
      <c r="R25">
        <v>24119.999999999996</v>
      </c>
      <c r="S25">
        <v>14880</v>
      </c>
      <c r="AC25">
        <v>333000</v>
      </c>
      <c r="AD25">
        <v>2834400</v>
      </c>
    </row>
    <row r="26" spans="1:30" x14ac:dyDescent="0.3">
      <c r="A26" t="s">
        <v>153</v>
      </c>
      <c r="B26">
        <v>0</v>
      </c>
      <c r="C26">
        <v>6240</v>
      </c>
      <c r="D26">
        <v>13919.999999999998</v>
      </c>
      <c r="E26">
        <v>15480</v>
      </c>
      <c r="F26">
        <v>27359.999999999996</v>
      </c>
      <c r="G26">
        <v>37680</v>
      </c>
      <c r="H26">
        <v>10800</v>
      </c>
      <c r="I26">
        <v>10800</v>
      </c>
      <c r="J26">
        <v>10800</v>
      </c>
      <c r="K26">
        <v>23160</v>
      </c>
      <c r="L26">
        <v>25680</v>
      </c>
      <c r="M26">
        <v>25680</v>
      </c>
      <c r="N26">
        <v>25680</v>
      </c>
      <c r="O26">
        <v>15000</v>
      </c>
      <c r="P26">
        <v>21120</v>
      </c>
      <c r="Q26">
        <v>24599.999999999996</v>
      </c>
      <c r="R26">
        <v>24119.999999999996</v>
      </c>
      <c r="S26">
        <v>14880</v>
      </c>
      <c r="T26">
        <v>15240</v>
      </c>
      <c r="AC26">
        <v>348240</v>
      </c>
      <c r="AD26">
        <v>3182640</v>
      </c>
    </row>
    <row r="27" spans="1:30" x14ac:dyDescent="0.3">
      <c r="A27" t="s">
        <v>154</v>
      </c>
      <c r="B27">
        <v>0</v>
      </c>
      <c r="C27">
        <v>6240</v>
      </c>
      <c r="D27">
        <v>13919.999999999998</v>
      </c>
      <c r="E27">
        <v>15480</v>
      </c>
      <c r="F27">
        <v>27359.999999999996</v>
      </c>
      <c r="G27">
        <v>37680</v>
      </c>
      <c r="H27">
        <v>10800</v>
      </c>
      <c r="I27">
        <v>10800</v>
      </c>
      <c r="J27">
        <v>10800</v>
      </c>
      <c r="K27">
        <v>23160</v>
      </c>
      <c r="L27">
        <v>25680</v>
      </c>
      <c r="M27">
        <v>25680</v>
      </c>
      <c r="N27">
        <v>25680</v>
      </c>
      <c r="O27">
        <v>15000</v>
      </c>
      <c r="P27">
        <v>21120</v>
      </c>
      <c r="Q27">
        <v>24599.999999999996</v>
      </c>
      <c r="R27">
        <v>24119.999999999996</v>
      </c>
      <c r="S27">
        <v>14880</v>
      </c>
      <c r="T27">
        <v>15240</v>
      </c>
      <c r="U27">
        <v>10440</v>
      </c>
      <c r="AC27">
        <v>358680</v>
      </c>
      <c r="AD27">
        <v>3541320</v>
      </c>
    </row>
    <row r="28" spans="1:30" x14ac:dyDescent="0.3">
      <c r="A28" t="s">
        <v>155</v>
      </c>
      <c r="B28">
        <v>0</v>
      </c>
      <c r="C28">
        <v>6240</v>
      </c>
      <c r="D28">
        <v>13919.999999999998</v>
      </c>
      <c r="E28">
        <v>15480</v>
      </c>
      <c r="F28">
        <v>27359.999999999996</v>
      </c>
      <c r="G28">
        <v>37680</v>
      </c>
      <c r="H28">
        <v>10800</v>
      </c>
      <c r="I28">
        <v>10800</v>
      </c>
      <c r="J28">
        <v>10800</v>
      </c>
      <c r="K28">
        <v>23160</v>
      </c>
      <c r="L28">
        <v>25680</v>
      </c>
      <c r="M28">
        <v>25680</v>
      </c>
      <c r="N28">
        <v>25680</v>
      </c>
      <c r="O28">
        <v>15000</v>
      </c>
      <c r="P28">
        <v>21120</v>
      </c>
      <c r="Q28">
        <v>24599.999999999996</v>
      </c>
      <c r="R28">
        <v>24119.999999999996</v>
      </c>
      <c r="S28">
        <v>14880</v>
      </c>
      <c r="T28">
        <v>15240</v>
      </c>
      <c r="U28">
        <v>10440</v>
      </c>
      <c r="V28">
        <v>15360</v>
      </c>
      <c r="AC28">
        <v>374040</v>
      </c>
      <c r="AD28">
        <v>3915360</v>
      </c>
    </row>
    <row r="29" spans="1:30" x14ac:dyDescent="0.3">
      <c r="A29" t="s">
        <v>156</v>
      </c>
      <c r="B29">
        <v>0</v>
      </c>
      <c r="C29">
        <v>6240</v>
      </c>
      <c r="D29">
        <v>13919.999999999998</v>
      </c>
      <c r="E29">
        <v>15480</v>
      </c>
      <c r="F29">
        <v>27359.999999999996</v>
      </c>
      <c r="G29">
        <v>37680</v>
      </c>
      <c r="H29">
        <v>10800</v>
      </c>
      <c r="I29">
        <v>10800</v>
      </c>
      <c r="J29">
        <v>10800</v>
      </c>
      <c r="K29">
        <v>23160</v>
      </c>
      <c r="L29">
        <v>25680</v>
      </c>
      <c r="M29">
        <v>25680</v>
      </c>
      <c r="N29">
        <v>25680</v>
      </c>
      <c r="O29">
        <v>15000</v>
      </c>
      <c r="P29">
        <v>21120</v>
      </c>
      <c r="Q29">
        <v>24599.999999999996</v>
      </c>
      <c r="R29">
        <v>24119.999999999996</v>
      </c>
      <c r="S29">
        <v>14880</v>
      </c>
      <c r="T29">
        <v>15240</v>
      </c>
      <c r="U29">
        <v>10440</v>
      </c>
      <c r="V29">
        <v>15360</v>
      </c>
      <c r="W29">
        <v>9720</v>
      </c>
      <c r="AC29">
        <v>383760</v>
      </c>
      <c r="AD29">
        <v>4299120</v>
      </c>
    </row>
    <row r="30" spans="1:30" x14ac:dyDescent="0.3">
      <c r="A30" t="s">
        <v>157</v>
      </c>
      <c r="B30">
        <v>0</v>
      </c>
      <c r="C30">
        <v>6240</v>
      </c>
      <c r="D30">
        <v>13919.999999999998</v>
      </c>
      <c r="E30">
        <v>15480</v>
      </c>
      <c r="F30">
        <v>27359.999999999996</v>
      </c>
      <c r="G30">
        <v>37680</v>
      </c>
      <c r="H30">
        <v>10800</v>
      </c>
      <c r="I30">
        <v>10800</v>
      </c>
      <c r="J30">
        <v>10800</v>
      </c>
      <c r="K30">
        <v>23160</v>
      </c>
      <c r="L30">
        <v>25680</v>
      </c>
      <c r="M30">
        <v>25680</v>
      </c>
      <c r="N30">
        <v>25680</v>
      </c>
      <c r="O30">
        <v>15000</v>
      </c>
      <c r="P30">
        <v>21120</v>
      </c>
      <c r="Q30">
        <v>24599.999999999996</v>
      </c>
      <c r="R30">
        <v>24119.999999999996</v>
      </c>
      <c r="S30">
        <v>14880</v>
      </c>
      <c r="T30">
        <v>15240</v>
      </c>
      <c r="U30">
        <v>10440</v>
      </c>
      <c r="V30">
        <v>15360</v>
      </c>
      <c r="W30">
        <v>9720</v>
      </c>
      <c r="X30">
        <v>11520</v>
      </c>
      <c r="AC30">
        <v>395280</v>
      </c>
      <c r="AD30">
        <v>4694400</v>
      </c>
    </row>
    <row r="31" spans="1:30" x14ac:dyDescent="0.3">
      <c r="A31" t="s">
        <v>158</v>
      </c>
      <c r="B31">
        <v>0</v>
      </c>
      <c r="C31">
        <v>6240</v>
      </c>
      <c r="D31">
        <v>13919.999999999998</v>
      </c>
      <c r="E31">
        <v>15480</v>
      </c>
      <c r="F31">
        <v>27359.999999999996</v>
      </c>
      <c r="G31">
        <v>37680</v>
      </c>
      <c r="H31">
        <v>10800</v>
      </c>
      <c r="I31">
        <v>10800</v>
      </c>
      <c r="J31">
        <v>10800</v>
      </c>
      <c r="K31">
        <v>23160</v>
      </c>
      <c r="L31">
        <v>25680</v>
      </c>
      <c r="M31">
        <v>25680</v>
      </c>
      <c r="N31">
        <v>25680</v>
      </c>
      <c r="O31">
        <v>15000</v>
      </c>
      <c r="P31">
        <v>21120</v>
      </c>
      <c r="Q31">
        <v>24599.999999999996</v>
      </c>
      <c r="R31">
        <v>24119.999999999996</v>
      </c>
      <c r="S31">
        <v>14880</v>
      </c>
      <c r="T31">
        <v>15240</v>
      </c>
      <c r="U31">
        <v>10440</v>
      </c>
      <c r="V31">
        <v>15360</v>
      </c>
      <c r="W31">
        <v>9720</v>
      </c>
      <c r="X31">
        <v>11520</v>
      </c>
      <c r="Y31">
        <v>3960</v>
      </c>
      <c r="AC31">
        <v>399240</v>
      </c>
      <c r="AD31">
        <v>5093640</v>
      </c>
    </row>
    <row r="32" spans="1:30" x14ac:dyDescent="0.3">
      <c r="A32" t="s">
        <v>159</v>
      </c>
      <c r="B32">
        <v>0</v>
      </c>
      <c r="C32">
        <v>6240</v>
      </c>
      <c r="D32">
        <v>13919.999999999998</v>
      </c>
      <c r="E32">
        <v>15480</v>
      </c>
      <c r="F32">
        <v>27359.999999999996</v>
      </c>
      <c r="G32">
        <v>37680</v>
      </c>
      <c r="H32">
        <v>10800</v>
      </c>
      <c r="I32">
        <v>10800</v>
      </c>
      <c r="J32">
        <v>10800</v>
      </c>
      <c r="K32">
        <v>23160</v>
      </c>
      <c r="L32">
        <v>25680</v>
      </c>
      <c r="M32">
        <v>25680</v>
      </c>
      <c r="N32">
        <v>25680</v>
      </c>
      <c r="O32">
        <v>15000</v>
      </c>
      <c r="P32">
        <v>21120</v>
      </c>
      <c r="Q32">
        <v>24599.999999999996</v>
      </c>
      <c r="R32">
        <v>24119.999999999996</v>
      </c>
      <c r="S32">
        <v>14880</v>
      </c>
      <c r="T32">
        <v>15240</v>
      </c>
      <c r="U32">
        <v>10440</v>
      </c>
      <c r="V32">
        <v>15360</v>
      </c>
      <c r="W32">
        <v>9720</v>
      </c>
      <c r="X32">
        <v>11520</v>
      </c>
      <c r="Y32">
        <v>3960</v>
      </c>
      <c r="Z32">
        <v>6240</v>
      </c>
      <c r="AC32">
        <v>405480</v>
      </c>
      <c r="AD32">
        <v>5499120</v>
      </c>
    </row>
    <row r="33" spans="1:30" x14ac:dyDescent="0.3">
      <c r="A33" t="s">
        <v>160</v>
      </c>
      <c r="B33">
        <v>0</v>
      </c>
      <c r="C33">
        <v>6240</v>
      </c>
      <c r="D33">
        <v>13919.999999999998</v>
      </c>
      <c r="E33">
        <v>15480</v>
      </c>
      <c r="F33">
        <v>27359.999999999996</v>
      </c>
      <c r="G33">
        <v>37680</v>
      </c>
      <c r="H33">
        <v>10800</v>
      </c>
      <c r="I33">
        <v>10800</v>
      </c>
      <c r="J33">
        <v>10800</v>
      </c>
      <c r="K33">
        <v>23160</v>
      </c>
      <c r="L33">
        <v>25680</v>
      </c>
      <c r="M33">
        <v>25680</v>
      </c>
      <c r="N33">
        <v>25680</v>
      </c>
      <c r="O33">
        <v>15000</v>
      </c>
      <c r="P33">
        <v>21120</v>
      </c>
      <c r="Q33">
        <v>24599.999999999996</v>
      </c>
      <c r="R33">
        <v>24119.999999999996</v>
      </c>
      <c r="S33">
        <v>14880</v>
      </c>
      <c r="T33">
        <v>15240</v>
      </c>
      <c r="U33">
        <v>10440</v>
      </c>
      <c r="V33">
        <v>15360</v>
      </c>
      <c r="W33">
        <v>9720</v>
      </c>
      <c r="X33">
        <v>11520</v>
      </c>
      <c r="Y33">
        <v>3960</v>
      </c>
      <c r="Z33">
        <v>6240</v>
      </c>
      <c r="AA33">
        <v>8640</v>
      </c>
      <c r="AC33">
        <v>414120</v>
      </c>
      <c r="AD33">
        <v>5913240</v>
      </c>
    </row>
    <row r="34" spans="1:30" x14ac:dyDescent="0.3">
      <c r="A34" t="s">
        <v>161</v>
      </c>
      <c r="AC34">
        <v>5913240</v>
      </c>
      <c r="AD34">
        <v>21701590.800000001</v>
      </c>
    </row>
    <row r="35" spans="1:30" x14ac:dyDescent="0.3">
      <c r="AC35">
        <v>5.9132400000000001</v>
      </c>
      <c r="AD35">
        <v>21.701590800000002</v>
      </c>
    </row>
    <row r="36" spans="1:30" x14ac:dyDescent="0.3">
      <c r="A36" t="s">
        <v>162</v>
      </c>
    </row>
    <row r="37" spans="1:30" x14ac:dyDescent="0.3">
      <c r="A37" t="s">
        <v>163</v>
      </c>
      <c r="B37">
        <v>0</v>
      </c>
      <c r="C37">
        <v>1622.4</v>
      </c>
      <c r="AC37">
        <v>1622.4</v>
      </c>
      <c r="AD37">
        <v>1622.4</v>
      </c>
    </row>
    <row r="38" spans="1:30" x14ac:dyDescent="0.3">
      <c r="A38" t="s">
        <v>164</v>
      </c>
      <c r="B38">
        <v>0</v>
      </c>
      <c r="C38">
        <v>1622.4</v>
      </c>
      <c r="D38">
        <v>3619.2</v>
      </c>
      <c r="AC38">
        <v>5241.6000000000004</v>
      </c>
      <c r="AD38">
        <v>6864</v>
      </c>
    </row>
    <row r="39" spans="1:30" x14ac:dyDescent="0.3">
      <c r="A39" t="s">
        <v>138</v>
      </c>
      <c r="B39">
        <v>0</v>
      </c>
      <c r="C39">
        <v>1622.4</v>
      </c>
      <c r="D39">
        <v>3619.2</v>
      </c>
      <c r="E39">
        <v>4024.8</v>
      </c>
      <c r="AC39">
        <v>9266.4000000000015</v>
      </c>
      <c r="AD39">
        <v>16130.400000000001</v>
      </c>
    </row>
    <row r="40" spans="1:30" x14ac:dyDescent="0.3">
      <c r="A40" t="s">
        <v>139</v>
      </c>
      <c r="B40">
        <v>0</v>
      </c>
      <c r="C40">
        <v>1622.4</v>
      </c>
      <c r="D40">
        <v>3619.2</v>
      </c>
      <c r="E40">
        <v>4024.8</v>
      </c>
      <c r="F40">
        <v>7113.6</v>
      </c>
      <c r="AC40">
        <v>16380.000000000002</v>
      </c>
      <c r="AD40">
        <v>32510.400000000001</v>
      </c>
    </row>
    <row r="41" spans="1:30" x14ac:dyDescent="0.3">
      <c r="A41" t="s">
        <v>140</v>
      </c>
      <c r="B41">
        <v>0</v>
      </c>
      <c r="C41">
        <v>1622.4</v>
      </c>
      <c r="D41">
        <v>3619.2</v>
      </c>
      <c r="E41">
        <v>4024.8</v>
      </c>
      <c r="F41">
        <v>7113.6</v>
      </c>
      <c r="G41">
        <v>9796.7999999999993</v>
      </c>
      <c r="AC41">
        <v>26176.800000000003</v>
      </c>
      <c r="AD41">
        <v>58687.200000000004</v>
      </c>
    </row>
    <row r="42" spans="1:30" x14ac:dyDescent="0.3">
      <c r="A42" t="s">
        <v>141</v>
      </c>
      <c r="B42">
        <v>0</v>
      </c>
      <c r="C42">
        <v>1622.4</v>
      </c>
      <c r="D42">
        <v>3619.2</v>
      </c>
      <c r="E42">
        <v>4024.8</v>
      </c>
      <c r="F42">
        <v>7113.6</v>
      </c>
      <c r="G42">
        <v>9796.7999999999993</v>
      </c>
      <c r="H42">
        <v>2808</v>
      </c>
      <c r="AC42">
        <v>28984.800000000003</v>
      </c>
      <c r="AD42">
        <v>87672</v>
      </c>
    </row>
    <row r="43" spans="1:30" x14ac:dyDescent="0.3">
      <c r="A43" t="s">
        <v>142</v>
      </c>
      <c r="B43">
        <v>0</v>
      </c>
      <c r="C43">
        <v>1622.4</v>
      </c>
      <c r="D43">
        <v>3619.2</v>
      </c>
      <c r="E43">
        <v>4024.8</v>
      </c>
      <c r="F43">
        <v>7113.6</v>
      </c>
      <c r="G43">
        <v>9796.7999999999993</v>
      </c>
      <c r="H43">
        <v>2808</v>
      </c>
      <c r="I43">
        <v>2808</v>
      </c>
      <c r="AC43">
        <v>31792.800000000003</v>
      </c>
      <c r="AD43">
        <v>119464.8</v>
      </c>
    </row>
    <row r="44" spans="1:30" x14ac:dyDescent="0.3">
      <c r="A44" t="s">
        <v>143</v>
      </c>
      <c r="B44">
        <v>0</v>
      </c>
      <c r="C44">
        <v>1622.4</v>
      </c>
      <c r="D44">
        <v>3619.2</v>
      </c>
      <c r="E44">
        <v>4024.8</v>
      </c>
      <c r="F44">
        <v>7113.6</v>
      </c>
      <c r="G44">
        <v>9796.7999999999993</v>
      </c>
      <c r="H44">
        <v>2808</v>
      </c>
      <c r="I44">
        <v>2808</v>
      </c>
      <c r="J44">
        <v>2808</v>
      </c>
      <c r="AC44">
        <v>34600.800000000003</v>
      </c>
      <c r="AD44">
        <v>154065.60000000001</v>
      </c>
    </row>
    <row r="45" spans="1:30" x14ac:dyDescent="0.3">
      <c r="A45" t="s">
        <v>144</v>
      </c>
      <c r="B45">
        <v>0</v>
      </c>
      <c r="C45">
        <v>1622.4</v>
      </c>
      <c r="D45">
        <v>3619.2</v>
      </c>
      <c r="E45">
        <v>4024.8</v>
      </c>
      <c r="F45">
        <v>7113.6</v>
      </c>
      <c r="G45">
        <v>9796.7999999999993</v>
      </c>
      <c r="H45">
        <v>2808</v>
      </c>
      <c r="I45">
        <v>2808</v>
      </c>
      <c r="J45">
        <v>2808</v>
      </c>
      <c r="K45">
        <v>6021.6</v>
      </c>
      <c r="AC45">
        <v>40622.400000000001</v>
      </c>
      <c r="AD45">
        <v>194688</v>
      </c>
    </row>
    <row r="46" spans="1:30" x14ac:dyDescent="0.3">
      <c r="A46" t="s">
        <v>145</v>
      </c>
      <c r="B46">
        <v>0</v>
      </c>
      <c r="C46">
        <v>1622.4</v>
      </c>
      <c r="D46">
        <v>3619.2</v>
      </c>
      <c r="E46">
        <v>4024.8</v>
      </c>
      <c r="F46">
        <v>7113.6</v>
      </c>
      <c r="G46">
        <v>9796.7999999999993</v>
      </c>
      <c r="H46">
        <v>2808</v>
      </c>
      <c r="I46">
        <v>2808</v>
      </c>
      <c r="J46">
        <v>2808</v>
      </c>
      <c r="K46">
        <v>6021.6</v>
      </c>
      <c r="L46">
        <v>6676.8</v>
      </c>
      <c r="AC46">
        <v>47299.200000000004</v>
      </c>
      <c r="AD46">
        <v>241987.20000000001</v>
      </c>
    </row>
    <row r="47" spans="1:30" x14ac:dyDescent="0.3">
      <c r="A47" t="s">
        <v>146</v>
      </c>
      <c r="B47">
        <v>0</v>
      </c>
      <c r="C47">
        <v>1622.4</v>
      </c>
      <c r="D47">
        <v>3619.2</v>
      </c>
      <c r="E47">
        <v>4024.8</v>
      </c>
      <c r="F47">
        <v>7113.6</v>
      </c>
      <c r="G47">
        <v>9796.7999999999993</v>
      </c>
      <c r="H47">
        <v>2808</v>
      </c>
      <c r="I47">
        <v>2808</v>
      </c>
      <c r="J47">
        <v>2808</v>
      </c>
      <c r="K47">
        <v>6021.6</v>
      </c>
      <c r="L47">
        <v>6676.8</v>
      </c>
      <c r="M47">
        <v>6676.8</v>
      </c>
      <c r="AC47">
        <v>53976.000000000007</v>
      </c>
      <c r="AD47">
        <v>295963.2</v>
      </c>
    </row>
    <row r="48" spans="1:30" x14ac:dyDescent="0.3">
      <c r="A48" t="s">
        <v>147</v>
      </c>
      <c r="B48">
        <v>0</v>
      </c>
      <c r="C48">
        <v>1622.4</v>
      </c>
      <c r="D48">
        <v>3619.2</v>
      </c>
      <c r="E48">
        <v>4024.8</v>
      </c>
      <c r="F48">
        <v>7113.6</v>
      </c>
      <c r="G48">
        <v>9796.7999999999993</v>
      </c>
      <c r="H48">
        <v>2808</v>
      </c>
      <c r="I48">
        <v>2808</v>
      </c>
      <c r="J48">
        <v>2808</v>
      </c>
      <c r="K48">
        <v>6021.6</v>
      </c>
      <c r="L48">
        <v>6676.8</v>
      </c>
      <c r="M48">
        <v>6676.8</v>
      </c>
      <c r="N48">
        <v>6676.8</v>
      </c>
      <c r="AC48">
        <v>60652.80000000001</v>
      </c>
      <c r="AD48">
        <v>356616</v>
      </c>
    </row>
    <row r="49" spans="1:30" x14ac:dyDescent="0.3">
      <c r="A49" t="s">
        <v>148</v>
      </c>
      <c r="B49">
        <v>0</v>
      </c>
      <c r="C49">
        <v>1622.4</v>
      </c>
      <c r="D49">
        <v>3619.2</v>
      </c>
      <c r="E49">
        <v>4024.8</v>
      </c>
      <c r="F49">
        <v>7113.6</v>
      </c>
      <c r="G49">
        <v>9796.7999999999993</v>
      </c>
      <c r="H49">
        <v>2808</v>
      </c>
      <c r="I49">
        <v>2808</v>
      </c>
      <c r="J49">
        <v>2808</v>
      </c>
      <c r="K49">
        <v>6021.6</v>
      </c>
      <c r="L49">
        <v>6676.8</v>
      </c>
      <c r="M49">
        <v>6676.8</v>
      </c>
      <c r="N49">
        <v>6676.8</v>
      </c>
      <c r="O49">
        <v>3900</v>
      </c>
      <c r="AC49">
        <v>64552.80000000001</v>
      </c>
      <c r="AD49">
        <v>421168.8</v>
      </c>
    </row>
    <row r="50" spans="1:30" x14ac:dyDescent="0.3">
      <c r="A50" t="s">
        <v>149</v>
      </c>
      <c r="B50">
        <v>0</v>
      </c>
      <c r="C50">
        <v>1622.4</v>
      </c>
      <c r="D50">
        <v>3619.2</v>
      </c>
      <c r="E50">
        <v>4024.8</v>
      </c>
      <c r="F50">
        <v>7113.6</v>
      </c>
      <c r="G50">
        <v>9796.7999999999993</v>
      </c>
      <c r="H50">
        <v>2808</v>
      </c>
      <c r="I50">
        <v>2808</v>
      </c>
      <c r="J50">
        <v>2808</v>
      </c>
      <c r="K50">
        <v>6021.6</v>
      </c>
      <c r="L50">
        <v>6676.8</v>
      </c>
      <c r="M50">
        <v>6676.8</v>
      </c>
      <c r="N50">
        <v>6676.8</v>
      </c>
      <c r="O50">
        <v>3900</v>
      </c>
      <c r="P50">
        <v>5491.2</v>
      </c>
      <c r="AC50">
        <v>70044.000000000015</v>
      </c>
      <c r="AD50">
        <v>491212.79999999999</v>
      </c>
    </row>
    <row r="51" spans="1:30" x14ac:dyDescent="0.3">
      <c r="A51" t="s">
        <v>150</v>
      </c>
      <c r="B51">
        <v>0</v>
      </c>
      <c r="C51">
        <v>1622.4</v>
      </c>
      <c r="D51">
        <v>3619.2</v>
      </c>
      <c r="E51">
        <v>4024.8</v>
      </c>
      <c r="F51">
        <v>7113.6</v>
      </c>
      <c r="G51">
        <v>9796.7999999999993</v>
      </c>
      <c r="H51">
        <v>2808</v>
      </c>
      <c r="I51">
        <v>2808</v>
      </c>
      <c r="J51">
        <v>2808</v>
      </c>
      <c r="K51">
        <v>6021.6</v>
      </c>
      <c r="L51">
        <v>6676.8</v>
      </c>
      <c r="M51">
        <v>6676.8</v>
      </c>
      <c r="N51">
        <v>6676.8</v>
      </c>
      <c r="O51">
        <v>3900</v>
      </c>
      <c r="P51">
        <v>5491.2</v>
      </c>
      <c r="Q51">
        <v>6395.9999999999991</v>
      </c>
      <c r="AC51">
        <v>76440.000000000015</v>
      </c>
      <c r="AD51">
        <v>567652.80000000005</v>
      </c>
    </row>
    <row r="52" spans="1:30" x14ac:dyDescent="0.3">
      <c r="A52" t="s">
        <v>151</v>
      </c>
      <c r="B52">
        <v>0</v>
      </c>
      <c r="C52">
        <v>1622.4</v>
      </c>
      <c r="D52">
        <v>3619.2</v>
      </c>
      <c r="E52">
        <v>4024.8</v>
      </c>
      <c r="F52">
        <v>7113.6</v>
      </c>
      <c r="G52">
        <v>9796.7999999999993</v>
      </c>
      <c r="H52">
        <v>2808</v>
      </c>
      <c r="I52">
        <v>2808</v>
      </c>
      <c r="J52">
        <v>2808</v>
      </c>
      <c r="K52">
        <v>6021.6</v>
      </c>
      <c r="L52">
        <v>6676.8</v>
      </c>
      <c r="M52">
        <v>6676.8</v>
      </c>
      <c r="N52">
        <v>6676.8</v>
      </c>
      <c r="O52">
        <v>3900</v>
      </c>
      <c r="P52">
        <v>5491.2</v>
      </c>
      <c r="Q52">
        <v>6395.9999999999991</v>
      </c>
      <c r="R52">
        <v>6271.2</v>
      </c>
      <c r="AC52">
        <v>82711.200000000012</v>
      </c>
      <c r="AD52">
        <v>650364</v>
      </c>
    </row>
    <row r="53" spans="1:30" x14ac:dyDescent="0.3">
      <c r="A53" t="s">
        <v>152</v>
      </c>
      <c r="B53">
        <v>0</v>
      </c>
      <c r="C53">
        <v>1622.4</v>
      </c>
      <c r="D53">
        <v>3619.2</v>
      </c>
      <c r="E53">
        <v>4024.8</v>
      </c>
      <c r="F53">
        <v>7113.6</v>
      </c>
      <c r="G53">
        <v>9796.7999999999993</v>
      </c>
      <c r="H53">
        <v>2808</v>
      </c>
      <c r="I53">
        <v>2808</v>
      </c>
      <c r="J53">
        <v>2808</v>
      </c>
      <c r="K53">
        <v>6021.6</v>
      </c>
      <c r="L53">
        <v>6676.8</v>
      </c>
      <c r="M53">
        <v>6676.8</v>
      </c>
      <c r="N53">
        <v>6676.8</v>
      </c>
      <c r="O53">
        <v>3900</v>
      </c>
      <c r="P53">
        <v>5491.2</v>
      </c>
      <c r="Q53">
        <v>6395.9999999999991</v>
      </c>
      <c r="R53">
        <v>6271.2</v>
      </c>
      <c r="S53">
        <v>3868.8</v>
      </c>
      <c r="AC53">
        <v>86580.000000000015</v>
      </c>
      <c r="AD53">
        <v>736944</v>
      </c>
    </row>
    <row r="54" spans="1:30" x14ac:dyDescent="0.3">
      <c r="A54" t="s">
        <v>153</v>
      </c>
      <c r="B54">
        <v>0</v>
      </c>
      <c r="C54">
        <v>1622.4</v>
      </c>
      <c r="D54">
        <v>3619.2</v>
      </c>
      <c r="E54">
        <v>4024.8</v>
      </c>
      <c r="F54">
        <v>7113.6</v>
      </c>
      <c r="G54">
        <v>9796.7999999999993</v>
      </c>
      <c r="H54">
        <v>2808</v>
      </c>
      <c r="I54">
        <v>2808</v>
      </c>
      <c r="J54">
        <v>2808</v>
      </c>
      <c r="K54">
        <v>6021.6</v>
      </c>
      <c r="L54">
        <v>6676.8</v>
      </c>
      <c r="M54">
        <v>6676.8</v>
      </c>
      <c r="N54">
        <v>6676.8</v>
      </c>
      <c r="O54">
        <v>3900</v>
      </c>
      <c r="P54">
        <v>5491.2</v>
      </c>
      <c r="Q54">
        <v>6395.9999999999991</v>
      </c>
      <c r="R54">
        <v>6271.2</v>
      </c>
      <c r="S54">
        <v>3868.8</v>
      </c>
      <c r="T54">
        <v>3962.4</v>
      </c>
      <c r="AC54">
        <v>90542.400000000009</v>
      </c>
      <c r="AD54">
        <v>827486.4</v>
      </c>
    </row>
    <row r="55" spans="1:30" x14ac:dyDescent="0.3">
      <c r="A55" t="s">
        <v>154</v>
      </c>
      <c r="B55">
        <v>0</v>
      </c>
      <c r="C55">
        <v>1622.4</v>
      </c>
      <c r="D55">
        <v>3619.2</v>
      </c>
      <c r="E55">
        <v>4024.8</v>
      </c>
      <c r="F55">
        <v>7113.6</v>
      </c>
      <c r="G55">
        <v>9796.7999999999993</v>
      </c>
      <c r="H55">
        <v>2808</v>
      </c>
      <c r="I55">
        <v>2808</v>
      </c>
      <c r="J55">
        <v>2808</v>
      </c>
      <c r="K55">
        <v>6021.6</v>
      </c>
      <c r="L55">
        <v>6676.8</v>
      </c>
      <c r="M55">
        <v>6676.8</v>
      </c>
      <c r="N55">
        <v>6676.8</v>
      </c>
      <c r="O55">
        <v>3900</v>
      </c>
      <c r="P55">
        <v>5491.2</v>
      </c>
      <c r="Q55">
        <v>6395.9999999999991</v>
      </c>
      <c r="R55">
        <v>6271.2</v>
      </c>
      <c r="S55">
        <v>3868.8</v>
      </c>
      <c r="T55">
        <v>3962.4</v>
      </c>
      <c r="U55">
        <v>2714.4</v>
      </c>
      <c r="AC55">
        <v>93256.8</v>
      </c>
      <c r="AD55">
        <v>920743.20000000007</v>
      </c>
    </row>
    <row r="56" spans="1:30" x14ac:dyDescent="0.3">
      <c r="A56" t="s">
        <v>155</v>
      </c>
      <c r="B56">
        <v>0</v>
      </c>
      <c r="C56">
        <v>1622.4</v>
      </c>
      <c r="D56">
        <v>3619.2</v>
      </c>
      <c r="E56">
        <v>4024.8</v>
      </c>
      <c r="F56">
        <v>7113.6</v>
      </c>
      <c r="G56">
        <v>9796.7999999999993</v>
      </c>
      <c r="H56">
        <v>2808</v>
      </c>
      <c r="I56">
        <v>2808</v>
      </c>
      <c r="J56">
        <v>2808</v>
      </c>
      <c r="K56">
        <v>6021.6</v>
      </c>
      <c r="L56">
        <v>6676.8</v>
      </c>
      <c r="M56">
        <v>6676.8</v>
      </c>
      <c r="N56">
        <v>6676.8</v>
      </c>
      <c r="O56">
        <v>3900</v>
      </c>
      <c r="P56">
        <v>5491.2</v>
      </c>
      <c r="Q56">
        <v>6395.9999999999991</v>
      </c>
      <c r="R56">
        <v>6271.2</v>
      </c>
      <c r="S56">
        <v>3868.8</v>
      </c>
      <c r="T56">
        <v>3962.4</v>
      </c>
      <c r="U56">
        <v>2714.4</v>
      </c>
      <c r="V56">
        <v>3993.6000000000004</v>
      </c>
      <c r="AC56">
        <v>97250.400000000009</v>
      </c>
      <c r="AD56">
        <v>1017993.6000000001</v>
      </c>
    </row>
    <row r="57" spans="1:30" x14ac:dyDescent="0.3">
      <c r="A57" t="s">
        <v>156</v>
      </c>
      <c r="B57">
        <v>0</v>
      </c>
      <c r="C57">
        <v>1622.4</v>
      </c>
      <c r="D57">
        <v>3619.2</v>
      </c>
      <c r="E57">
        <v>4024.8</v>
      </c>
      <c r="F57">
        <v>7113.6</v>
      </c>
      <c r="G57">
        <v>9796.7999999999993</v>
      </c>
      <c r="H57">
        <v>2808</v>
      </c>
      <c r="I57">
        <v>2808</v>
      </c>
      <c r="J57">
        <v>2808</v>
      </c>
      <c r="K57">
        <v>6021.6</v>
      </c>
      <c r="L57">
        <v>6676.8</v>
      </c>
      <c r="M57">
        <v>6676.8</v>
      </c>
      <c r="N57">
        <v>6676.8</v>
      </c>
      <c r="O57">
        <v>3900</v>
      </c>
      <c r="P57">
        <v>5491.2</v>
      </c>
      <c r="Q57">
        <v>6395.9999999999991</v>
      </c>
      <c r="R57">
        <v>6271.2</v>
      </c>
      <c r="S57">
        <v>3868.8</v>
      </c>
      <c r="T57">
        <v>3962.4</v>
      </c>
      <c r="U57">
        <v>2714.4</v>
      </c>
      <c r="V57">
        <v>3993.6000000000004</v>
      </c>
      <c r="W57">
        <v>2527.2000000000003</v>
      </c>
      <c r="AC57">
        <v>99777.600000000006</v>
      </c>
      <c r="AD57">
        <v>1117771.2000000002</v>
      </c>
    </row>
    <row r="58" spans="1:30" x14ac:dyDescent="0.3">
      <c r="A58" t="s">
        <v>157</v>
      </c>
      <c r="B58">
        <v>0</v>
      </c>
      <c r="C58">
        <v>1622.4</v>
      </c>
      <c r="D58">
        <v>3619.2</v>
      </c>
      <c r="E58">
        <v>4024.8</v>
      </c>
      <c r="F58">
        <v>7113.6</v>
      </c>
      <c r="G58">
        <v>9796.7999999999993</v>
      </c>
      <c r="H58">
        <v>2808</v>
      </c>
      <c r="I58">
        <v>2808</v>
      </c>
      <c r="J58">
        <v>2808</v>
      </c>
      <c r="K58">
        <v>6021.6</v>
      </c>
      <c r="L58">
        <v>6676.8</v>
      </c>
      <c r="M58">
        <v>6676.8</v>
      </c>
      <c r="N58">
        <v>6676.8</v>
      </c>
      <c r="O58">
        <v>3900</v>
      </c>
      <c r="P58">
        <v>5491.2</v>
      </c>
      <c r="Q58">
        <v>6395.9999999999991</v>
      </c>
      <c r="R58">
        <v>6271.2</v>
      </c>
      <c r="S58">
        <v>3868.8</v>
      </c>
      <c r="T58">
        <v>3962.4</v>
      </c>
      <c r="U58">
        <v>2714.4</v>
      </c>
      <c r="V58">
        <v>3993.6000000000004</v>
      </c>
      <c r="W58">
        <v>2527.2000000000003</v>
      </c>
      <c r="X58">
        <v>2995.2</v>
      </c>
      <c r="AC58">
        <v>102772.8</v>
      </c>
      <c r="AD58">
        <v>1220544.0000000002</v>
      </c>
    </row>
    <row r="59" spans="1:30" x14ac:dyDescent="0.3">
      <c r="A59" t="s">
        <v>158</v>
      </c>
      <c r="B59">
        <v>0</v>
      </c>
      <c r="C59">
        <v>1622.4</v>
      </c>
      <c r="D59">
        <v>3619.2</v>
      </c>
      <c r="E59">
        <v>4024.8</v>
      </c>
      <c r="F59">
        <v>7113.6</v>
      </c>
      <c r="G59">
        <v>9796.7999999999993</v>
      </c>
      <c r="H59">
        <v>2808</v>
      </c>
      <c r="I59">
        <v>2808</v>
      </c>
      <c r="J59">
        <v>2808</v>
      </c>
      <c r="K59">
        <v>6021.6</v>
      </c>
      <c r="L59">
        <v>6676.8</v>
      </c>
      <c r="M59">
        <v>6676.8</v>
      </c>
      <c r="N59">
        <v>6676.8</v>
      </c>
      <c r="O59">
        <v>3900</v>
      </c>
      <c r="P59">
        <v>5491.2</v>
      </c>
      <c r="Q59">
        <v>6395.9999999999991</v>
      </c>
      <c r="R59">
        <v>6271.2</v>
      </c>
      <c r="S59">
        <v>3868.8</v>
      </c>
      <c r="T59">
        <v>3962.4</v>
      </c>
      <c r="U59">
        <v>2714.4</v>
      </c>
      <c r="V59">
        <v>3993.6000000000004</v>
      </c>
      <c r="W59">
        <v>2527.2000000000003</v>
      </c>
      <c r="X59">
        <v>2995.2</v>
      </c>
      <c r="Y59">
        <v>1029.5999999999999</v>
      </c>
      <c r="AC59">
        <v>103802.40000000001</v>
      </c>
      <c r="AD59">
        <v>1324346.4000000001</v>
      </c>
    </row>
    <row r="60" spans="1:30" x14ac:dyDescent="0.3">
      <c r="A60" t="s">
        <v>159</v>
      </c>
      <c r="B60">
        <v>0</v>
      </c>
      <c r="C60">
        <v>1622.4</v>
      </c>
      <c r="D60">
        <v>3619.2</v>
      </c>
      <c r="E60">
        <v>4024.8</v>
      </c>
      <c r="F60">
        <v>7113.6</v>
      </c>
      <c r="G60">
        <v>9796.7999999999993</v>
      </c>
      <c r="H60">
        <v>2808</v>
      </c>
      <c r="I60">
        <v>2808</v>
      </c>
      <c r="J60">
        <v>2808</v>
      </c>
      <c r="K60">
        <v>6021.6</v>
      </c>
      <c r="L60">
        <v>6676.8</v>
      </c>
      <c r="M60">
        <v>6676.8</v>
      </c>
      <c r="N60">
        <v>6676.8</v>
      </c>
      <c r="O60">
        <v>3900</v>
      </c>
      <c r="P60">
        <v>5491.2</v>
      </c>
      <c r="Q60">
        <v>6395.9999999999991</v>
      </c>
      <c r="R60">
        <v>6271.2</v>
      </c>
      <c r="S60">
        <v>3868.8</v>
      </c>
      <c r="T60">
        <v>3962.4</v>
      </c>
      <c r="U60">
        <v>2714.4</v>
      </c>
      <c r="V60">
        <v>3993.6000000000004</v>
      </c>
      <c r="W60">
        <v>2527.2000000000003</v>
      </c>
      <c r="X60">
        <v>2995.2</v>
      </c>
      <c r="Y60">
        <v>1029.5999999999999</v>
      </c>
      <c r="Z60">
        <v>1622.4</v>
      </c>
      <c r="AC60">
        <v>105424.8</v>
      </c>
      <c r="AD60">
        <v>1429771.2000000002</v>
      </c>
    </row>
    <row r="61" spans="1:30" x14ac:dyDescent="0.3">
      <c r="A61" t="s">
        <v>160</v>
      </c>
      <c r="B61">
        <v>0</v>
      </c>
      <c r="C61">
        <v>1622.4</v>
      </c>
      <c r="D61">
        <v>3619.2</v>
      </c>
      <c r="E61">
        <v>4024.8</v>
      </c>
      <c r="F61">
        <v>7113.6</v>
      </c>
      <c r="G61">
        <v>9796.7999999999993</v>
      </c>
      <c r="H61">
        <v>2808</v>
      </c>
      <c r="I61">
        <v>2808</v>
      </c>
      <c r="J61">
        <v>2808</v>
      </c>
      <c r="K61">
        <v>6021.6</v>
      </c>
      <c r="L61">
        <v>6676.8</v>
      </c>
      <c r="M61">
        <v>6676.8</v>
      </c>
      <c r="N61">
        <v>6676.8</v>
      </c>
      <c r="O61">
        <v>3900</v>
      </c>
      <c r="P61">
        <v>5491.2</v>
      </c>
      <c r="Q61">
        <v>6395.9999999999991</v>
      </c>
      <c r="R61">
        <v>6271.2</v>
      </c>
      <c r="S61">
        <v>3868.8</v>
      </c>
      <c r="T61">
        <v>3962.4</v>
      </c>
      <c r="U61">
        <v>2714.4</v>
      </c>
      <c r="V61">
        <v>3993.6000000000004</v>
      </c>
      <c r="W61">
        <v>2527.2000000000003</v>
      </c>
      <c r="X61">
        <v>2995.2</v>
      </c>
      <c r="Y61">
        <v>1029.5999999999999</v>
      </c>
      <c r="Z61">
        <v>1622.4</v>
      </c>
      <c r="AA61">
        <v>2246.4</v>
      </c>
      <c r="AC61">
        <v>107671.2</v>
      </c>
      <c r="AD61">
        <v>1537442.4000000001</v>
      </c>
    </row>
    <row r="62" spans="1:30" x14ac:dyDescent="0.3">
      <c r="AC62">
        <v>1537442.4000000001</v>
      </c>
      <c r="AD62">
        <v>5642413.608</v>
      </c>
    </row>
    <row r="63" spans="1:30" x14ac:dyDescent="0.3">
      <c r="AC63">
        <v>1.5374424000000002</v>
      </c>
      <c r="AD63">
        <v>5.6424136080000009</v>
      </c>
    </row>
    <row r="65" spans="1:30" x14ac:dyDescent="0.3">
      <c r="A65" t="s">
        <v>165</v>
      </c>
    </row>
    <row r="66" spans="1:30" x14ac:dyDescent="0.3">
      <c r="A66" t="s">
        <v>163</v>
      </c>
      <c r="C66">
        <v>6240</v>
      </c>
      <c r="AC66">
        <v>6240</v>
      </c>
      <c r="AD66">
        <v>6240</v>
      </c>
    </row>
    <row r="67" spans="1:30" x14ac:dyDescent="0.3">
      <c r="A67" t="s">
        <v>164</v>
      </c>
      <c r="C67">
        <v>6240</v>
      </c>
      <c r="D67">
        <v>6240</v>
      </c>
      <c r="AC67">
        <v>12480</v>
      </c>
      <c r="AD67">
        <v>18720</v>
      </c>
    </row>
    <row r="68" spans="1:30" x14ac:dyDescent="0.3">
      <c r="A68" t="s">
        <v>138</v>
      </c>
      <c r="C68">
        <v>6240</v>
      </c>
      <c r="D68">
        <v>6240</v>
      </c>
      <c r="E68">
        <v>6240</v>
      </c>
      <c r="AC68">
        <v>18720</v>
      </c>
      <c r="AD68">
        <v>37440</v>
      </c>
    </row>
    <row r="69" spans="1:30" x14ac:dyDescent="0.3">
      <c r="A69" t="s">
        <v>139</v>
      </c>
      <c r="C69">
        <v>6240</v>
      </c>
      <c r="D69">
        <v>6240</v>
      </c>
      <c r="E69">
        <v>6240</v>
      </c>
      <c r="F69">
        <v>6240</v>
      </c>
      <c r="AC69">
        <v>24960</v>
      </c>
      <c r="AD69">
        <v>62400</v>
      </c>
    </row>
    <row r="70" spans="1:30" x14ac:dyDescent="0.3">
      <c r="A70" t="s">
        <v>140</v>
      </c>
      <c r="C70">
        <v>6240</v>
      </c>
      <c r="D70">
        <v>6240</v>
      </c>
      <c r="E70">
        <v>6240</v>
      </c>
      <c r="F70">
        <v>6240</v>
      </c>
      <c r="G70">
        <v>6240</v>
      </c>
      <c r="AC70">
        <v>31200</v>
      </c>
      <c r="AD70">
        <v>93600</v>
      </c>
    </row>
    <row r="71" spans="1:30" x14ac:dyDescent="0.3">
      <c r="A71" t="s">
        <v>141</v>
      </c>
      <c r="C71">
        <v>6240</v>
      </c>
      <c r="D71">
        <v>6240</v>
      </c>
      <c r="E71">
        <v>6240</v>
      </c>
      <c r="F71">
        <v>6240</v>
      </c>
      <c r="G71">
        <v>6240</v>
      </c>
      <c r="H71">
        <v>6240</v>
      </c>
      <c r="AC71">
        <v>37440</v>
      </c>
      <c r="AD71">
        <v>131040</v>
      </c>
    </row>
    <row r="72" spans="1:30" x14ac:dyDescent="0.3">
      <c r="A72" t="s">
        <v>142</v>
      </c>
      <c r="C72">
        <v>6240</v>
      </c>
      <c r="D72">
        <v>6240</v>
      </c>
      <c r="E72">
        <v>6240</v>
      </c>
      <c r="F72">
        <v>6240</v>
      </c>
      <c r="G72">
        <v>6240</v>
      </c>
      <c r="H72">
        <v>6240</v>
      </c>
      <c r="I72">
        <v>6240</v>
      </c>
      <c r="AC72">
        <v>43680</v>
      </c>
      <c r="AD72">
        <v>174720</v>
      </c>
    </row>
    <row r="73" spans="1:30" x14ac:dyDescent="0.3">
      <c r="A73" t="s">
        <v>143</v>
      </c>
      <c r="C73">
        <v>6240</v>
      </c>
      <c r="D73">
        <v>6240</v>
      </c>
      <c r="E73">
        <v>6240</v>
      </c>
      <c r="F73">
        <v>6240</v>
      </c>
      <c r="G73">
        <v>6240</v>
      </c>
      <c r="H73">
        <v>6240</v>
      </c>
      <c r="I73">
        <v>6240</v>
      </c>
      <c r="J73">
        <v>6240</v>
      </c>
      <c r="AC73">
        <v>49920</v>
      </c>
      <c r="AD73">
        <v>224640</v>
      </c>
    </row>
    <row r="74" spans="1:30" x14ac:dyDescent="0.3">
      <c r="A74" t="s">
        <v>144</v>
      </c>
      <c r="C74">
        <v>6240</v>
      </c>
      <c r="D74">
        <v>6240</v>
      </c>
      <c r="E74">
        <v>6240</v>
      </c>
      <c r="F74">
        <v>6240</v>
      </c>
      <c r="G74">
        <v>6240</v>
      </c>
      <c r="H74">
        <v>6240</v>
      </c>
      <c r="I74">
        <v>6240</v>
      </c>
      <c r="J74">
        <v>6240</v>
      </c>
      <c r="K74">
        <v>6240</v>
      </c>
      <c r="AC74">
        <v>56160</v>
      </c>
      <c r="AD74">
        <v>280800</v>
      </c>
    </row>
    <row r="75" spans="1:30" x14ac:dyDescent="0.3">
      <c r="A75" t="s">
        <v>145</v>
      </c>
      <c r="C75">
        <v>6240</v>
      </c>
      <c r="D75">
        <v>6240</v>
      </c>
      <c r="E75">
        <v>6240</v>
      </c>
      <c r="F75">
        <v>6240</v>
      </c>
      <c r="G75">
        <v>6240</v>
      </c>
      <c r="H75">
        <v>6240</v>
      </c>
      <c r="I75">
        <v>6240</v>
      </c>
      <c r="J75">
        <v>6240</v>
      </c>
      <c r="K75">
        <v>6240</v>
      </c>
      <c r="L75">
        <v>6240</v>
      </c>
      <c r="AC75">
        <v>62400</v>
      </c>
      <c r="AD75">
        <v>343200</v>
      </c>
    </row>
    <row r="76" spans="1:30" x14ac:dyDescent="0.3">
      <c r="A76" t="s">
        <v>146</v>
      </c>
      <c r="C76">
        <v>6240</v>
      </c>
      <c r="D76">
        <v>6240</v>
      </c>
      <c r="E76">
        <v>6240</v>
      </c>
      <c r="F76">
        <v>6240</v>
      </c>
      <c r="G76">
        <v>6240</v>
      </c>
      <c r="H76">
        <v>6240</v>
      </c>
      <c r="I76">
        <v>6240</v>
      </c>
      <c r="J76">
        <v>6240</v>
      </c>
      <c r="K76">
        <v>6240</v>
      </c>
      <c r="L76">
        <v>6240</v>
      </c>
      <c r="M76">
        <v>6240</v>
      </c>
      <c r="AC76">
        <v>68640</v>
      </c>
      <c r="AD76">
        <v>411840</v>
      </c>
    </row>
    <row r="77" spans="1:30" x14ac:dyDescent="0.3">
      <c r="A77" t="s">
        <v>147</v>
      </c>
      <c r="C77">
        <v>6240</v>
      </c>
      <c r="D77">
        <v>6240</v>
      </c>
      <c r="E77">
        <v>6240</v>
      </c>
      <c r="F77">
        <v>6240</v>
      </c>
      <c r="G77">
        <v>6240</v>
      </c>
      <c r="H77">
        <v>6240</v>
      </c>
      <c r="I77">
        <v>6240</v>
      </c>
      <c r="J77">
        <v>6240</v>
      </c>
      <c r="K77">
        <v>6240</v>
      </c>
      <c r="L77">
        <v>6240</v>
      </c>
      <c r="M77">
        <v>6240</v>
      </c>
      <c r="N77">
        <v>6240</v>
      </c>
      <c r="AC77">
        <v>74880</v>
      </c>
      <c r="AD77">
        <v>486720</v>
      </c>
    </row>
    <row r="78" spans="1:30" x14ac:dyDescent="0.3">
      <c r="A78" t="s">
        <v>148</v>
      </c>
      <c r="C78">
        <v>6240</v>
      </c>
      <c r="D78">
        <v>6240</v>
      </c>
      <c r="E78">
        <v>6240</v>
      </c>
      <c r="F78">
        <v>6240</v>
      </c>
      <c r="G78">
        <v>6240</v>
      </c>
      <c r="H78">
        <v>6240</v>
      </c>
      <c r="I78">
        <v>6240</v>
      </c>
      <c r="J78">
        <v>6240</v>
      </c>
      <c r="K78">
        <v>6240</v>
      </c>
      <c r="L78">
        <v>6240</v>
      </c>
      <c r="M78">
        <v>6240</v>
      </c>
      <c r="N78">
        <v>6240</v>
      </c>
      <c r="O78">
        <v>6240</v>
      </c>
      <c r="AC78">
        <v>81120</v>
      </c>
      <c r="AD78">
        <v>567840</v>
      </c>
    </row>
    <row r="79" spans="1:30" x14ac:dyDescent="0.3">
      <c r="A79" t="s">
        <v>149</v>
      </c>
      <c r="C79">
        <v>6240</v>
      </c>
      <c r="D79">
        <v>6240</v>
      </c>
      <c r="E79">
        <v>6240</v>
      </c>
      <c r="F79">
        <v>6240</v>
      </c>
      <c r="G79">
        <v>6240</v>
      </c>
      <c r="H79">
        <v>6240</v>
      </c>
      <c r="I79">
        <v>6240</v>
      </c>
      <c r="J79">
        <v>6240</v>
      </c>
      <c r="K79">
        <v>6240</v>
      </c>
      <c r="L79">
        <v>6240</v>
      </c>
      <c r="M79">
        <v>6240</v>
      </c>
      <c r="N79">
        <v>6240</v>
      </c>
      <c r="O79">
        <v>6240</v>
      </c>
      <c r="P79">
        <v>6240</v>
      </c>
      <c r="AC79">
        <v>87360</v>
      </c>
      <c r="AD79">
        <v>655200</v>
      </c>
    </row>
    <row r="80" spans="1:30" x14ac:dyDescent="0.3">
      <c r="A80" t="s">
        <v>150</v>
      </c>
      <c r="C80">
        <v>6240</v>
      </c>
      <c r="D80">
        <v>6240</v>
      </c>
      <c r="E80">
        <v>6240</v>
      </c>
      <c r="F80">
        <v>6240</v>
      </c>
      <c r="G80">
        <v>6240</v>
      </c>
      <c r="H80">
        <v>6240</v>
      </c>
      <c r="I80">
        <v>6240</v>
      </c>
      <c r="J80">
        <v>6240</v>
      </c>
      <c r="K80">
        <v>6240</v>
      </c>
      <c r="L80">
        <v>6240</v>
      </c>
      <c r="M80">
        <v>6240</v>
      </c>
      <c r="N80">
        <v>6240</v>
      </c>
      <c r="O80">
        <v>6240</v>
      </c>
      <c r="P80">
        <v>6240</v>
      </c>
      <c r="Q80">
        <v>6240</v>
      </c>
      <c r="AC80">
        <v>93600</v>
      </c>
      <c r="AD80">
        <v>748800</v>
      </c>
    </row>
    <row r="81" spans="1:30" x14ac:dyDescent="0.3">
      <c r="A81" t="s">
        <v>151</v>
      </c>
      <c r="C81">
        <v>6240</v>
      </c>
      <c r="D81">
        <v>6240</v>
      </c>
      <c r="E81">
        <v>6240</v>
      </c>
      <c r="F81">
        <v>6240</v>
      </c>
      <c r="G81">
        <v>6240</v>
      </c>
      <c r="H81">
        <v>6240</v>
      </c>
      <c r="I81">
        <v>6240</v>
      </c>
      <c r="J81">
        <v>6240</v>
      </c>
      <c r="K81">
        <v>6240</v>
      </c>
      <c r="L81">
        <v>6240</v>
      </c>
      <c r="M81">
        <v>6240</v>
      </c>
      <c r="N81">
        <v>6240</v>
      </c>
      <c r="O81">
        <v>6240</v>
      </c>
      <c r="P81">
        <v>6240</v>
      </c>
      <c r="Q81">
        <v>6240</v>
      </c>
      <c r="R81">
        <v>6240</v>
      </c>
      <c r="AC81">
        <v>99840</v>
      </c>
      <c r="AD81">
        <v>848640</v>
      </c>
    </row>
    <row r="82" spans="1:30" x14ac:dyDescent="0.3">
      <c r="A82" t="s">
        <v>152</v>
      </c>
      <c r="C82">
        <v>6240</v>
      </c>
      <c r="D82">
        <v>6240</v>
      </c>
      <c r="E82">
        <v>6240</v>
      </c>
      <c r="F82">
        <v>6240</v>
      </c>
      <c r="G82">
        <v>6240</v>
      </c>
      <c r="H82">
        <v>6240</v>
      </c>
      <c r="I82">
        <v>6240</v>
      </c>
      <c r="J82">
        <v>6240</v>
      </c>
      <c r="K82">
        <v>6240</v>
      </c>
      <c r="L82">
        <v>6240</v>
      </c>
      <c r="M82">
        <v>6240</v>
      </c>
      <c r="N82">
        <v>6240</v>
      </c>
      <c r="O82">
        <v>6240</v>
      </c>
      <c r="P82">
        <v>6240</v>
      </c>
      <c r="Q82">
        <v>6240</v>
      </c>
      <c r="R82">
        <v>6240</v>
      </c>
      <c r="S82">
        <v>6240</v>
      </c>
      <c r="AC82">
        <v>106080</v>
      </c>
      <c r="AD82">
        <v>954720</v>
      </c>
    </row>
    <row r="83" spans="1:30" x14ac:dyDescent="0.3">
      <c r="A83" t="s">
        <v>153</v>
      </c>
      <c r="C83">
        <v>6240</v>
      </c>
      <c r="D83">
        <v>6240</v>
      </c>
      <c r="E83">
        <v>6240</v>
      </c>
      <c r="F83">
        <v>6240</v>
      </c>
      <c r="G83">
        <v>6240</v>
      </c>
      <c r="H83">
        <v>6240</v>
      </c>
      <c r="I83">
        <v>6240</v>
      </c>
      <c r="J83">
        <v>6240</v>
      </c>
      <c r="K83">
        <v>6240</v>
      </c>
      <c r="L83">
        <v>6240</v>
      </c>
      <c r="M83">
        <v>6240</v>
      </c>
      <c r="N83">
        <v>6240</v>
      </c>
      <c r="O83">
        <v>6240</v>
      </c>
      <c r="P83">
        <v>6240</v>
      </c>
      <c r="Q83">
        <v>6240</v>
      </c>
      <c r="R83">
        <v>6240</v>
      </c>
      <c r="S83">
        <v>6240</v>
      </c>
      <c r="T83">
        <v>6240</v>
      </c>
      <c r="AC83">
        <v>112320</v>
      </c>
      <c r="AD83">
        <v>1067040</v>
      </c>
    </row>
    <row r="84" spans="1:30" x14ac:dyDescent="0.3">
      <c r="A84" t="s">
        <v>154</v>
      </c>
      <c r="C84">
        <v>6240</v>
      </c>
      <c r="D84">
        <v>6240</v>
      </c>
      <c r="E84">
        <v>6240</v>
      </c>
      <c r="F84">
        <v>6240</v>
      </c>
      <c r="G84">
        <v>6240</v>
      </c>
      <c r="H84">
        <v>6240</v>
      </c>
      <c r="I84">
        <v>6240</v>
      </c>
      <c r="J84">
        <v>6240</v>
      </c>
      <c r="K84">
        <v>6240</v>
      </c>
      <c r="L84">
        <v>6240</v>
      </c>
      <c r="M84">
        <v>6240</v>
      </c>
      <c r="N84">
        <v>6240</v>
      </c>
      <c r="O84">
        <v>6240</v>
      </c>
      <c r="P84">
        <v>6240</v>
      </c>
      <c r="Q84">
        <v>6240</v>
      </c>
      <c r="R84">
        <v>6240</v>
      </c>
      <c r="S84">
        <v>6240</v>
      </c>
      <c r="T84">
        <v>6240</v>
      </c>
      <c r="U84">
        <v>6240</v>
      </c>
      <c r="AC84">
        <v>118560</v>
      </c>
      <c r="AD84">
        <v>1185600</v>
      </c>
    </row>
    <row r="85" spans="1:30" x14ac:dyDescent="0.3">
      <c r="A85" t="s">
        <v>155</v>
      </c>
      <c r="C85">
        <v>6240</v>
      </c>
      <c r="D85">
        <v>6240</v>
      </c>
      <c r="E85">
        <v>6240</v>
      </c>
      <c r="F85">
        <v>6240</v>
      </c>
      <c r="G85">
        <v>6240</v>
      </c>
      <c r="H85">
        <v>6240</v>
      </c>
      <c r="I85">
        <v>6240</v>
      </c>
      <c r="J85">
        <v>6240</v>
      </c>
      <c r="K85">
        <v>6240</v>
      </c>
      <c r="L85">
        <v>6240</v>
      </c>
      <c r="M85">
        <v>6240</v>
      </c>
      <c r="N85">
        <v>6240</v>
      </c>
      <c r="O85">
        <v>6240</v>
      </c>
      <c r="P85">
        <v>6240</v>
      </c>
      <c r="Q85">
        <v>6240</v>
      </c>
      <c r="R85">
        <v>6240</v>
      </c>
      <c r="S85">
        <v>6240</v>
      </c>
      <c r="T85">
        <v>6240</v>
      </c>
      <c r="U85">
        <v>6240</v>
      </c>
      <c r="V85">
        <v>6240</v>
      </c>
      <c r="AC85">
        <v>124800</v>
      </c>
      <c r="AD85">
        <v>1310400</v>
      </c>
    </row>
    <row r="86" spans="1:30" x14ac:dyDescent="0.3">
      <c r="A86" t="s">
        <v>156</v>
      </c>
      <c r="C86">
        <v>6240</v>
      </c>
      <c r="D86">
        <v>6240</v>
      </c>
      <c r="E86">
        <v>6240</v>
      </c>
      <c r="F86">
        <v>6240</v>
      </c>
      <c r="G86">
        <v>6240</v>
      </c>
      <c r="H86">
        <v>6240</v>
      </c>
      <c r="I86">
        <v>6240</v>
      </c>
      <c r="J86">
        <v>6240</v>
      </c>
      <c r="K86">
        <v>6240</v>
      </c>
      <c r="L86">
        <v>6240</v>
      </c>
      <c r="M86">
        <v>6240</v>
      </c>
      <c r="N86">
        <v>6240</v>
      </c>
      <c r="O86">
        <v>6240</v>
      </c>
      <c r="P86">
        <v>6240</v>
      </c>
      <c r="Q86">
        <v>6240</v>
      </c>
      <c r="R86">
        <v>6240</v>
      </c>
      <c r="S86">
        <v>6240</v>
      </c>
      <c r="T86">
        <v>6240</v>
      </c>
      <c r="U86">
        <v>6240</v>
      </c>
      <c r="V86">
        <v>6240</v>
      </c>
      <c r="W86">
        <v>6240</v>
      </c>
      <c r="AC86">
        <v>131040</v>
      </c>
      <c r="AD86">
        <v>1441440</v>
      </c>
    </row>
    <row r="87" spans="1:30" x14ac:dyDescent="0.3">
      <c r="A87" t="s">
        <v>157</v>
      </c>
      <c r="C87">
        <v>6240</v>
      </c>
      <c r="D87">
        <v>6240</v>
      </c>
      <c r="E87">
        <v>6240</v>
      </c>
      <c r="F87">
        <v>6240</v>
      </c>
      <c r="G87">
        <v>6240</v>
      </c>
      <c r="H87">
        <v>6240</v>
      </c>
      <c r="I87">
        <v>6240</v>
      </c>
      <c r="J87">
        <v>6240</v>
      </c>
      <c r="K87">
        <v>6240</v>
      </c>
      <c r="L87">
        <v>6240</v>
      </c>
      <c r="M87">
        <v>6240</v>
      </c>
      <c r="N87">
        <v>6240</v>
      </c>
      <c r="O87">
        <v>6240</v>
      </c>
      <c r="P87">
        <v>6240</v>
      </c>
      <c r="Q87">
        <v>6240</v>
      </c>
      <c r="R87">
        <v>6240</v>
      </c>
      <c r="S87">
        <v>6240</v>
      </c>
      <c r="T87">
        <v>6240</v>
      </c>
      <c r="U87">
        <v>6240</v>
      </c>
      <c r="V87">
        <v>6240</v>
      </c>
      <c r="W87">
        <v>6240</v>
      </c>
      <c r="X87">
        <v>6240</v>
      </c>
      <c r="AC87">
        <v>137280</v>
      </c>
      <c r="AD87">
        <v>1578720</v>
      </c>
    </row>
    <row r="88" spans="1:30" x14ac:dyDescent="0.3">
      <c r="A88" t="s">
        <v>158</v>
      </c>
      <c r="C88">
        <v>6240</v>
      </c>
      <c r="D88">
        <v>6240</v>
      </c>
      <c r="E88">
        <v>6240</v>
      </c>
      <c r="F88">
        <v>6240</v>
      </c>
      <c r="G88">
        <v>6240</v>
      </c>
      <c r="H88">
        <v>6240</v>
      </c>
      <c r="I88">
        <v>6240</v>
      </c>
      <c r="J88">
        <v>6240</v>
      </c>
      <c r="K88">
        <v>6240</v>
      </c>
      <c r="L88">
        <v>6240</v>
      </c>
      <c r="M88">
        <v>6240</v>
      </c>
      <c r="N88">
        <v>6240</v>
      </c>
      <c r="O88">
        <v>6240</v>
      </c>
      <c r="P88">
        <v>6240</v>
      </c>
      <c r="Q88">
        <v>6240</v>
      </c>
      <c r="R88">
        <v>6240</v>
      </c>
      <c r="S88">
        <v>6240</v>
      </c>
      <c r="T88">
        <v>6240</v>
      </c>
      <c r="U88">
        <v>6240</v>
      </c>
      <c r="V88">
        <v>6240</v>
      </c>
      <c r="W88">
        <v>6240</v>
      </c>
      <c r="X88">
        <v>6240</v>
      </c>
      <c r="Y88">
        <v>6240</v>
      </c>
      <c r="AC88">
        <v>143520</v>
      </c>
      <c r="AD88">
        <v>1722240</v>
      </c>
    </row>
    <row r="89" spans="1:30" x14ac:dyDescent="0.3">
      <c r="A89" t="s">
        <v>159</v>
      </c>
      <c r="C89">
        <v>6240</v>
      </c>
      <c r="D89">
        <v>6240</v>
      </c>
      <c r="E89">
        <v>6240</v>
      </c>
      <c r="F89">
        <v>6240</v>
      </c>
      <c r="G89">
        <v>6240</v>
      </c>
      <c r="H89">
        <v>6240</v>
      </c>
      <c r="I89">
        <v>6240</v>
      </c>
      <c r="J89">
        <v>6240</v>
      </c>
      <c r="K89">
        <v>6240</v>
      </c>
      <c r="L89">
        <v>6240</v>
      </c>
      <c r="M89">
        <v>6240</v>
      </c>
      <c r="N89">
        <v>6240</v>
      </c>
      <c r="O89">
        <v>6240</v>
      </c>
      <c r="P89">
        <v>6240</v>
      </c>
      <c r="Q89">
        <v>6240</v>
      </c>
      <c r="R89">
        <v>6240</v>
      </c>
      <c r="S89">
        <v>6240</v>
      </c>
      <c r="T89">
        <v>6240</v>
      </c>
      <c r="U89">
        <v>6240</v>
      </c>
      <c r="V89">
        <v>6240</v>
      </c>
      <c r="W89">
        <v>6240</v>
      </c>
      <c r="X89">
        <v>6240</v>
      </c>
      <c r="Y89">
        <v>6240</v>
      </c>
      <c r="Z89">
        <v>6240</v>
      </c>
      <c r="AC89">
        <v>149760</v>
      </c>
      <c r="AD89">
        <v>1872000</v>
      </c>
    </row>
    <row r="90" spans="1:30" x14ac:dyDescent="0.3">
      <c r="A90" t="s">
        <v>160</v>
      </c>
      <c r="C90">
        <v>6240</v>
      </c>
      <c r="D90">
        <v>6240</v>
      </c>
      <c r="E90">
        <v>6240</v>
      </c>
      <c r="F90">
        <v>6240</v>
      </c>
      <c r="G90">
        <v>6240</v>
      </c>
      <c r="H90">
        <v>6240</v>
      </c>
      <c r="I90">
        <v>6240</v>
      </c>
      <c r="J90">
        <v>6240</v>
      </c>
      <c r="K90">
        <v>6240</v>
      </c>
      <c r="L90">
        <v>6240</v>
      </c>
      <c r="M90">
        <v>6240</v>
      </c>
      <c r="N90">
        <v>6240</v>
      </c>
      <c r="O90">
        <v>6240</v>
      </c>
      <c r="P90">
        <v>6240</v>
      </c>
      <c r="Q90">
        <v>6240</v>
      </c>
      <c r="R90">
        <v>6240</v>
      </c>
      <c r="S90">
        <v>6240</v>
      </c>
      <c r="T90">
        <v>6240</v>
      </c>
      <c r="U90">
        <v>6240</v>
      </c>
      <c r="V90">
        <v>6240</v>
      </c>
      <c r="W90">
        <v>6240</v>
      </c>
      <c r="X90">
        <v>6240</v>
      </c>
      <c r="Y90">
        <v>6240</v>
      </c>
      <c r="Z90">
        <v>6240</v>
      </c>
      <c r="AA90">
        <v>6240</v>
      </c>
      <c r="AC90">
        <v>156000</v>
      </c>
      <c r="AD90">
        <v>2028000</v>
      </c>
    </row>
    <row r="91" spans="1:30" x14ac:dyDescent="0.3">
      <c r="AC91">
        <v>2028000</v>
      </c>
      <c r="AD91">
        <v>7442760</v>
      </c>
    </row>
    <row r="92" spans="1:30" x14ac:dyDescent="0.3">
      <c r="AC92">
        <v>2.028</v>
      </c>
      <c r="AD92">
        <v>7.4427599999999998</v>
      </c>
    </row>
    <row r="97" spans="1:30" x14ac:dyDescent="0.3">
      <c r="A97" t="s">
        <v>168</v>
      </c>
      <c r="B97">
        <v>1993</v>
      </c>
      <c r="C97">
        <v>1994</v>
      </c>
      <c r="D97">
        <v>1995</v>
      </c>
      <c r="E97">
        <v>1996</v>
      </c>
      <c r="F97">
        <v>1997</v>
      </c>
      <c r="G97">
        <v>1998</v>
      </c>
      <c r="H97">
        <v>1999</v>
      </c>
      <c r="I97">
        <v>2000</v>
      </c>
      <c r="J97">
        <v>2001</v>
      </c>
      <c r="K97">
        <v>2002</v>
      </c>
      <c r="L97">
        <v>2003</v>
      </c>
      <c r="M97">
        <v>2004</v>
      </c>
      <c r="N97">
        <v>2005</v>
      </c>
      <c r="O97">
        <v>2006</v>
      </c>
      <c r="P97">
        <v>2007</v>
      </c>
      <c r="Q97">
        <v>2008</v>
      </c>
      <c r="R97">
        <v>2009</v>
      </c>
      <c r="S97">
        <v>2010</v>
      </c>
      <c r="T97">
        <v>2011</v>
      </c>
      <c r="U97">
        <v>2012</v>
      </c>
      <c r="V97">
        <v>2013</v>
      </c>
      <c r="W97">
        <v>2014</v>
      </c>
      <c r="X97">
        <v>2015</v>
      </c>
      <c r="Y97">
        <v>2016</v>
      </c>
      <c r="Z97">
        <v>2017</v>
      </c>
      <c r="AA97">
        <v>2018</v>
      </c>
    </row>
    <row r="98" spans="1:30" x14ac:dyDescent="0.3">
      <c r="A98" t="s">
        <v>169</v>
      </c>
      <c r="B98">
        <v>0</v>
      </c>
      <c r="C98">
        <v>0.13</v>
      </c>
      <c r="D98">
        <v>0.41</v>
      </c>
      <c r="E98">
        <v>0.85</v>
      </c>
      <c r="F98">
        <v>1.37</v>
      </c>
      <c r="G98">
        <v>2.42</v>
      </c>
      <c r="H98">
        <v>2.42</v>
      </c>
      <c r="I98">
        <v>2.42</v>
      </c>
      <c r="J98">
        <v>0.78</v>
      </c>
      <c r="K98">
        <v>1.64</v>
      </c>
      <c r="L98">
        <v>1.64</v>
      </c>
      <c r="M98">
        <v>1.64</v>
      </c>
      <c r="N98">
        <v>1.98</v>
      </c>
      <c r="O98">
        <v>1.1200000000000001</v>
      </c>
      <c r="P98">
        <v>1.41</v>
      </c>
      <c r="Q98">
        <v>1.91</v>
      </c>
      <c r="R98">
        <v>1.83</v>
      </c>
      <c r="S98">
        <v>1.0900000000000001</v>
      </c>
      <c r="T98">
        <v>0.96</v>
      </c>
      <c r="U98">
        <v>0.76</v>
      </c>
      <c r="V98">
        <v>1.28</v>
      </c>
      <c r="W98">
        <v>0.88</v>
      </c>
      <c r="X98">
        <v>0.75</v>
      </c>
      <c r="Y98">
        <v>0.23</v>
      </c>
      <c r="Z98">
        <v>0.2</v>
      </c>
      <c r="AA98">
        <v>0.57999999999999996</v>
      </c>
    </row>
    <row r="99" spans="1:30" x14ac:dyDescent="0.3">
      <c r="A99" t="s">
        <v>163</v>
      </c>
      <c r="B99">
        <v>0</v>
      </c>
      <c r="C99">
        <v>1560</v>
      </c>
      <c r="AC99">
        <v>1560</v>
      </c>
      <c r="AD99">
        <v>1560</v>
      </c>
    </row>
    <row r="100" spans="1:30" x14ac:dyDescent="0.3">
      <c r="A100" t="s">
        <v>164</v>
      </c>
      <c r="B100">
        <v>0</v>
      </c>
      <c r="C100">
        <v>1560</v>
      </c>
      <c r="D100">
        <v>4920</v>
      </c>
      <c r="AC100">
        <v>6480</v>
      </c>
      <c r="AD100">
        <v>8040</v>
      </c>
    </row>
    <row r="101" spans="1:30" x14ac:dyDescent="0.3">
      <c r="A101" t="s">
        <v>138</v>
      </c>
      <c r="B101">
        <v>0</v>
      </c>
      <c r="C101">
        <v>1560</v>
      </c>
      <c r="D101">
        <v>4920</v>
      </c>
      <c r="E101">
        <v>10200</v>
      </c>
      <c r="AC101">
        <v>16680</v>
      </c>
      <c r="AD101">
        <v>24720</v>
      </c>
    </row>
    <row r="102" spans="1:30" x14ac:dyDescent="0.3">
      <c r="A102" t="s">
        <v>139</v>
      </c>
      <c r="B102">
        <v>0</v>
      </c>
      <c r="C102">
        <v>1560</v>
      </c>
      <c r="D102">
        <v>4920</v>
      </c>
      <c r="E102">
        <v>10200</v>
      </c>
      <c r="F102">
        <v>16440</v>
      </c>
      <c r="AC102">
        <v>33120</v>
      </c>
      <c r="AD102">
        <v>57840</v>
      </c>
    </row>
    <row r="103" spans="1:30" x14ac:dyDescent="0.3">
      <c r="A103" t="s">
        <v>140</v>
      </c>
      <c r="B103">
        <v>0</v>
      </c>
      <c r="C103">
        <v>1560</v>
      </c>
      <c r="D103">
        <v>4920</v>
      </c>
      <c r="E103">
        <v>10200</v>
      </c>
      <c r="F103">
        <v>16440</v>
      </c>
      <c r="G103">
        <v>29040</v>
      </c>
      <c r="AC103">
        <v>62160</v>
      </c>
      <c r="AD103">
        <v>120000</v>
      </c>
    </row>
    <row r="104" spans="1:30" x14ac:dyDescent="0.3">
      <c r="A104" t="s">
        <v>141</v>
      </c>
      <c r="B104">
        <v>0</v>
      </c>
      <c r="C104">
        <v>1560</v>
      </c>
      <c r="D104">
        <v>4920</v>
      </c>
      <c r="E104">
        <v>10200</v>
      </c>
      <c r="F104">
        <v>16440</v>
      </c>
      <c r="G104">
        <v>29040</v>
      </c>
      <c r="H104">
        <v>29040</v>
      </c>
      <c r="AC104">
        <v>91200</v>
      </c>
      <c r="AD104">
        <v>211200</v>
      </c>
    </row>
    <row r="105" spans="1:30" x14ac:dyDescent="0.3">
      <c r="A105" t="s">
        <v>142</v>
      </c>
      <c r="B105">
        <v>0</v>
      </c>
      <c r="C105">
        <v>1560</v>
      </c>
      <c r="D105">
        <v>4920</v>
      </c>
      <c r="E105">
        <v>10200</v>
      </c>
      <c r="F105">
        <v>16440</v>
      </c>
      <c r="G105">
        <v>29040</v>
      </c>
      <c r="H105">
        <v>29040</v>
      </c>
      <c r="I105">
        <v>29040</v>
      </c>
      <c r="AC105">
        <v>120240</v>
      </c>
      <c r="AD105">
        <v>331440</v>
      </c>
    </row>
    <row r="106" spans="1:30" x14ac:dyDescent="0.3">
      <c r="A106" t="s">
        <v>143</v>
      </c>
      <c r="B106">
        <v>0</v>
      </c>
      <c r="C106">
        <v>1560</v>
      </c>
      <c r="D106">
        <v>4920</v>
      </c>
      <c r="E106">
        <v>10200</v>
      </c>
      <c r="F106">
        <v>16440</v>
      </c>
      <c r="G106">
        <v>29040</v>
      </c>
      <c r="H106">
        <v>29040</v>
      </c>
      <c r="I106">
        <v>29040</v>
      </c>
      <c r="J106">
        <v>9360</v>
      </c>
      <c r="AC106">
        <v>129600</v>
      </c>
      <c r="AD106">
        <v>461040</v>
      </c>
    </row>
    <row r="107" spans="1:30" x14ac:dyDescent="0.3">
      <c r="A107" t="s">
        <v>144</v>
      </c>
      <c r="B107">
        <v>0</v>
      </c>
      <c r="C107">
        <v>1560</v>
      </c>
      <c r="D107">
        <v>4920</v>
      </c>
      <c r="E107">
        <v>10200</v>
      </c>
      <c r="F107">
        <v>16440</v>
      </c>
      <c r="G107">
        <v>29040</v>
      </c>
      <c r="H107">
        <v>29040</v>
      </c>
      <c r="I107">
        <v>29040</v>
      </c>
      <c r="J107">
        <v>9360</v>
      </c>
      <c r="K107">
        <v>19680</v>
      </c>
      <c r="AC107">
        <v>149280</v>
      </c>
      <c r="AD107">
        <v>610320</v>
      </c>
    </row>
    <row r="108" spans="1:30" x14ac:dyDescent="0.3">
      <c r="A108" t="s">
        <v>145</v>
      </c>
      <c r="B108">
        <v>0</v>
      </c>
      <c r="C108">
        <v>1560</v>
      </c>
      <c r="D108">
        <v>4920</v>
      </c>
      <c r="E108">
        <v>10200</v>
      </c>
      <c r="F108">
        <v>16440</v>
      </c>
      <c r="G108">
        <v>29040</v>
      </c>
      <c r="H108">
        <v>29040</v>
      </c>
      <c r="I108">
        <v>29040</v>
      </c>
      <c r="J108">
        <v>9360</v>
      </c>
      <c r="K108">
        <v>19680</v>
      </c>
      <c r="L108">
        <v>19680</v>
      </c>
      <c r="AC108">
        <v>168960</v>
      </c>
      <c r="AD108">
        <v>779280</v>
      </c>
    </row>
    <row r="109" spans="1:30" x14ac:dyDescent="0.3">
      <c r="A109" t="s">
        <v>146</v>
      </c>
      <c r="B109">
        <v>0</v>
      </c>
      <c r="C109">
        <v>1560</v>
      </c>
      <c r="D109">
        <v>4920</v>
      </c>
      <c r="E109">
        <v>10200</v>
      </c>
      <c r="F109">
        <v>16440</v>
      </c>
      <c r="G109">
        <v>29040</v>
      </c>
      <c r="H109">
        <v>29040</v>
      </c>
      <c r="I109">
        <v>29040</v>
      </c>
      <c r="J109">
        <v>9360</v>
      </c>
      <c r="K109">
        <v>19680</v>
      </c>
      <c r="L109">
        <v>19680</v>
      </c>
      <c r="M109">
        <v>19680</v>
      </c>
      <c r="AC109">
        <v>188640</v>
      </c>
      <c r="AD109">
        <v>967920</v>
      </c>
    </row>
    <row r="110" spans="1:30" x14ac:dyDescent="0.3">
      <c r="A110" t="s">
        <v>147</v>
      </c>
      <c r="B110">
        <v>0</v>
      </c>
      <c r="C110">
        <v>1560</v>
      </c>
      <c r="D110">
        <v>4920</v>
      </c>
      <c r="E110">
        <v>10200</v>
      </c>
      <c r="F110">
        <v>16440</v>
      </c>
      <c r="G110">
        <v>29040</v>
      </c>
      <c r="H110">
        <v>29040</v>
      </c>
      <c r="I110">
        <v>29040</v>
      </c>
      <c r="J110">
        <v>9360</v>
      </c>
      <c r="K110">
        <v>19680</v>
      </c>
      <c r="L110">
        <v>19680</v>
      </c>
      <c r="M110">
        <v>19680</v>
      </c>
      <c r="N110">
        <v>23760</v>
      </c>
      <c r="AC110">
        <v>212400</v>
      </c>
      <c r="AD110">
        <v>1180320</v>
      </c>
    </row>
    <row r="111" spans="1:30" x14ac:dyDescent="0.3">
      <c r="A111" t="s">
        <v>148</v>
      </c>
      <c r="B111">
        <v>0</v>
      </c>
      <c r="C111">
        <v>1560</v>
      </c>
      <c r="D111">
        <v>4920</v>
      </c>
      <c r="E111">
        <v>10200</v>
      </c>
      <c r="F111">
        <v>16440</v>
      </c>
      <c r="G111">
        <v>29040</v>
      </c>
      <c r="H111">
        <v>29040</v>
      </c>
      <c r="I111">
        <v>29040</v>
      </c>
      <c r="J111">
        <v>9360</v>
      </c>
      <c r="K111">
        <v>19680</v>
      </c>
      <c r="L111">
        <v>19680</v>
      </c>
      <c r="M111">
        <v>19680</v>
      </c>
      <c r="N111">
        <v>23760</v>
      </c>
      <c r="O111">
        <v>13440.000000000002</v>
      </c>
      <c r="AC111">
        <v>225840</v>
      </c>
      <c r="AD111">
        <v>1406160</v>
      </c>
    </row>
    <row r="112" spans="1:30" x14ac:dyDescent="0.3">
      <c r="A112" t="s">
        <v>149</v>
      </c>
      <c r="B112">
        <v>0</v>
      </c>
      <c r="C112">
        <v>1560</v>
      </c>
      <c r="D112">
        <v>4920</v>
      </c>
      <c r="E112">
        <v>10200</v>
      </c>
      <c r="F112">
        <v>16440</v>
      </c>
      <c r="G112">
        <v>29040</v>
      </c>
      <c r="H112">
        <v>29040</v>
      </c>
      <c r="I112">
        <v>29040</v>
      </c>
      <c r="J112">
        <v>9360</v>
      </c>
      <c r="K112">
        <v>19680</v>
      </c>
      <c r="L112">
        <v>19680</v>
      </c>
      <c r="M112">
        <v>19680</v>
      </c>
      <c r="N112">
        <v>23760</v>
      </c>
      <c r="O112">
        <v>13440.000000000002</v>
      </c>
      <c r="P112">
        <v>16920</v>
      </c>
      <c r="AC112">
        <v>242760</v>
      </c>
      <c r="AD112">
        <v>1648920</v>
      </c>
    </row>
    <row r="113" spans="1:30" x14ac:dyDescent="0.3">
      <c r="A113" t="s">
        <v>150</v>
      </c>
      <c r="B113">
        <v>0</v>
      </c>
      <c r="C113">
        <v>1560</v>
      </c>
      <c r="D113">
        <v>4920</v>
      </c>
      <c r="E113">
        <v>10200</v>
      </c>
      <c r="F113">
        <v>16440</v>
      </c>
      <c r="G113">
        <v>29040</v>
      </c>
      <c r="H113">
        <v>29040</v>
      </c>
      <c r="I113">
        <v>29040</v>
      </c>
      <c r="J113">
        <v>9360</v>
      </c>
      <c r="K113">
        <v>19680</v>
      </c>
      <c r="L113">
        <v>19680</v>
      </c>
      <c r="M113">
        <v>19680</v>
      </c>
      <c r="N113">
        <v>23760</v>
      </c>
      <c r="O113">
        <v>13440.000000000002</v>
      </c>
      <c r="P113">
        <v>16920</v>
      </c>
      <c r="Q113">
        <v>22920</v>
      </c>
      <c r="AC113">
        <v>265680</v>
      </c>
      <c r="AD113">
        <v>1914600</v>
      </c>
    </row>
    <row r="114" spans="1:30" x14ac:dyDescent="0.3">
      <c r="A114" t="s">
        <v>151</v>
      </c>
      <c r="B114">
        <v>0</v>
      </c>
      <c r="C114">
        <v>1560</v>
      </c>
      <c r="D114">
        <v>4920</v>
      </c>
      <c r="E114">
        <v>10200</v>
      </c>
      <c r="F114">
        <v>16440</v>
      </c>
      <c r="G114">
        <v>29040</v>
      </c>
      <c r="H114">
        <v>29040</v>
      </c>
      <c r="I114">
        <v>29040</v>
      </c>
      <c r="J114">
        <v>9360</v>
      </c>
      <c r="K114">
        <v>19680</v>
      </c>
      <c r="L114">
        <v>19680</v>
      </c>
      <c r="M114">
        <v>19680</v>
      </c>
      <c r="N114">
        <v>23760</v>
      </c>
      <c r="O114">
        <v>13440.000000000002</v>
      </c>
      <c r="P114">
        <v>16920</v>
      </c>
      <c r="Q114">
        <v>22920</v>
      </c>
      <c r="R114">
        <v>21960</v>
      </c>
      <c r="AC114">
        <v>287640</v>
      </c>
      <c r="AD114">
        <v>2202240</v>
      </c>
    </row>
    <row r="115" spans="1:30" x14ac:dyDescent="0.3">
      <c r="A115" t="s">
        <v>152</v>
      </c>
      <c r="B115">
        <v>0</v>
      </c>
      <c r="C115">
        <v>1560</v>
      </c>
      <c r="D115">
        <v>4920</v>
      </c>
      <c r="E115">
        <v>10200</v>
      </c>
      <c r="F115">
        <v>16440</v>
      </c>
      <c r="G115">
        <v>29040</v>
      </c>
      <c r="H115">
        <v>29040</v>
      </c>
      <c r="I115">
        <v>29040</v>
      </c>
      <c r="J115">
        <v>9360</v>
      </c>
      <c r="K115">
        <v>19680</v>
      </c>
      <c r="L115">
        <v>19680</v>
      </c>
      <c r="M115">
        <v>19680</v>
      </c>
      <c r="N115">
        <v>23760</v>
      </c>
      <c r="O115">
        <v>13440.000000000002</v>
      </c>
      <c r="P115">
        <v>16920</v>
      </c>
      <c r="Q115">
        <v>22920</v>
      </c>
      <c r="R115">
        <v>21960</v>
      </c>
      <c r="S115">
        <v>13080.000000000002</v>
      </c>
      <c r="AC115">
        <v>300720</v>
      </c>
      <c r="AD115">
        <v>2502960</v>
      </c>
    </row>
    <row r="116" spans="1:30" x14ac:dyDescent="0.3">
      <c r="A116" t="s">
        <v>153</v>
      </c>
      <c r="B116">
        <v>0</v>
      </c>
      <c r="C116">
        <v>1560</v>
      </c>
      <c r="D116">
        <v>4920</v>
      </c>
      <c r="E116">
        <v>10200</v>
      </c>
      <c r="F116">
        <v>16440</v>
      </c>
      <c r="G116">
        <v>29040</v>
      </c>
      <c r="H116">
        <v>29040</v>
      </c>
      <c r="I116">
        <v>29040</v>
      </c>
      <c r="J116">
        <v>9360</v>
      </c>
      <c r="K116">
        <v>19680</v>
      </c>
      <c r="L116">
        <v>19680</v>
      </c>
      <c r="M116">
        <v>19680</v>
      </c>
      <c r="N116">
        <v>23760</v>
      </c>
      <c r="O116">
        <v>13440.000000000002</v>
      </c>
      <c r="P116">
        <v>16920</v>
      </c>
      <c r="Q116">
        <v>22920</v>
      </c>
      <c r="R116">
        <v>21960</v>
      </c>
      <c r="S116">
        <v>13080.000000000002</v>
      </c>
      <c r="T116">
        <v>11520</v>
      </c>
      <c r="AC116">
        <v>312240</v>
      </c>
      <c r="AD116">
        <v>2815200</v>
      </c>
    </row>
    <row r="117" spans="1:30" x14ac:dyDescent="0.3">
      <c r="A117" t="s">
        <v>154</v>
      </c>
      <c r="B117">
        <v>0</v>
      </c>
      <c r="C117">
        <v>1560</v>
      </c>
      <c r="D117">
        <v>4920</v>
      </c>
      <c r="E117">
        <v>10200</v>
      </c>
      <c r="F117">
        <v>16440</v>
      </c>
      <c r="G117">
        <v>29040</v>
      </c>
      <c r="H117">
        <v>29040</v>
      </c>
      <c r="I117">
        <v>29040</v>
      </c>
      <c r="J117">
        <v>9360</v>
      </c>
      <c r="K117">
        <v>19680</v>
      </c>
      <c r="L117">
        <v>19680</v>
      </c>
      <c r="M117">
        <v>19680</v>
      </c>
      <c r="N117">
        <v>23760</v>
      </c>
      <c r="O117">
        <v>13440.000000000002</v>
      </c>
      <c r="P117">
        <v>16920</v>
      </c>
      <c r="Q117">
        <v>22920</v>
      </c>
      <c r="R117">
        <v>21960</v>
      </c>
      <c r="S117">
        <v>13080.000000000002</v>
      </c>
      <c r="T117">
        <v>11520</v>
      </c>
      <c r="U117">
        <v>9120</v>
      </c>
      <c r="AC117">
        <v>321360</v>
      </c>
      <c r="AD117">
        <v>3136560</v>
      </c>
    </row>
    <row r="118" spans="1:30" x14ac:dyDescent="0.3">
      <c r="A118" t="s">
        <v>155</v>
      </c>
      <c r="B118">
        <v>0</v>
      </c>
      <c r="C118">
        <v>1560</v>
      </c>
      <c r="D118">
        <v>4920</v>
      </c>
      <c r="E118">
        <v>10200</v>
      </c>
      <c r="F118">
        <v>16440</v>
      </c>
      <c r="G118">
        <v>29040</v>
      </c>
      <c r="H118">
        <v>29040</v>
      </c>
      <c r="I118">
        <v>29040</v>
      </c>
      <c r="J118">
        <v>9360</v>
      </c>
      <c r="K118">
        <v>19680</v>
      </c>
      <c r="L118">
        <v>19680</v>
      </c>
      <c r="M118">
        <v>19680</v>
      </c>
      <c r="N118">
        <v>23760</v>
      </c>
      <c r="O118">
        <v>13440.000000000002</v>
      </c>
      <c r="P118">
        <v>16920</v>
      </c>
      <c r="Q118">
        <v>22920</v>
      </c>
      <c r="R118">
        <v>21960</v>
      </c>
      <c r="S118">
        <v>13080.000000000002</v>
      </c>
      <c r="T118">
        <v>11520</v>
      </c>
      <c r="U118">
        <v>9120</v>
      </c>
      <c r="V118">
        <v>15360</v>
      </c>
      <c r="AC118">
        <v>336720</v>
      </c>
      <c r="AD118">
        <v>3473280</v>
      </c>
    </row>
    <row r="119" spans="1:30" x14ac:dyDescent="0.3">
      <c r="A119" t="s">
        <v>156</v>
      </c>
      <c r="B119">
        <v>0</v>
      </c>
      <c r="C119">
        <v>1560</v>
      </c>
      <c r="D119">
        <v>4920</v>
      </c>
      <c r="E119">
        <v>10200</v>
      </c>
      <c r="F119">
        <v>16440</v>
      </c>
      <c r="G119">
        <v>29040</v>
      </c>
      <c r="H119">
        <v>29040</v>
      </c>
      <c r="I119">
        <v>29040</v>
      </c>
      <c r="J119">
        <v>9360</v>
      </c>
      <c r="K119">
        <v>19680</v>
      </c>
      <c r="L119">
        <v>19680</v>
      </c>
      <c r="M119">
        <v>19680</v>
      </c>
      <c r="N119">
        <v>23760</v>
      </c>
      <c r="O119">
        <v>13440.000000000002</v>
      </c>
      <c r="P119">
        <v>16920</v>
      </c>
      <c r="Q119">
        <v>22920</v>
      </c>
      <c r="R119">
        <v>21960</v>
      </c>
      <c r="S119">
        <v>13080.000000000002</v>
      </c>
      <c r="T119">
        <v>11520</v>
      </c>
      <c r="U119">
        <v>9120</v>
      </c>
      <c r="V119">
        <v>15360</v>
      </c>
      <c r="W119">
        <v>10560</v>
      </c>
      <c r="AC119">
        <v>347280</v>
      </c>
      <c r="AD119">
        <v>3820560</v>
      </c>
    </row>
    <row r="120" spans="1:30" x14ac:dyDescent="0.3">
      <c r="A120" t="s">
        <v>157</v>
      </c>
      <c r="B120">
        <v>0</v>
      </c>
      <c r="C120">
        <v>1560</v>
      </c>
      <c r="D120">
        <v>4920</v>
      </c>
      <c r="E120">
        <v>10200</v>
      </c>
      <c r="F120">
        <v>16440</v>
      </c>
      <c r="G120">
        <v>29040</v>
      </c>
      <c r="H120">
        <v>29040</v>
      </c>
      <c r="I120">
        <v>29040</v>
      </c>
      <c r="J120">
        <v>9360</v>
      </c>
      <c r="K120">
        <v>19680</v>
      </c>
      <c r="L120">
        <v>19680</v>
      </c>
      <c r="M120">
        <v>19680</v>
      </c>
      <c r="N120">
        <v>23760</v>
      </c>
      <c r="O120">
        <v>13440.000000000002</v>
      </c>
      <c r="P120">
        <v>16920</v>
      </c>
      <c r="Q120">
        <v>22920</v>
      </c>
      <c r="R120">
        <v>21960</v>
      </c>
      <c r="S120">
        <v>13080.000000000002</v>
      </c>
      <c r="T120">
        <v>11520</v>
      </c>
      <c r="U120">
        <v>9120</v>
      </c>
      <c r="V120">
        <v>15360</v>
      </c>
      <c r="W120">
        <v>10560</v>
      </c>
      <c r="X120">
        <v>9000</v>
      </c>
      <c r="AC120">
        <v>356280</v>
      </c>
      <c r="AD120">
        <v>4176840</v>
      </c>
    </row>
    <row r="121" spans="1:30" x14ac:dyDescent="0.3">
      <c r="A121" t="s">
        <v>158</v>
      </c>
      <c r="B121">
        <v>0</v>
      </c>
      <c r="C121">
        <v>1560</v>
      </c>
      <c r="D121">
        <v>4920</v>
      </c>
      <c r="E121">
        <v>10200</v>
      </c>
      <c r="F121">
        <v>16440</v>
      </c>
      <c r="G121">
        <v>29040</v>
      </c>
      <c r="H121">
        <v>29040</v>
      </c>
      <c r="I121">
        <v>29040</v>
      </c>
      <c r="J121">
        <v>9360</v>
      </c>
      <c r="K121">
        <v>19680</v>
      </c>
      <c r="L121">
        <v>19680</v>
      </c>
      <c r="M121">
        <v>19680</v>
      </c>
      <c r="N121">
        <v>23760</v>
      </c>
      <c r="O121">
        <v>13440.000000000002</v>
      </c>
      <c r="P121">
        <v>16920</v>
      </c>
      <c r="Q121">
        <v>22920</v>
      </c>
      <c r="R121">
        <v>21960</v>
      </c>
      <c r="S121">
        <v>13080.000000000002</v>
      </c>
      <c r="T121">
        <v>11520</v>
      </c>
      <c r="U121">
        <v>9120</v>
      </c>
      <c r="V121">
        <v>15360</v>
      </c>
      <c r="W121">
        <v>10560</v>
      </c>
      <c r="X121">
        <v>9000</v>
      </c>
      <c r="Y121">
        <v>2760</v>
      </c>
      <c r="AC121">
        <v>359040</v>
      </c>
      <c r="AD121">
        <v>4535880</v>
      </c>
    </row>
    <row r="122" spans="1:30" x14ac:dyDescent="0.3">
      <c r="A122" t="s">
        <v>159</v>
      </c>
      <c r="B122">
        <v>0</v>
      </c>
      <c r="C122">
        <v>1560</v>
      </c>
      <c r="D122">
        <v>4920</v>
      </c>
      <c r="E122">
        <v>10200</v>
      </c>
      <c r="F122">
        <v>16440</v>
      </c>
      <c r="G122">
        <v>29040</v>
      </c>
      <c r="H122">
        <v>29040</v>
      </c>
      <c r="I122">
        <v>29040</v>
      </c>
      <c r="J122">
        <v>9360</v>
      </c>
      <c r="K122">
        <v>19680</v>
      </c>
      <c r="L122">
        <v>19680</v>
      </c>
      <c r="M122">
        <v>19680</v>
      </c>
      <c r="N122">
        <v>23760</v>
      </c>
      <c r="O122">
        <v>13440.000000000002</v>
      </c>
      <c r="P122">
        <v>16920</v>
      </c>
      <c r="Q122">
        <v>22920</v>
      </c>
      <c r="R122">
        <v>21960</v>
      </c>
      <c r="S122">
        <v>13080.000000000002</v>
      </c>
      <c r="T122">
        <v>11520</v>
      </c>
      <c r="U122">
        <v>9120</v>
      </c>
      <c r="V122">
        <v>15360</v>
      </c>
      <c r="W122">
        <v>10560</v>
      </c>
      <c r="X122">
        <v>9000</v>
      </c>
      <c r="Y122">
        <v>2760</v>
      </c>
      <c r="Z122">
        <v>2400</v>
      </c>
      <c r="AC122">
        <v>361440</v>
      </c>
      <c r="AD122">
        <v>4897320</v>
      </c>
    </row>
    <row r="123" spans="1:30" x14ac:dyDescent="0.3">
      <c r="A123" t="s">
        <v>160</v>
      </c>
      <c r="B123">
        <v>0</v>
      </c>
      <c r="C123">
        <v>1560</v>
      </c>
      <c r="D123">
        <v>4920</v>
      </c>
      <c r="E123">
        <v>10200</v>
      </c>
      <c r="F123">
        <v>16440</v>
      </c>
      <c r="G123">
        <v>29040</v>
      </c>
      <c r="H123">
        <v>29040</v>
      </c>
      <c r="I123">
        <v>29040</v>
      </c>
      <c r="J123">
        <v>9360</v>
      </c>
      <c r="K123">
        <v>19680</v>
      </c>
      <c r="L123">
        <v>19680</v>
      </c>
      <c r="M123">
        <v>19680</v>
      </c>
      <c r="N123">
        <v>23760</v>
      </c>
      <c r="O123">
        <v>13440.000000000002</v>
      </c>
      <c r="P123">
        <v>16920</v>
      </c>
      <c r="Q123">
        <v>22920</v>
      </c>
      <c r="R123">
        <v>21960</v>
      </c>
      <c r="S123">
        <v>13080.000000000002</v>
      </c>
      <c r="T123">
        <v>11520</v>
      </c>
      <c r="U123">
        <v>9120</v>
      </c>
      <c r="V123">
        <v>15360</v>
      </c>
      <c r="W123">
        <v>10560</v>
      </c>
      <c r="X123">
        <v>9000</v>
      </c>
      <c r="Y123">
        <v>2760</v>
      </c>
      <c r="Z123">
        <v>2400</v>
      </c>
      <c r="AA123">
        <v>6959.9999999999991</v>
      </c>
      <c r="AC123">
        <v>368400</v>
      </c>
      <c r="AD123">
        <v>5265720</v>
      </c>
    </row>
    <row r="124" spans="1:30" x14ac:dyDescent="0.3">
      <c r="AC124">
        <v>5265720</v>
      </c>
      <c r="AD124">
        <v>19325192.399999999</v>
      </c>
    </row>
    <row r="125" spans="1:30" x14ac:dyDescent="0.3">
      <c r="AC125">
        <v>5.26572</v>
      </c>
      <c r="AD125">
        <v>19.325192399999999</v>
      </c>
    </row>
    <row r="127" spans="1:30" x14ac:dyDescent="0.3">
      <c r="A127" t="s">
        <v>170</v>
      </c>
      <c r="B127">
        <v>0</v>
      </c>
      <c r="C127">
        <v>405.6</v>
      </c>
      <c r="AC127">
        <v>405.6</v>
      </c>
      <c r="AD127">
        <v>405.6</v>
      </c>
    </row>
    <row r="128" spans="1:30" x14ac:dyDescent="0.3">
      <c r="A128" t="s">
        <v>164</v>
      </c>
      <c r="B128">
        <v>0</v>
      </c>
      <c r="C128">
        <v>405.6</v>
      </c>
      <c r="D128">
        <v>1279.2</v>
      </c>
      <c r="AC128">
        <v>1684.8000000000002</v>
      </c>
      <c r="AD128">
        <v>2090.4</v>
      </c>
    </row>
    <row r="129" spans="1:30" x14ac:dyDescent="0.3">
      <c r="A129" t="s">
        <v>138</v>
      </c>
      <c r="B129">
        <v>0</v>
      </c>
      <c r="C129">
        <v>405.6</v>
      </c>
      <c r="D129">
        <v>1279.2</v>
      </c>
      <c r="E129">
        <v>2652</v>
      </c>
      <c r="AC129">
        <v>4336.8</v>
      </c>
      <c r="AD129">
        <v>6427.2000000000007</v>
      </c>
    </row>
    <row r="130" spans="1:30" x14ac:dyDescent="0.3">
      <c r="A130" t="s">
        <v>139</v>
      </c>
      <c r="B130">
        <v>0</v>
      </c>
      <c r="C130">
        <v>405.6</v>
      </c>
      <c r="D130">
        <v>1279.2</v>
      </c>
      <c r="E130">
        <v>2652</v>
      </c>
      <c r="F130">
        <v>4274.4000000000005</v>
      </c>
      <c r="AC130">
        <v>8611.2000000000007</v>
      </c>
      <c r="AD130">
        <v>15038.400000000001</v>
      </c>
    </row>
    <row r="131" spans="1:30" x14ac:dyDescent="0.3">
      <c r="A131" t="s">
        <v>140</v>
      </c>
      <c r="B131">
        <v>0</v>
      </c>
      <c r="C131">
        <v>405.6</v>
      </c>
      <c r="D131">
        <v>1279.2</v>
      </c>
      <c r="E131">
        <v>2652</v>
      </c>
      <c r="F131">
        <v>4274.4000000000005</v>
      </c>
      <c r="G131">
        <v>7550.4</v>
      </c>
      <c r="AC131">
        <v>16161.6</v>
      </c>
      <c r="AD131">
        <v>31200</v>
      </c>
    </row>
    <row r="132" spans="1:30" x14ac:dyDescent="0.3">
      <c r="A132" t="s">
        <v>141</v>
      </c>
      <c r="B132">
        <v>0</v>
      </c>
      <c r="C132">
        <v>405.6</v>
      </c>
      <c r="D132">
        <v>1279.2</v>
      </c>
      <c r="E132">
        <v>2652</v>
      </c>
      <c r="F132">
        <v>4274.4000000000005</v>
      </c>
      <c r="G132">
        <v>7550.4</v>
      </c>
      <c r="H132">
        <v>7550.4</v>
      </c>
      <c r="AC132">
        <v>23712</v>
      </c>
      <c r="AD132">
        <v>54912</v>
      </c>
    </row>
    <row r="133" spans="1:30" x14ac:dyDescent="0.3">
      <c r="A133" t="s">
        <v>142</v>
      </c>
      <c r="B133">
        <v>0</v>
      </c>
      <c r="C133">
        <v>405.6</v>
      </c>
      <c r="D133">
        <v>1279.2</v>
      </c>
      <c r="E133">
        <v>2652</v>
      </c>
      <c r="F133">
        <v>4274.4000000000005</v>
      </c>
      <c r="G133">
        <v>7550.4</v>
      </c>
      <c r="H133">
        <v>7550.4</v>
      </c>
      <c r="I133">
        <v>7550.4</v>
      </c>
      <c r="AC133">
        <v>31262.400000000001</v>
      </c>
      <c r="AD133">
        <v>86174.399999999994</v>
      </c>
    </row>
    <row r="134" spans="1:30" x14ac:dyDescent="0.3">
      <c r="A134" t="s">
        <v>143</v>
      </c>
      <c r="B134">
        <v>0</v>
      </c>
      <c r="C134">
        <v>405.6</v>
      </c>
      <c r="D134">
        <v>1279.2</v>
      </c>
      <c r="E134">
        <v>2652</v>
      </c>
      <c r="F134">
        <v>4274.4000000000005</v>
      </c>
      <c r="G134">
        <v>7550.4</v>
      </c>
      <c r="H134">
        <v>7550.4</v>
      </c>
      <c r="I134">
        <v>7550.4</v>
      </c>
      <c r="J134">
        <v>2433.6</v>
      </c>
      <c r="AC134">
        <v>33696</v>
      </c>
      <c r="AD134">
        <v>119870.39999999999</v>
      </c>
    </row>
    <row r="135" spans="1:30" x14ac:dyDescent="0.3">
      <c r="A135" t="s">
        <v>144</v>
      </c>
      <c r="B135">
        <v>0</v>
      </c>
      <c r="C135">
        <v>405.6</v>
      </c>
      <c r="D135">
        <v>1279.2</v>
      </c>
      <c r="E135">
        <v>2652</v>
      </c>
      <c r="F135">
        <v>4274.4000000000005</v>
      </c>
      <c r="G135">
        <v>7550.4</v>
      </c>
      <c r="H135">
        <v>7550.4</v>
      </c>
      <c r="I135">
        <v>7550.4</v>
      </c>
      <c r="J135">
        <v>2433.6</v>
      </c>
      <c r="K135">
        <v>5116.8</v>
      </c>
      <c r="AC135">
        <v>38812.800000000003</v>
      </c>
      <c r="AD135">
        <v>158683.20000000001</v>
      </c>
    </row>
    <row r="136" spans="1:30" x14ac:dyDescent="0.3">
      <c r="A136" t="s">
        <v>145</v>
      </c>
      <c r="B136">
        <v>0</v>
      </c>
      <c r="C136">
        <v>405.6</v>
      </c>
      <c r="D136">
        <v>1279.2</v>
      </c>
      <c r="E136">
        <v>2652</v>
      </c>
      <c r="F136">
        <v>4274.4000000000005</v>
      </c>
      <c r="G136">
        <v>7550.4</v>
      </c>
      <c r="H136">
        <v>7550.4</v>
      </c>
      <c r="I136">
        <v>7550.4</v>
      </c>
      <c r="J136">
        <v>2433.6</v>
      </c>
      <c r="K136">
        <v>5116.8</v>
      </c>
      <c r="L136">
        <v>5116.8</v>
      </c>
      <c r="AC136">
        <v>43929.600000000006</v>
      </c>
      <c r="AD136">
        <v>202612.80000000002</v>
      </c>
    </row>
    <row r="137" spans="1:30" x14ac:dyDescent="0.3">
      <c r="A137" t="s">
        <v>146</v>
      </c>
      <c r="B137">
        <v>0</v>
      </c>
      <c r="C137">
        <v>405.6</v>
      </c>
      <c r="D137">
        <v>1279.2</v>
      </c>
      <c r="E137">
        <v>2652</v>
      </c>
      <c r="F137">
        <v>4274.4000000000005</v>
      </c>
      <c r="G137">
        <v>7550.4</v>
      </c>
      <c r="H137">
        <v>7550.4</v>
      </c>
      <c r="I137">
        <v>7550.4</v>
      </c>
      <c r="J137">
        <v>2433.6</v>
      </c>
      <c r="K137">
        <v>5116.8</v>
      </c>
      <c r="L137">
        <v>5116.8</v>
      </c>
      <c r="M137">
        <v>5116.8</v>
      </c>
      <c r="AC137">
        <v>49046.400000000009</v>
      </c>
      <c r="AD137">
        <v>251659.2</v>
      </c>
    </row>
    <row r="138" spans="1:30" x14ac:dyDescent="0.3">
      <c r="A138" t="s">
        <v>147</v>
      </c>
      <c r="B138">
        <v>0</v>
      </c>
      <c r="C138">
        <v>405.6</v>
      </c>
      <c r="D138">
        <v>1279.2</v>
      </c>
      <c r="E138">
        <v>2652</v>
      </c>
      <c r="F138">
        <v>4274.4000000000005</v>
      </c>
      <c r="G138">
        <v>7550.4</v>
      </c>
      <c r="H138">
        <v>7550.4</v>
      </c>
      <c r="I138">
        <v>7550.4</v>
      </c>
      <c r="J138">
        <v>2433.6</v>
      </c>
      <c r="K138">
        <v>5116.8</v>
      </c>
      <c r="L138">
        <v>5116.8</v>
      </c>
      <c r="M138">
        <v>5116.8</v>
      </c>
      <c r="N138">
        <v>6177.6</v>
      </c>
      <c r="AC138">
        <v>55224.000000000007</v>
      </c>
      <c r="AD138">
        <v>306883.20000000001</v>
      </c>
    </row>
    <row r="139" spans="1:30" x14ac:dyDescent="0.3">
      <c r="A139" t="s">
        <v>148</v>
      </c>
      <c r="B139">
        <v>0</v>
      </c>
      <c r="C139">
        <v>405.6</v>
      </c>
      <c r="D139">
        <v>1279.2</v>
      </c>
      <c r="E139">
        <v>2652</v>
      </c>
      <c r="F139">
        <v>4274.4000000000005</v>
      </c>
      <c r="G139">
        <v>7550.4</v>
      </c>
      <c r="H139">
        <v>7550.4</v>
      </c>
      <c r="I139">
        <v>7550.4</v>
      </c>
      <c r="J139">
        <v>2433.6</v>
      </c>
      <c r="K139">
        <v>5116.8</v>
      </c>
      <c r="L139">
        <v>5116.8</v>
      </c>
      <c r="M139">
        <v>5116.8</v>
      </c>
      <c r="N139">
        <v>6177.6</v>
      </c>
      <c r="O139">
        <v>3494.4</v>
      </c>
      <c r="AC139">
        <v>58718.400000000009</v>
      </c>
      <c r="AD139">
        <v>365601.60000000003</v>
      </c>
    </row>
    <row r="140" spans="1:30" x14ac:dyDescent="0.3">
      <c r="A140" t="s">
        <v>149</v>
      </c>
      <c r="B140">
        <v>0</v>
      </c>
      <c r="C140">
        <v>405.6</v>
      </c>
      <c r="D140">
        <v>1279.2</v>
      </c>
      <c r="E140">
        <v>2652</v>
      </c>
      <c r="F140">
        <v>4274.4000000000005</v>
      </c>
      <c r="G140">
        <v>7550.4</v>
      </c>
      <c r="H140">
        <v>7550.4</v>
      </c>
      <c r="I140">
        <v>7550.4</v>
      </c>
      <c r="J140">
        <v>2433.6</v>
      </c>
      <c r="K140">
        <v>5116.8</v>
      </c>
      <c r="L140">
        <v>5116.8</v>
      </c>
      <c r="M140">
        <v>5116.8</v>
      </c>
      <c r="N140">
        <v>6177.6</v>
      </c>
      <c r="O140">
        <v>3494.4</v>
      </c>
      <c r="P140">
        <v>4399.2</v>
      </c>
      <c r="AC140">
        <v>63117.600000000006</v>
      </c>
      <c r="AD140">
        <v>428719.20000000007</v>
      </c>
    </row>
    <row r="141" spans="1:30" x14ac:dyDescent="0.3">
      <c r="A141" t="s">
        <v>150</v>
      </c>
      <c r="B141">
        <v>0</v>
      </c>
      <c r="C141">
        <v>405.6</v>
      </c>
      <c r="D141">
        <v>1279.2</v>
      </c>
      <c r="E141">
        <v>2652</v>
      </c>
      <c r="F141">
        <v>4274.4000000000005</v>
      </c>
      <c r="G141">
        <v>7550.4</v>
      </c>
      <c r="H141">
        <v>7550.4</v>
      </c>
      <c r="I141">
        <v>7550.4</v>
      </c>
      <c r="J141">
        <v>2433.6</v>
      </c>
      <c r="K141">
        <v>5116.8</v>
      </c>
      <c r="L141">
        <v>5116.8</v>
      </c>
      <c r="M141">
        <v>5116.8</v>
      </c>
      <c r="N141">
        <v>6177.6</v>
      </c>
      <c r="O141">
        <v>3494.4</v>
      </c>
      <c r="P141">
        <v>4399.2</v>
      </c>
      <c r="Q141">
        <v>5959.2</v>
      </c>
      <c r="AC141">
        <v>69076.800000000003</v>
      </c>
      <c r="AD141">
        <v>497796.00000000006</v>
      </c>
    </row>
    <row r="142" spans="1:30" x14ac:dyDescent="0.3">
      <c r="A142" t="s">
        <v>151</v>
      </c>
      <c r="B142">
        <v>0</v>
      </c>
      <c r="C142">
        <v>405.6</v>
      </c>
      <c r="D142">
        <v>1279.2</v>
      </c>
      <c r="E142">
        <v>2652</v>
      </c>
      <c r="F142">
        <v>4274.4000000000005</v>
      </c>
      <c r="G142">
        <v>7550.4</v>
      </c>
      <c r="H142">
        <v>7550.4</v>
      </c>
      <c r="I142">
        <v>7550.4</v>
      </c>
      <c r="J142">
        <v>2433.6</v>
      </c>
      <c r="K142">
        <v>5116.8</v>
      </c>
      <c r="L142">
        <v>5116.8</v>
      </c>
      <c r="M142">
        <v>5116.8</v>
      </c>
      <c r="N142">
        <v>6177.6</v>
      </c>
      <c r="O142">
        <v>3494.4</v>
      </c>
      <c r="P142">
        <v>4399.2</v>
      </c>
      <c r="Q142">
        <v>5959.2</v>
      </c>
      <c r="R142">
        <v>5709.6</v>
      </c>
      <c r="AC142">
        <v>74786.400000000009</v>
      </c>
      <c r="AD142">
        <v>572582.40000000002</v>
      </c>
    </row>
    <row r="143" spans="1:30" x14ac:dyDescent="0.3">
      <c r="A143" t="s">
        <v>152</v>
      </c>
      <c r="B143">
        <v>0</v>
      </c>
      <c r="C143">
        <v>405.6</v>
      </c>
      <c r="D143">
        <v>1279.2</v>
      </c>
      <c r="E143">
        <v>2652</v>
      </c>
      <c r="F143">
        <v>4274.4000000000005</v>
      </c>
      <c r="G143">
        <v>7550.4</v>
      </c>
      <c r="H143">
        <v>7550.4</v>
      </c>
      <c r="I143">
        <v>7550.4</v>
      </c>
      <c r="J143">
        <v>2433.6</v>
      </c>
      <c r="K143">
        <v>5116.8</v>
      </c>
      <c r="L143">
        <v>5116.8</v>
      </c>
      <c r="M143">
        <v>5116.8</v>
      </c>
      <c r="N143">
        <v>6177.6</v>
      </c>
      <c r="O143">
        <v>3494.4</v>
      </c>
      <c r="P143">
        <v>4399.2</v>
      </c>
      <c r="Q143">
        <v>5959.2</v>
      </c>
      <c r="R143">
        <v>5709.6</v>
      </c>
      <c r="S143">
        <v>3400.8000000000006</v>
      </c>
      <c r="AC143">
        <v>78187.200000000012</v>
      </c>
      <c r="AD143">
        <v>650769.60000000009</v>
      </c>
    </row>
    <row r="144" spans="1:30" x14ac:dyDescent="0.3">
      <c r="A144" t="s">
        <v>153</v>
      </c>
      <c r="B144">
        <v>0</v>
      </c>
      <c r="C144">
        <v>405.6</v>
      </c>
      <c r="D144">
        <v>1279.2</v>
      </c>
      <c r="E144">
        <v>2652</v>
      </c>
      <c r="F144">
        <v>4274.4000000000005</v>
      </c>
      <c r="G144">
        <v>7550.4</v>
      </c>
      <c r="H144">
        <v>7550.4</v>
      </c>
      <c r="I144">
        <v>7550.4</v>
      </c>
      <c r="J144">
        <v>2433.6</v>
      </c>
      <c r="K144">
        <v>5116.8</v>
      </c>
      <c r="L144">
        <v>5116.8</v>
      </c>
      <c r="M144">
        <v>5116.8</v>
      </c>
      <c r="N144">
        <v>6177.6</v>
      </c>
      <c r="O144">
        <v>3494.4</v>
      </c>
      <c r="P144">
        <v>4399.2</v>
      </c>
      <c r="Q144">
        <v>5959.2</v>
      </c>
      <c r="R144">
        <v>5709.6</v>
      </c>
      <c r="S144">
        <v>3400.8000000000006</v>
      </c>
      <c r="T144">
        <v>2995.2</v>
      </c>
      <c r="AC144">
        <v>81182.400000000009</v>
      </c>
      <c r="AD144">
        <v>731952.00000000012</v>
      </c>
    </row>
    <row r="145" spans="1:30" x14ac:dyDescent="0.3">
      <c r="A145" t="s">
        <v>154</v>
      </c>
      <c r="B145">
        <v>0</v>
      </c>
      <c r="C145">
        <v>405.6</v>
      </c>
      <c r="D145">
        <v>1279.2</v>
      </c>
      <c r="E145">
        <v>2652</v>
      </c>
      <c r="F145">
        <v>4274.4000000000005</v>
      </c>
      <c r="G145">
        <v>7550.4</v>
      </c>
      <c r="H145">
        <v>7550.4</v>
      </c>
      <c r="I145">
        <v>7550.4</v>
      </c>
      <c r="J145">
        <v>2433.6</v>
      </c>
      <c r="K145">
        <v>5116.8</v>
      </c>
      <c r="L145">
        <v>5116.8</v>
      </c>
      <c r="M145">
        <v>5116.8</v>
      </c>
      <c r="N145">
        <v>6177.6</v>
      </c>
      <c r="O145">
        <v>3494.4</v>
      </c>
      <c r="P145">
        <v>4399.2</v>
      </c>
      <c r="Q145">
        <v>5959.2</v>
      </c>
      <c r="R145">
        <v>5709.6</v>
      </c>
      <c r="S145">
        <v>3400.8000000000006</v>
      </c>
      <c r="T145">
        <v>2995.2</v>
      </c>
      <c r="U145">
        <v>2371.1999999999998</v>
      </c>
      <c r="AC145">
        <v>83553.600000000006</v>
      </c>
      <c r="AD145">
        <v>815505.60000000009</v>
      </c>
    </row>
    <row r="146" spans="1:30" x14ac:dyDescent="0.3">
      <c r="A146" t="s">
        <v>155</v>
      </c>
      <c r="B146">
        <v>0</v>
      </c>
      <c r="C146">
        <v>405.6</v>
      </c>
      <c r="D146">
        <v>1279.2</v>
      </c>
      <c r="E146">
        <v>2652</v>
      </c>
      <c r="F146">
        <v>4274.4000000000005</v>
      </c>
      <c r="G146">
        <v>7550.4</v>
      </c>
      <c r="H146">
        <v>7550.4</v>
      </c>
      <c r="I146">
        <v>7550.4</v>
      </c>
      <c r="J146">
        <v>2433.6</v>
      </c>
      <c r="K146">
        <v>5116.8</v>
      </c>
      <c r="L146">
        <v>5116.8</v>
      </c>
      <c r="M146">
        <v>5116.8</v>
      </c>
      <c r="N146">
        <v>6177.6</v>
      </c>
      <c r="O146">
        <v>3494.4</v>
      </c>
      <c r="P146">
        <v>4399.2</v>
      </c>
      <c r="Q146">
        <v>5959.2</v>
      </c>
      <c r="R146">
        <v>5709.6</v>
      </c>
      <c r="S146">
        <v>3400.8000000000006</v>
      </c>
      <c r="T146">
        <v>2995.2</v>
      </c>
      <c r="U146">
        <v>2371.1999999999998</v>
      </c>
      <c r="V146">
        <v>3993.6000000000004</v>
      </c>
      <c r="AC146">
        <v>87547.200000000012</v>
      </c>
      <c r="AD146">
        <v>903052.80000000005</v>
      </c>
    </row>
    <row r="147" spans="1:30" x14ac:dyDescent="0.3">
      <c r="A147" t="s">
        <v>156</v>
      </c>
      <c r="B147">
        <v>0</v>
      </c>
      <c r="C147">
        <v>405.6</v>
      </c>
      <c r="D147">
        <v>1279.2</v>
      </c>
      <c r="E147">
        <v>2652</v>
      </c>
      <c r="F147">
        <v>4274.4000000000005</v>
      </c>
      <c r="G147">
        <v>7550.4</v>
      </c>
      <c r="H147">
        <v>7550.4</v>
      </c>
      <c r="I147">
        <v>7550.4</v>
      </c>
      <c r="J147">
        <v>2433.6</v>
      </c>
      <c r="K147">
        <v>5116.8</v>
      </c>
      <c r="L147">
        <v>5116.8</v>
      </c>
      <c r="M147">
        <v>5116.8</v>
      </c>
      <c r="N147">
        <v>6177.6</v>
      </c>
      <c r="O147">
        <v>3494.4</v>
      </c>
      <c r="P147">
        <v>4399.2</v>
      </c>
      <c r="Q147">
        <v>5959.2</v>
      </c>
      <c r="R147">
        <v>5709.6</v>
      </c>
      <c r="S147">
        <v>3400.8000000000006</v>
      </c>
      <c r="T147">
        <v>2995.2</v>
      </c>
      <c r="U147">
        <v>2371.1999999999998</v>
      </c>
      <c r="V147">
        <v>3993.6000000000004</v>
      </c>
      <c r="W147">
        <v>2745.6</v>
      </c>
      <c r="AC147">
        <v>90292.800000000017</v>
      </c>
      <c r="AD147">
        <v>993345.60000000009</v>
      </c>
    </row>
    <row r="148" spans="1:30" x14ac:dyDescent="0.3">
      <c r="A148" t="s">
        <v>157</v>
      </c>
      <c r="B148">
        <v>0</v>
      </c>
      <c r="C148">
        <v>405.6</v>
      </c>
      <c r="D148">
        <v>1279.2</v>
      </c>
      <c r="E148">
        <v>2652</v>
      </c>
      <c r="F148">
        <v>4274.4000000000005</v>
      </c>
      <c r="G148">
        <v>7550.4</v>
      </c>
      <c r="H148">
        <v>7550.4</v>
      </c>
      <c r="I148">
        <v>7550.4</v>
      </c>
      <c r="J148">
        <v>2433.6</v>
      </c>
      <c r="K148">
        <v>5116.8</v>
      </c>
      <c r="L148">
        <v>5116.8</v>
      </c>
      <c r="M148">
        <v>5116.8</v>
      </c>
      <c r="N148">
        <v>6177.6</v>
      </c>
      <c r="O148">
        <v>3494.4</v>
      </c>
      <c r="P148">
        <v>4399.2</v>
      </c>
      <c r="Q148">
        <v>5959.2</v>
      </c>
      <c r="R148">
        <v>5709.6</v>
      </c>
      <c r="S148">
        <v>3400.8000000000006</v>
      </c>
      <c r="T148">
        <v>2995.2</v>
      </c>
      <c r="U148">
        <v>2371.1999999999998</v>
      </c>
      <c r="V148">
        <v>3993.6000000000004</v>
      </c>
      <c r="W148">
        <v>2745.6</v>
      </c>
      <c r="X148">
        <v>2340</v>
      </c>
      <c r="AC148">
        <v>92632.800000000017</v>
      </c>
      <c r="AD148">
        <v>1085978.4000000001</v>
      </c>
    </row>
    <row r="149" spans="1:30" x14ac:dyDescent="0.3">
      <c r="A149" t="s">
        <v>158</v>
      </c>
      <c r="B149">
        <v>0</v>
      </c>
      <c r="C149">
        <v>405.6</v>
      </c>
      <c r="D149">
        <v>1279.2</v>
      </c>
      <c r="E149">
        <v>2652</v>
      </c>
      <c r="F149">
        <v>4274.4000000000005</v>
      </c>
      <c r="G149">
        <v>7550.4</v>
      </c>
      <c r="H149">
        <v>7550.4</v>
      </c>
      <c r="I149">
        <v>7550.4</v>
      </c>
      <c r="J149">
        <v>2433.6</v>
      </c>
      <c r="K149">
        <v>5116.8</v>
      </c>
      <c r="L149">
        <v>5116.8</v>
      </c>
      <c r="M149">
        <v>5116.8</v>
      </c>
      <c r="N149">
        <v>6177.6</v>
      </c>
      <c r="O149">
        <v>3494.4</v>
      </c>
      <c r="P149">
        <v>4399.2</v>
      </c>
      <c r="Q149">
        <v>5959.2</v>
      </c>
      <c r="R149">
        <v>5709.6</v>
      </c>
      <c r="S149">
        <v>3400.8000000000006</v>
      </c>
      <c r="T149">
        <v>2995.2</v>
      </c>
      <c r="U149">
        <v>2371.1999999999998</v>
      </c>
      <c r="V149">
        <v>3993.6000000000004</v>
      </c>
      <c r="W149">
        <v>2745.6</v>
      </c>
      <c r="X149">
        <v>2340</v>
      </c>
      <c r="Y149">
        <v>717.6</v>
      </c>
      <c r="AC149">
        <v>93350.400000000023</v>
      </c>
      <c r="AD149">
        <v>1179328.8000000003</v>
      </c>
    </row>
    <row r="150" spans="1:30" x14ac:dyDescent="0.3">
      <c r="A150" t="s">
        <v>159</v>
      </c>
      <c r="B150">
        <v>0</v>
      </c>
      <c r="C150">
        <v>405.6</v>
      </c>
      <c r="D150">
        <v>1279.2</v>
      </c>
      <c r="E150">
        <v>2652</v>
      </c>
      <c r="F150">
        <v>4274.4000000000005</v>
      </c>
      <c r="G150">
        <v>7550.4</v>
      </c>
      <c r="H150">
        <v>7550.4</v>
      </c>
      <c r="I150">
        <v>7550.4</v>
      </c>
      <c r="J150">
        <v>2433.6</v>
      </c>
      <c r="K150">
        <v>5116.8</v>
      </c>
      <c r="L150">
        <v>5116.8</v>
      </c>
      <c r="M150">
        <v>5116.8</v>
      </c>
      <c r="N150">
        <v>6177.6</v>
      </c>
      <c r="O150">
        <v>3494.4</v>
      </c>
      <c r="P150">
        <v>4399.2</v>
      </c>
      <c r="Q150">
        <v>5959.2</v>
      </c>
      <c r="R150">
        <v>5709.6</v>
      </c>
      <c r="S150">
        <v>3400.8000000000006</v>
      </c>
      <c r="T150">
        <v>2995.2</v>
      </c>
      <c r="U150">
        <v>2371.1999999999998</v>
      </c>
      <c r="V150">
        <v>3993.6000000000004</v>
      </c>
      <c r="W150">
        <v>2745.6</v>
      </c>
      <c r="X150">
        <v>2340</v>
      </c>
      <c r="Y150">
        <v>717.6</v>
      </c>
      <c r="Z150">
        <v>624</v>
      </c>
      <c r="AC150">
        <v>93974.400000000023</v>
      </c>
      <c r="AD150">
        <v>1273303.2000000002</v>
      </c>
    </row>
    <row r="151" spans="1:30" x14ac:dyDescent="0.3">
      <c r="A151" t="s">
        <v>160</v>
      </c>
      <c r="B151">
        <v>0</v>
      </c>
      <c r="C151">
        <v>405.6</v>
      </c>
      <c r="D151">
        <v>1279.2</v>
      </c>
      <c r="E151">
        <v>2652</v>
      </c>
      <c r="F151">
        <v>4274.4000000000005</v>
      </c>
      <c r="G151">
        <v>7550.4</v>
      </c>
      <c r="H151">
        <v>7550.4</v>
      </c>
      <c r="I151">
        <v>7550.4</v>
      </c>
      <c r="J151">
        <v>2433.6</v>
      </c>
      <c r="K151">
        <v>5116.8</v>
      </c>
      <c r="L151">
        <v>5116.8</v>
      </c>
      <c r="M151">
        <v>5116.8</v>
      </c>
      <c r="N151">
        <v>6177.6</v>
      </c>
      <c r="O151">
        <v>3494.4</v>
      </c>
      <c r="P151">
        <v>4399.2</v>
      </c>
      <c r="Q151">
        <v>5959.2</v>
      </c>
      <c r="R151">
        <v>5709.6</v>
      </c>
      <c r="S151">
        <v>3400.8000000000006</v>
      </c>
      <c r="T151">
        <v>2995.2</v>
      </c>
      <c r="U151">
        <v>2371.1999999999998</v>
      </c>
      <c r="V151">
        <v>3993.6000000000004</v>
      </c>
      <c r="W151">
        <v>2745.6</v>
      </c>
      <c r="X151">
        <v>2340</v>
      </c>
      <c r="Y151">
        <v>717.6</v>
      </c>
      <c r="Z151">
        <v>624</v>
      </c>
      <c r="AA151">
        <v>1809.6</v>
      </c>
      <c r="AC151">
        <v>95784.000000000029</v>
      </c>
      <c r="AD151">
        <v>1369087.2000000002</v>
      </c>
    </row>
    <row r="152" spans="1:30" x14ac:dyDescent="0.3">
      <c r="AC152">
        <v>1369087.2000000002</v>
      </c>
      <c r="AD152">
        <v>5024550.0240000002</v>
      </c>
    </row>
    <row r="153" spans="1:30" x14ac:dyDescent="0.3">
      <c r="AC153">
        <v>1.3690872000000003</v>
      </c>
      <c r="AD153">
        <v>5.0245500239999998</v>
      </c>
    </row>
    <row r="155" spans="1:30" x14ac:dyDescent="0.3">
      <c r="A155" t="s">
        <v>171</v>
      </c>
      <c r="B155">
        <v>1993</v>
      </c>
      <c r="C155">
        <v>1994</v>
      </c>
      <c r="D155">
        <v>1995</v>
      </c>
      <c r="E155">
        <v>1996</v>
      </c>
      <c r="F155">
        <v>1997</v>
      </c>
      <c r="G155">
        <v>1998</v>
      </c>
      <c r="H155">
        <v>1999</v>
      </c>
      <c r="I155">
        <v>2000</v>
      </c>
      <c r="J155">
        <v>2001</v>
      </c>
      <c r="K155">
        <v>2002</v>
      </c>
      <c r="L155">
        <v>2003</v>
      </c>
      <c r="M155">
        <v>2004</v>
      </c>
      <c r="N155">
        <v>2005</v>
      </c>
      <c r="O155">
        <v>2006</v>
      </c>
      <c r="P155">
        <v>2007</v>
      </c>
      <c r="Q155">
        <v>2008</v>
      </c>
      <c r="R155">
        <v>2009</v>
      </c>
      <c r="S155">
        <v>2010</v>
      </c>
      <c r="T155">
        <v>2011</v>
      </c>
      <c r="U155">
        <v>2012</v>
      </c>
      <c r="V155">
        <v>2013</v>
      </c>
      <c r="W155">
        <v>2014</v>
      </c>
      <c r="X155">
        <v>2015</v>
      </c>
      <c r="Y155">
        <v>2016</v>
      </c>
      <c r="Z155">
        <v>2017</v>
      </c>
      <c r="AA155">
        <v>2018</v>
      </c>
    </row>
    <row r="156" spans="1:30" x14ac:dyDescent="0.3">
      <c r="A156" t="s">
        <v>172</v>
      </c>
      <c r="B156">
        <v>0</v>
      </c>
      <c r="C156">
        <v>0.18</v>
      </c>
      <c r="D156">
        <v>0.57999999999999996</v>
      </c>
      <c r="E156">
        <v>1.04</v>
      </c>
      <c r="F156">
        <v>1.62</v>
      </c>
      <c r="G156">
        <v>2.27</v>
      </c>
      <c r="H156">
        <v>2.27</v>
      </c>
      <c r="I156">
        <v>2.27</v>
      </c>
      <c r="J156">
        <v>0.7</v>
      </c>
      <c r="K156">
        <v>1.51</v>
      </c>
      <c r="L156">
        <v>1.51</v>
      </c>
      <c r="M156">
        <v>1.51</v>
      </c>
      <c r="N156">
        <v>2.0699999999999998</v>
      </c>
      <c r="O156">
        <v>1.28</v>
      </c>
      <c r="P156">
        <v>2.0699999999999998</v>
      </c>
      <c r="Q156">
        <v>2.46</v>
      </c>
      <c r="R156">
        <v>2.0699999999999998</v>
      </c>
      <c r="S156">
        <v>1.44</v>
      </c>
      <c r="T156">
        <v>1.38</v>
      </c>
      <c r="U156">
        <v>0.91</v>
      </c>
      <c r="V156">
        <v>1.26</v>
      </c>
      <c r="W156">
        <v>1.19</v>
      </c>
      <c r="X156">
        <v>0.38</v>
      </c>
      <c r="Y156">
        <v>0.67</v>
      </c>
      <c r="Z156">
        <v>0.64</v>
      </c>
      <c r="AA156">
        <v>0.94</v>
      </c>
    </row>
    <row r="157" spans="1:30" x14ac:dyDescent="0.3">
      <c r="A157" t="s">
        <v>173</v>
      </c>
      <c r="B157">
        <v>0</v>
      </c>
      <c r="C157">
        <v>2160</v>
      </c>
      <c r="AC157">
        <v>2160</v>
      </c>
      <c r="AD157">
        <v>2160</v>
      </c>
    </row>
    <row r="158" spans="1:30" x14ac:dyDescent="0.3">
      <c r="A158" t="s">
        <v>164</v>
      </c>
      <c r="B158">
        <v>0</v>
      </c>
      <c r="C158">
        <v>2160</v>
      </c>
      <c r="D158">
        <v>6959.9999999999991</v>
      </c>
      <c r="AC158">
        <v>9120</v>
      </c>
      <c r="AD158">
        <v>11280</v>
      </c>
    </row>
    <row r="159" spans="1:30" x14ac:dyDescent="0.3">
      <c r="A159" t="s">
        <v>138</v>
      </c>
      <c r="B159">
        <v>0</v>
      </c>
      <c r="C159">
        <v>2160</v>
      </c>
      <c r="D159">
        <v>6959.9999999999991</v>
      </c>
      <c r="E159">
        <v>12480</v>
      </c>
      <c r="AC159">
        <v>21600</v>
      </c>
      <c r="AD159">
        <v>32880</v>
      </c>
    </row>
    <row r="160" spans="1:30" x14ac:dyDescent="0.3">
      <c r="A160" t="s">
        <v>139</v>
      </c>
      <c r="B160">
        <v>0</v>
      </c>
      <c r="C160">
        <v>2160</v>
      </c>
      <c r="D160">
        <v>6959.9999999999991</v>
      </c>
      <c r="E160">
        <v>12480</v>
      </c>
      <c r="F160">
        <v>19440</v>
      </c>
      <c r="AC160">
        <v>41040</v>
      </c>
      <c r="AD160">
        <v>73920</v>
      </c>
    </row>
    <row r="161" spans="1:30" x14ac:dyDescent="0.3">
      <c r="A161" t="s">
        <v>140</v>
      </c>
      <c r="B161">
        <v>0</v>
      </c>
      <c r="C161">
        <v>2160</v>
      </c>
      <c r="D161">
        <v>6959.9999999999991</v>
      </c>
      <c r="E161">
        <v>12480</v>
      </c>
      <c r="F161">
        <v>19440</v>
      </c>
      <c r="G161">
        <v>27240</v>
      </c>
      <c r="AC161">
        <v>68280</v>
      </c>
      <c r="AD161">
        <v>142200</v>
      </c>
    </row>
    <row r="162" spans="1:30" x14ac:dyDescent="0.3">
      <c r="A162" t="s">
        <v>141</v>
      </c>
      <c r="B162">
        <v>0</v>
      </c>
      <c r="C162">
        <v>2160</v>
      </c>
      <c r="D162">
        <v>6959.9999999999991</v>
      </c>
      <c r="E162">
        <v>12480</v>
      </c>
      <c r="F162">
        <v>19440</v>
      </c>
      <c r="G162">
        <v>27240</v>
      </c>
      <c r="H162">
        <v>27240</v>
      </c>
      <c r="AC162">
        <v>95520</v>
      </c>
      <c r="AD162">
        <v>237720</v>
      </c>
    </row>
    <row r="163" spans="1:30" x14ac:dyDescent="0.3">
      <c r="A163" t="s">
        <v>142</v>
      </c>
      <c r="B163">
        <v>0</v>
      </c>
      <c r="C163">
        <v>2160</v>
      </c>
      <c r="D163">
        <v>6959.9999999999991</v>
      </c>
      <c r="E163">
        <v>12480</v>
      </c>
      <c r="F163">
        <v>19440</v>
      </c>
      <c r="G163">
        <v>27240</v>
      </c>
      <c r="H163">
        <v>27240</v>
      </c>
      <c r="I163">
        <v>27240</v>
      </c>
      <c r="AC163">
        <v>122760</v>
      </c>
      <c r="AD163">
        <v>360480</v>
      </c>
    </row>
    <row r="164" spans="1:30" x14ac:dyDescent="0.3">
      <c r="A164" t="s">
        <v>143</v>
      </c>
      <c r="B164">
        <v>0</v>
      </c>
      <c r="C164">
        <v>2160</v>
      </c>
      <c r="D164">
        <v>6959.9999999999991</v>
      </c>
      <c r="E164">
        <v>12480</v>
      </c>
      <c r="F164">
        <v>19440</v>
      </c>
      <c r="G164">
        <v>27240</v>
      </c>
      <c r="H164">
        <v>27240</v>
      </c>
      <c r="I164">
        <v>27240</v>
      </c>
      <c r="J164">
        <v>8400</v>
      </c>
      <c r="AC164">
        <v>131160</v>
      </c>
      <c r="AD164">
        <v>491640</v>
      </c>
    </row>
    <row r="165" spans="1:30" x14ac:dyDescent="0.3">
      <c r="A165" t="s">
        <v>144</v>
      </c>
      <c r="B165">
        <v>0</v>
      </c>
      <c r="C165">
        <v>2160</v>
      </c>
      <c r="D165">
        <v>6959.9999999999991</v>
      </c>
      <c r="E165">
        <v>12480</v>
      </c>
      <c r="F165">
        <v>19440</v>
      </c>
      <c r="G165">
        <v>27240</v>
      </c>
      <c r="H165">
        <v>27240</v>
      </c>
      <c r="I165">
        <v>27240</v>
      </c>
      <c r="J165">
        <v>8400</v>
      </c>
      <c r="K165">
        <v>18120</v>
      </c>
      <c r="AC165">
        <v>149280</v>
      </c>
      <c r="AD165">
        <v>640920</v>
      </c>
    </row>
    <row r="166" spans="1:30" x14ac:dyDescent="0.3">
      <c r="A166" t="s">
        <v>145</v>
      </c>
      <c r="B166">
        <v>0</v>
      </c>
      <c r="C166">
        <v>2160</v>
      </c>
      <c r="D166">
        <v>6959.9999999999991</v>
      </c>
      <c r="E166">
        <v>12480</v>
      </c>
      <c r="F166">
        <v>19440</v>
      </c>
      <c r="G166">
        <v>27240</v>
      </c>
      <c r="H166">
        <v>27240</v>
      </c>
      <c r="I166">
        <v>27240</v>
      </c>
      <c r="J166">
        <v>8400</v>
      </c>
      <c r="K166">
        <v>18120</v>
      </c>
      <c r="L166">
        <v>18120</v>
      </c>
      <c r="AC166">
        <v>167400</v>
      </c>
      <c r="AD166">
        <v>808320</v>
      </c>
    </row>
    <row r="167" spans="1:30" x14ac:dyDescent="0.3">
      <c r="A167" t="s">
        <v>146</v>
      </c>
      <c r="B167">
        <v>0</v>
      </c>
      <c r="C167">
        <v>2160</v>
      </c>
      <c r="D167">
        <v>6959.9999999999991</v>
      </c>
      <c r="E167">
        <v>12480</v>
      </c>
      <c r="F167">
        <v>19440</v>
      </c>
      <c r="G167">
        <v>27240</v>
      </c>
      <c r="H167">
        <v>27240</v>
      </c>
      <c r="I167">
        <v>27240</v>
      </c>
      <c r="J167">
        <v>8400</v>
      </c>
      <c r="K167">
        <v>18120</v>
      </c>
      <c r="L167">
        <v>18120</v>
      </c>
      <c r="M167">
        <v>18120</v>
      </c>
      <c r="AC167">
        <v>185520</v>
      </c>
      <c r="AD167">
        <v>993840</v>
      </c>
    </row>
    <row r="168" spans="1:30" x14ac:dyDescent="0.3">
      <c r="A168" t="s">
        <v>147</v>
      </c>
      <c r="B168">
        <v>0</v>
      </c>
      <c r="C168">
        <v>2160</v>
      </c>
      <c r="D168">
        <v>6959.9999999999991</v>
      </c>
      <c r="E168">
        <v>12480</v>
      </c>
      <c r="F168">
        <v>19440</v>
      </c>
      <c r="G168">
        <v>27240</v>
      </c>
      <c r="H168">
        <v>27240</v>
      </c>
      <c r="I168">
        <v>27240</v>
      </c>
      <c r="J168">
        <v>8400</v>
      </c>
      <c r="K168">
        <v>18120</v>
      </c>
      <c r="L168">
        <v>18120</v>
      </c>
      <c r="M168">
        <v>18120</v>
      </c>
      <c r="N168">
        <v>24839.999999999996</v>
      </c>
      <c r="AC168">
        <v>210360</v>
      </c>
      <c r="AD168">
        <v>1204200</v>
      </c>
    </row>
    <row r="169" spans="1:30" x14ac:dyDescent="0.3">
      <c r="A169" t="s">
        <v>148</v>
      </c>
      <c r="B169">
        <v>0</v>
      </c>
      <c r="C169">
        <v>2160</v>
      </c>
      <c r="D169">
        <v>6959.9999999999991</v>
      </c>
      <c r="E169">
        <v>12480</v>
      </c>
      <c r="F169">
        <v>19440</v>
      </c>
      <c r="G169">
        <v>27240</v>
      </c>
      <c r="H169">
        <v>27240</v>
      </c>
      <c r="I169">
        <v>27240</v>
      </c>
      <c r="J169">
        <v>8400</v>
      </c>
      <c r="K169">
        <v>18120</v>
      </c>
      <c r="L169">
        <v>18120</v>
      </c>
      <c r="M169">
        <v>18120</v>
      </c>
      <c r="N169">
        <v>24839.999999999996</v>
      </c>
      <c r="O169">
        <v>15360</v>
      </c>
      <c r="AC169">
        <v>225720</v>
      </c>
      <c r="AD169">
        <v>1429920</v>
      </c>
    </row>
    <row r="170" spans="1:30" x14ac:dyDescent="0.3">
      <c r="A170" t="s">
        <v>149</v>
      </c>
      <c r="B170">
        <v>0</v>
      </c>
      <c r="C170">
        <v>2160</v>
      </c>
      <c r="D170">
        <v>6959.9999999999991</v>
      </c>
      <c r="E170">
        <v>12480</v>
      </c>
      <c r="F170">
        <v>19440</v>
      </c>
      <c r="G170">
        <v>27240</v>
      </c>
      <c r="H170">
        <v>27240</v>
      </c>
      <c r="I170">
        <v>27240</v>
      </c>
      <c r="J170">
        <v>8400</v>
      </c>
      <c r="K170">
        <v>18120</v>
      </c>
      <c r="L170">
        <v>18120</v>
      </c>
      <c r="M170">
        <v>18120</v>
      </c>
      <c r="N170">
        <v>24839.999999999996</v>
      </c>
      <c r="O170">
        <v>15360</v>
      </c>
      <c r="P170">
        <v>24839.999999999996</v>
      </c>
      <c r="AC170">
        <v>250560</v>
      </c>
      <c r="AD170">
        <v>1680480</v>
      </c>
    </row>
    <row r="171" spans="1:30" x14ac:dyDescent="0.3">
      <c r="A171" t="s">
        <v>150</v>
      </c>
      <c r="B171">
        <v>0</v>
      </c>
      <c r="C171">
        <v>2160</v>
      </c>
      <c r="D171">
        <v>6959.9999999999991</v>
      </c>
      <c r="E171">
        <v>12480</v>
      </c>
      <c r="F171">
        <v>19440</v>
      </c>
      <c r="G171">
        <v>27240</v>
      </c>
      <c r="H171">
        <v>27240</v>
      </c>
      <c r="I171">
        <v>27240</v>
      </c>
      <c r="J171">
        <v>8400</v>
      </c>
      <c r="K171">
        <v>18120</v>
      </c>
      <c r="L171">
        <v>18120</v>
      </c>
      <c r="M171">
        <v>18120</v>
      </c>
      <c r="N171">
        <v>24839.999999999996</v>
      </c>
      <c r="O171">
        <v>15360</v>
      </c>
      <c r="P171">
        <v>24839.999999999996</v>
      </c>
      <c r="Q171">
        <v>29520</v>
      </c>
      <c r="AC171">
        <v>280080</v>
      </c>
      <c r="AD171">
        <v>1960560</v>
      </c>
    </row>
    <row r="172" spans="1:30" x14ac:dyDescent="0.3">
      <c r="A172" t="s">
        <v>151</v>
      </c>
      <c r="B172">
        <v>0</v>
      </c>
      <c r="C172">
        <v>2160</v>
      </c>
      <c r="D172">
        <v>6959.9999999999991</v>
      </c>
      <c r="E172">
        <v>12480</v>
      </c>
      <c r="F172">
        <v>19440</v>
      </c>
      <c r="G172">
        <v>27240</v>
      </c>
      <c r="H172">
        <v>27240</v>
      </c>
      <c r="I172">
        <v>27240</v>
      </c>
      <c r="J172">
        <v>8400</v>
      </c>
      <c r="K172">
        <v>18120</v>
      </c>
      <c r="L172">
        <v>18120</v>
      </c>
      <c r="M172">
        <v>18120</v>
      </c>
      <c r="N172">
        <v>24839.999999999996</v>
      </c>
      <c r="O172">
        <v>15360</v>
      </c>
      <c r="P172">
        <v>24839.999999999996</v>
      </c>
      <c r="Q172">
        <v>29520</v>
      </c>
      <c r="R172">
        <v>24839.999999999996</v>
      </c>
      <c r="AC172">
        <v>304920</v>
      </c>
      <c r="AD172">
        <v>2265480</v>
      </c>
    </row>
    <row r="173" spans="1:30" x14ac:dyDescent="0.3">
      <c r="A173" t="s">
        <v>152</v>
      </c>
      <c r="B173">
        <v>0</v>
      </c>
      <c r="C173">
        <v>2160</v>
      </c>
      <c r="D173">
        <v>6959.9999999999991</v>
      </c>
      <c r="E173">
        <v>12480</v>
      </c>
      <c r="F173">
        <v>19440</v>
      </c>
      <c r="G173">
        <v>27240</v>
      </c>
      <c r="H173">
        <v>27240</v>
      </c>
      <c r="I173">
        <v>27240</v>
      </c>
      <c r="J173">
        <v>8400</v>
      </c>
      <c r="K173">
        <v>18120</v>
      </c>
      <c r="L173">
        <v>18120</v>
      </c>
      <c r="M173">
        <v>18120</v>
      </c>
      <c r="N173">
        <v>24839.999999999996</v>
      </c>
      <c r="O173">
        <v>15360</v>
      </c>
      <c r="P173">
        <v>24839.999999999996</v>
      </c>
      <c r="Q173">
        <v>29520</v>
      </c>
      <c r="R173">
        <v>24839.999999999996</v>
      </c>
      <c r="S173">
        <v>17280</v>
      </c>
      <c r="AC173">
        <v>322200</v>
      </c>
      <c r="AD173">
        <v>2587680</v>
      </c>
    </row>
    <row r="174" spans="1:30" x14ac:dyDescent="0.3">
      <c r="A174" t="s">
        <v>153</v>
      </c>
      <c r="B174">
        <v>0</v>
      </c>
      <c r="C174">
        <v>2160</v>
      </c>
      <c r="D174">
        <v>6959.9999999999991</v>
      </c>
      <c r="E174">
        <v>12480</v>
      </c>
      <c r="F174">
        <v>19440</v>
      </c>
      <c r="G174">
        <v>27240</v>
      </c>
      <c r="H174">
        <v>27240</v>
      </c>
      <c r="I174">
        <v>27240</v>
      </c>
      <c r="J174">
        <v>8400</v>
      </c>
      <c r="K174">
        <v>18120</v>
      </c>
      <c r="L174">
        <v>18120</v>
      </c>
      <c r="M174">
        <v>18120</v>
      </c>
      <c r="N174">
        <v>24839.999999999996</v>
      </c>
      <c r="O174">
        <v>15360</v>
      </c>
      <c r="P174">
        <v>24839.999999999996</v>
      </c>
      <c r="Q174">
        <v>29520</v>
      </c>
      <c r="R174">
        <v>24839.999999999996</v>
      </c>
      <c r="S174">
        <v>17280</v>
      </c>
      <c r="T174">
        <v>16560</v>
      </c>
      <c r="AC174">
        <v>338760</v>
      </c>
      <c r="AD174">
        <v>2926440</v>
      </c>
    </row>
    <row r="175" spans="1:30" x14ac:dyDescent="0.3">
      <c r="A175" t="s">
        <v>154</v>
      </c>
      <c r="B175">
        <v>0</v>
      </c>
      <c r="C175">
        <v>2160</v>
      </c>
      <c r="D175">
        <v>6959.9999999999991</v>
      </c>
      <c r="E175">
        <v>12480</v>
      </c>
      <c r="F175">
        <v>19440</v>
      </c>
      <c r="G175">
        <v>27240</v>
      </c>
      <c r="H175">
        <v>27240</v>
      </c>
      <c r="I175">
        <v>27240</v>
      </c>
      <c r="J175">
        <v>8400</v>
      </c>
      <c r="K175">
        <v>18120</v>
      </c>
      <c r="L175">
        <v>18120</v>
      </c>
      <c r="M175">
        <v>18120</v>
      </c>
      <c r="N175">
        <v>24839.999999999996</v>
      </c>
      <c r="O175">
        <v>15360</v>
      </c>
      <c r="P175">
        <v>24839.999999999996</v>
      </c>
      <c r="Q175">
        <v>29520</v>
      </c>
      <c r="R175">
        <v>24839.999999999996</v>
      </c>
      <c r="S175">
        <v>17280</v>
      </c>
      <c r="T175">
        <v>16560</v>
      </c>
      <c r="U175">
        <v>10920</v>
      </c>
      <c r="AC175">
        <v>349680</v>
      </c>
      <c r="AD175">
        <v>3276120</v>
      </c>
    </row>
    <row r="176" spans="1:30" x14ac:dyDescent="0.3">
      <c r="A176" t="s">
        <v>155</v>
      </c>
      <c r="B176">
        <v>0</v>
      </c>
      <c r="C176">
        <v>2160</v>
      </c>
      <c r="D176">
        <v>6959.9999999999991</v>
      </c>
      <c r="E176">
        <v>12480</v>
      </c>
      <c r="F176">
        <v>19440</v>
      </c>
      <c r="G176">
        <v>27240</v>
      </c>
      <c r="H176">
        <v>27240</v>
      </c>
      <c r="I176">
        <v>27240</v>
      </c>
      <c r="J176">
        <v>8400</v>
      </c>
      <c r="K176">
        <v>18120</v>
      </c>
      <c r="L176">
        <v>18120</v>
      </c>
      <c r="M176">
        <v>18120</v>
      </c>
      <c r="N176">
        <v>24839.999999999996</v>
      </c>
      <c r="O176">
        <v>15360</v>
      </c>
      <c r="P176">
        <v>24839.999999999996</v>
      </c>
      <c r="Q176">
        <v>29520</v>
      </c>
      <c r="R176">
        <v>24839.999999999996</v>
      </c>
      <c r="S176">
        <v>17280</v>
      </c>
      <c r="T176">
        <v>16560</v>
      </c>
      <c r="U176">
        <v>10920</v>
      </c>
      <c r="V176">
        <v>15120</v>
      </c>
      <c r="AC176">
        <v>364800</v>
      </c>
      <c r="AD176">
        <v>3640920</v>
      </c>
    </row>
    <row r="177" spans="1:30" x14ac:dyDescent="0.3">
      <c r="A177" t="s">
        <v>156</v>
      </c>
      <c r="B177">
        <v>0</v>
      </c>
      <c r="C177">
        <v>2160</v>
      </c>
      <c r="D177">
        <v>6959.9999999999991</v>
      </c>
      <c r="E177">
        <v>12480</v>
      </c>
      <c r="F177">
        <v>19440</v>
      </c>
      <c r="G177">
        <v>27240</v>
      </c>
      <c r="H177">
        <v>27240</v>
      </c>
      <c r="I177">
        <v>27240</v>
      </c>
      <c r="J177">
        <v>8400</v>
      </c>
      <c r="K177">
        <v>18120</v>
      </c>
      <c r="L177">
        <v>18120</v>
      </c>
      <c r="M177">
        <v>18120</v>
      </c>
      <c r="N177">
        <v>24839.999999999996</v>
      </c>
      <c r="O177">
        <v>15360</v>
      </c>
      <c r="P177">
        <v>24839.999999999996</v>
      </c>
      <c r="Q177">
        <v>29520</v>
      </c>
      <c r="R177">
        <v>24839.999999999996</v>
      </c>
      <c r="S177">
        <v>17280</v>
      </c>
      <c r="T177">
        <v>16560</v>
      </c>
      <c r="U177">
        <v>10920</v>
      </c>
      <c r="V177">
        <v>15120</v>
      </c>
      <c r="W177">
        <v>14280</v>
      </c>
      <c r="AC177">
        <v>379080</v>
      </c>
      <c r="AD177">
        <v>4020000</v>
      </c>
    </row>
    <row r="178" spans="1:30" x14ac:dyDescent="0.3">
      <c r="A178" t="s">
        <v>157</v>
      </c>
      <c r="B178">
        <v>0</v>
      </c>
      <c r="C178">
        <v>2160</v>
      </c>
      <c r="D178">
        <v>6959.9999999999991</v>
      </c>
      <c r="E178">
        <v>12480</v>
      </c>
      <c r="F178">
        <v>19440</v>
      </c>
      <c r="G178">
        <v>27240</v>
      </c>
      <c r="H178">
        <v>27240</v>
      </c>
      <c r="I178">
        <v>27240</v>
      </c>
      <c r="J178">
        <v>8400</v>
      </c>
      <c r="K178">
        <v>18120</v>
      </c>
      <c r="L178">
        <v>18120</v>
      </c>
      <c r="M178">
        <v>18120</v>
      </c>
      <c r="N178">
        <v>24839.999999999996</v>
      </c>
      <c r="O178">
        <v>15360</v>
      </c>
      <c r="P178">
        <v>24839.999999999996</v>
      </c>
      <c r="Q178">
        <v>29520</v>
      </c>
      <c r="R178">
        <v>24839.999999999996</v>
      </c>
      <c r="S178">
        <v>17280</v>
      </c>
      <c r="T178">
        <v>16560</v>
      </c>
      <c r="U178">
        <v>10920</v>
      </c>
      <c r="V178">
        <v>15120</v>
      </c>
      <c r="W178">
        <v>14280</v>
      </c>
      <c r="X178">
        <v>4560</v>
      </c>
      <c r="AC178">
        <v>383640</v>
      </c>
      <c r="AD178">
        <v>4403640</v>
      </c>
    </row>
    <row r="179" spans="1:30" x14ac:dyDescent="0.3">
      <c r="A179" t="s">
        <v>158</v>
      </c>
      <c r="B179">
        <v>0</v>
      </c>
      <c r="C179">
        <v>2160</v>
      </c>
      <c r="D179">
        <v>6959.9999999999991</v>
      </c>
      <c r="E179">
        <v>12480</v>
      </c>
      <c r="F179">
        <v>19440</v>
      </c>
      <c r="G179">
        <v>27240</v>
      </c>
      <c r="H179">
        <v>27240</v>
      </c>
      <c r="I179">
        <v>27240</v>
      </c>
      <c r="J179">
        <v>8400</v>
      </c>
      <c r="K179">
        <v>18120</v>
      </c>
      <c r="L179">
        <v>18120</v>
      </c>
      <c r="M179">
        <v>18120</v>
      </c>
      <c r="N179">
        <v>24839.999999999996</v>
      </c>
      <c r="O179">
        <v>15360</v>
      </c>
      <c r="P179">
        <v>24839.999999999996</v>
      </c>
      <c r="Q179">
        <v>29520</v>
      </c>
      <c r="R179">
        <v>24839.999999999996</v>
      </c>
      <c r="S179">
        <v>17280</v>
      </c>
      <c r="T179">
        <v>16560</v>
      </c>
      <c r="U179">
        <v>10920</v>
      </c>
      <c r="V179">
        <v>15120</v>
      </c>
      <c r="W179">
        <v>14280</v>
      </c>
      <c r="X179">
        <v>4560</v>
      </c>
      <c r="Y179">
        <v>8040.0000000000009</v>
      </c>
      <c r="AC179">
        <v>391680</v>
      </c>
      <c r="AD179">
        <v>4795320</v>
      </c>
    </row>
    <row r="180" spans="1:30" x14ac:dyDescent="0.3">
      <c r="A180" t="s">
        <v>159</v>
      </c>
      <c r="B180">
        <v>0</v>
      </c>
      <c r="C180">
        <v>2160</v>
      </c>
      <c r="D180">
        <v>6959.9999999999991</v>
      </c>
      <c r="E180">
        <v>12480</v>
      </c>
      <c r="F180">
        <v>19440</v>
      </c>
      <c r="G180">
        <v>27240</v>
      </c>
      <c r="H180">
        <v>27240</v>
      </c>
      <c r="I180">
        <v>27240</v>
      </c>
      <c r="J180">
        <v>8400</v>
      </c>
      <c r="K180">
        <v>18120</v>
      </c>
      <c r="L180">
        <v>18120</v>
      </c>
      <c r="M180">
        <v>18120</v>
      </c>
      <c r="N180">
        <v>24839.999999999996</v>
      </c>
      <c r="O180">
        <v>15360</v>
      </c>
      <c r="P180">
        <v>24839.999999999996</v>
      </c>
      <c r="Q180">
        <v>29520</v>
      </c>
      <c r="R180">
        <v>24839.999999999996</v>
      </c>
      <c r="S180">
        <v>17280</v>
      </c>
      <c r="T180">
        <v>16560</v>
      </c>
      <c r="U180">
        <v>10920</v>
      </c>
      <c r="V180">
        <v>15120</v>
      </c>
      <c r="W180">
        <v>14280</v>
      </c>
      <c r="X180">
        <v>4560</v>
      </c>
      <c r="Y180">
        <v>8040.0000000000009</v>
      </c>
      <c r="Z180">
        <v>7680</v>
      </c>
      <c r="AC180">
        <v>399360</v>
      </c>
      <c r="AD180">
        <v>5194680</v>
      </c>
    </row>
    <row r="181" spans="1:30" x14ac:dyDescent="0.3">
      <c r="A181" t="s">
        <v>160</v>
      </c>
      <c r="B181">
        <v>0</v>
      </c>
      <c r="C181">
        <v>2160</v>
      </c>
      <c r="D181">
        <v>6959.9999999999991</v>
      </c>
      <c r="E181">
        <v>12480</v>
      </c>
      <c r="F181">
        <v>19440</v>
      </c>
      <c r="G181">
        <v>27240</v>
      </c>
      <c r="H181">
        <v>27240</v>
      </c>
      <c r="I181">
        <v>27240</v>
      </c>
      <c r="J181">
        <v>8400</v>
      </c>
      <c r="K181">
        <v>18120</v>
      </c>
      <c r="L181">
        <v>18120</v>
      </c>
      <c r="M181">
        <v>18120</v>
      </c>
      <c r="N181">
        <v>24839.999999999996</v>
      </c>
      <c r="O181">
        <v>15360</v>
      </c>
      <c r="P181">
        <v>24839.999999999996</v>
      </c>
      <c r="Q181">
        <v>29520</v>
      </c>
      <c r="R181">
        <v>24839.999999999996</v>
      </c>
      <c r="S181">
        <v>17280</v>
      </c>
      <c r="T181">
        <v>16560</v>
      </c>
      <c r="U181">
        <v>10920</v>
      </c>
      <c r="V181">
        <v>15120</v>
      </c>
      <c r="W181">
        <v>14280</v>
      </c>
      <c r="X181">
        <v>4560</v>
      </c>
      <c r="Y181">
        <v>8040.0000000000009</v>
      </c>
      <c r="Z181">
        <v>7680</v>
      </c>
      <c r="AA181">
        <v>11280</v>
      </c>
      <c r="AC181">
        <v>410640</v>
      </c>
      <c r="AD181">
        <v>5605320</v>
      </c>
    </row>
    <row r="182" spans="1:30" x14ac:dyDescent="0.3">
      <c r="AC182">
        <v>5605320</v>
      </c>
      <c r="AD182">
        <v>20571524.399999999</v>
      </c>
    </row>
    <row r="183" spans="1:30" x14ac:dyDescent="0.3">
      <c r="AC183">
        <v>5.6053199999999999</v>
      </c>
      <c r="AD183">
        <v>20.571524399999998</v>
      </c>
    </row>
    <row r="185" spans="1:30" x14ac:dyDescent="0.3">
      <c r="A185" t="s">
        <v>174</v>
      </c>
      <c r="B185">
        <v>0</v>
      </c>
      <c r="C185">
        <v>561.6</v>
      </c>
      <c r="AC185">
        <v>561.6</v>
      </c>
      <c r="AD185">
        <v>561.6</v>
      </c>
    </row>
    <row r="186" spans="1:30" x14ac:dyDescent="0.3">
      <c r="A186" t="s">
        <v>164</v>
      </c>
      <c r="B186">
        <v>0</v>
      </c>
      <c r="C186">
        <v>561.6</v>
      </c>
      <c r="D186">
        <v>1809.6</v>
      </c>
      <c r="AC186">
        <v>2371.1999999999998</v>
      </c>
      <c r="AD186">
        <v>2932.7999999999997</v>
      </c>
    </row>
    <row r="187" spans="1:30" x14ac:dyDescent="0.3">
      <c r="A187" t="s">
        <v>138</v>
      </c>
      <c r="B187">
        <v>0</v>
      </c>
      <c r="C187">
        <v>561.6</v>
      </c>
      <c r="D187">
        <v>1809.6</v>
      </c>
      <c r="E187">
        <v>3244.8</v>
      </c>
      <c r="AC187">
        <v>5616</v>
      </c>
      <c r="AD187">
        <v>8548.7999999999993</v>
      </c>
    </row>
    <row r="188" spans="1:30" x14ac:dyDescent="0.3">
      <c r="A188" t="s">
        <v>139</v>
      </c>
      <c r="B188">
        <v>0</v>
      </c>
      <c r="C188">
        <v>561.6</v>
      </c>
      <c r="D188">
        <v>1809.6</v>
      </c>
      <c r="E188">
        <v>3244.8</v>
      </c>
      <c r="F188">
        <v>5054.4000000000005</v>
      </c>
      <c r="AC188">
        <v>10670.400000000001</v>
      </c>
      <c r="AD188">
        <v>19219.2</v>
      </c>
    </row>
    <row r="189" spans="1:30" x14ac:dyDescent="0.3">
      <c r="A189" t="s">
        <v>140</v>
      </c>
      <c r="B189">
        <v>0</v>
      </c>
      <c r="C189">
        <v>561.6</v>
      </c>
      <c r="D189">
        <v>1809.6</v>
      </c>
      <c r="E189">
        <v>3244.8</v>
      </c>
      <c r="F189">
        <v>5054.4000000000005</v>
      </c>
      <c r="G189">
        <v>7082.4000000000005</v>
      </c>
      <c r="AC189">
        <v>17752.800000000003</v>
      </c>
      <c r="AD189">
        <v>36972</v>
      </c>
    </row>
    <row r="190" spans="1:30" x14ac:dyDescent="0.3">
      <c r="A190" t="s">
        <v>141</v>
      </c>
      <c r="B190">
        <v>0</v>
      </c>
      <c r="C190">
        <v>561.6</v>
      </c>
      <c r="D190">
        <v>1809.6</v>
      </c>
      <c r="E190">
        <v>3244.8</v>
      </c>
      <c r="F190">
        <v>5054.4000000000005</v>
      </c>
      <c r="G190">
        <v>7082.4000000000005</v>
      </c>
      <c r="H190">
        <v>7082.4000000000005</v>
      </c>
      <c r="AC190">
        <v>24835.200000000004</v>
      </c>
      <c r="AD190">
        <v>61807.200000000004</v>
      </c>
    </row>
    <row r="191" spans="1:30" x14ac:dyDescent="0.3">
      <c r="A191" t="s">
        <v>142</v>
      </c>
      <c r="B191">
        <v>0</v>
      </c>
      <c r="C191">
        <v>561.6</v>
      </c>
      <c r="D191">
        <v>1809.6</v>
      </c>
      <c r="E191">
        <v>3244.8</v>
      </c>
      <c r="F191">
        <v>5054.4000000000005</v>
      </c>
      <c r="G191">
        <v>7082.4000000000005</v>
      </c>
      <c r="H191">
        <v>7082.4000000000005</v>
      </c>
      <c r="I191">
        <v>7082.4000000000005</v>
      </c>
      <c r="AC191">
        <v>31917.600000000006</v>
      </c>
      <c r="AD191">
        <v>93724.800000000017</v>
      </c>
    </row>
    <row r="192" spans="1:30" x14ac:dyDescent="0.3">
      <c r="A192" t="s">
        <v>143</v>
      </c>
      <c r="B192">
        <v>0</v>
      </c>
      <c r="C192">
        <v>561.6</v>
      </c>
      <c r="D192">
        <v>1809.6</v>
      </c>
      <c r="E192">
        <v>3244.8</v>
      </c>
      <c r="F192">
        <v>5054.4000000000005</v>
      </c>
      <c r="G192">
        <v>7082.4000000000005</v>
      </c>
      <c r="H192">
        <v>7082.4000000000005</v>
      </c>
      <c r="I192">
        <v>7082.4000000000005</v>
      </c>
      <c r="J192">
        <v>2184</v>
      </c>
      <c r="AC192">
        <v>34101.600000000006</v>
      </c>
      <c r="AD192">
        <v>127826.40000000002</v>
      </c>
    </row>
    <row r="193" spans="1:30" x14ac:dyDescent="0.3">
      <c r="A193" t="s">
        <v>144</v>
      </c>
      <c r="B193">
        <v>0</v>
      </c>
      <c r="C193">
        <v>561.6</v>
      </c>
      <c r="D193">
        <v>1809.6</v>
      </c>
      <c r="E193">
        <v>3244.8</v>
      </c>
      <c r="F193">
        <v>5054.4000000000005</v>
      </c>
      <c r="G193">
        <v>7082.4000000000005</v>
      </c>
      <c r="H193">
        <v>7082.4000000000005</v>
      </c>
      <c r="I193">
        <v>7082.4000000000005</v>
      </c>
      <c r="J193">
        <v>2184</v>
      </c>
      <c r="K193">
        <v>4711.2</v>
      </c>
      <c r="AC193">
        <v>38812.800000000003</v>
      </c>
      <c r="AD193">
        <v>166639.20000000001</v>
      </c>
    </row>
    <row r="194" spans="1:30" x14ac:dyDescent="0.3">
      <c r="A194" t="s">
        <v>145</v>
      </c>
      <c r="B194">
        <v>0</v>
      </c>
      <c r="C194">
        <v>561.6</v>
      </c>
      <c r="D194">
        <v>1809.6</v>
      </c>
      <c r="E194">
        <v>3244.8</v>
      </c>
      <c r="F194">
        <v>5054.4000000000005</v>
      </c>
      <c r="G194">
        <v>7082.4000000000005</v>
      </c>
      <c r="H194">
        <v>7082.4000000000005</v>
      </c>
      <c r="I194">
        <v>7082.4000000000005</v>
      </c>
      <c r="J194">
        <v>2184</v>
      </c>
      <c r="K194">
        <v>4711.2</v>
      </c>
      <c r="L194">
        <v>4711.2</v>
      </c>
      <c r="AC194">
        <v>43524</v>
      </c>
      <c r="AD194">
        <v>210163.20000000001</v>
      </c>
    </row>
    <row r="195" spans="1:30" x14ac:dyDescent="0.3">
      <c r="A195" t="s">
        <v>146</v>
      </c>
      <c r="B195">
        <v>0</v>
      </c>
      <c r="C195">
        <v>561.6</v>
      </c>
      <c r="D195">
        <v>1809.6</v>
      </c>
      <c r="E195">
        <v>3244.8</v>
      </c>
      <c r="F195">
        <v>5054.4000000000005</v>
      </c>
      <c r="G195">
        <v>7082.4000000000005</v>
      </c>
      <c r="H195">
        <v>7082.4000000000005</v>
      </c>
      <c r="I195">
        <v>7082.4000000000005</v>
      </c>
      <c r="J195">
        <v>2184</v>
      </c>
      <c r="K195">
        <v>4711.2</v>
      </c>
      <c r="L195">
        <v>4711.2</v>
      </c>
      <c r="M195">
        <v>4711.2</v>
      </c>
      <c r="AC195">
        <v>48235.199999999997</v>
      </c>
      <c r="AD195">
        <v>258398.40000000002</v>
      </c>
    </row>
    <row r="196" spans="1:30" x14ac:dyDescent="0.3">
      <c r="A196" t="s">
        <v>147</v>
      </c>
      <c r="B196">
        <v>0</v>
      </c>
      <c r="C196">
        <v>561.6</v>
      </c>
      <c r="D196">
        <v>1809.6</v>
      </c>
      <c r="E196">
        <v>3244.8</v>
      </c>
      <c r="F196">
        <v>5054.4000000000005</v>
      </c>
      <c r="G196">
        <v>7082.4000000000005</v>
      </c>
      <c r="H196">
        <v>7082.4000000000005</v>
      </c>
      <c r="I196">
        <v>7082.4000000000005</v>
      </c>
      <c r="J196">
        <v>2184</v>
      </c>
      <c r="K196">
        <v>4711.2</v>
      </c>
      <c r="L196">
        <v>4711.2</v>
      </c>
      <c r="M196">
        <v>4711.2</v>
      </c>
      <c r="N196">
        <v>6458.4000000000005</v>
      </c>
      <c r="AC196">
        <v>54693.599999999999</v>
      </c>
      <c r="AD196">
        <v>313092</v>
      </c>
    </row>
    <row r="197" spans="1:30" x14ac:dyDescent="0.3">
      <c r="A197" t="s">
        <v>148</v>
      </c>
      <c r="B197">
        <v>0</v>
      </c>
      <c r="C197">
        <v>561.6</v>
      </c>
      <c r="D197">
        <v>1809.6</v>
      </c>
      <c r="E197">
        <v>3244.8</v>
      </c>
      <c r="F197">
        <v>5054.4000000000005</v>
      </c>
      <c r="G197">
        <v>7082.4000000000005</v>
      </c>
      <c r="H197">
        <v>7082.4000000000005</v>
      </c>
      <c r="I197">
        <v>7082.4000000000005</v>
      </c>
      <c r="J197">
        <v>2184</v>
      </c>
      <c r="K197">
        <v>4711.2</v>
      </c>
      <c r="L197">
        <v>4711.2</v>
      </c>
      <c r="M197">
        <v>4711.2</v>
      </c>
      <c r="N197">
        <v>6458.4000000000005</v>
      </c>
      <c r="O197">
        <v>3993.6000000000004</v>
      </c>
      <c r="AC197">
        <v>58687.199999999997</v>
      </c>
      <c r="AD197">
        <v>371779.2</v>
      </c>
    </row>
    <row r="198" spans="1:30" x14ac:dyDescent="0.3">
      <c r="A198" t="s">
        <v>149</v>
      </c>
      <c r="B198">
        <v>0</v>
      </c>
      <c r="C198">
        <v>561.6</v>
      </c>
      <c r="D198">
        <v>1809.6</v>
      </c>
      <c r="E198">
        <v>3244.8</v>
      </c>
      <c r="F198">
        <v>5054.4000000000005</v>
      </c>
      <c r="G198">
        <v>7082.4000000000005</v>
      </c>
      <c r="H198">
        <v>7082.4000000000005</v>
      </c>
      <c r="I198">
        <v>7082.4000000000005</v>
      </c>
      <c r="J198">
        <v>2184</v>
      </c>
      <c r="K198">
        <v>4711.2</v>
      </c>
      <c r="L198">
        <v>4711.2</v>
      </c>
      <c r="M198">
        <v>4711.2</v>
      </c>
      <c r="N198">
        <v>6458.4000000000005</v>
      </c>
      <c r="O198">
        <v>3993.6000000000004</v>
      </c>
      <c r="P198">
        <v>6458.4000000000005</v>
      </c>
      <c r="AC198">
        <v>65145.599999999999</v>
      </c>
      <c r="AD198">
        <v>436924.8</v>
      </c>
    </row>
    <row r="199" spans="1:30" x14ac:dyDescent="0.3">
      <c r="A199" t="s">
        <v>150</v>
      </c>
      <c r="B199">
        <v>0</v>
      </c>
      <c r="C199">
        <v>561.6</v>
      </c>
      <c r="D199">
        <v>1809.6</v>
      </c>
      <c r="E199">
        <v>3244.8</v>
      </c>
      <c r="F199">
        <v>5054.4000000000005</v>
      </c>
      <c r="G199">
        <v>7082.4000000000005</v>
      </c>
      <c r="H199">
        <v>7082.4000000000005</v>
      </c>
      <c r="I199">
        <v>7082.4000000000005</v>
      </c>
      <c r="J199">
        <v>2184</v>
      </c>
      <c r="K199">
        <v>4711.2</v>
      </c>
      <c r="L199">
        <v>4711.2</v>
      </c>
      <c r="M199">
        <v>4711.2</v>
      </c>
      <c r="N199">
        <v>6458.4000000000005</v>
      </c>
      <c r="O199">
        <v>3993.6000000000004</v>
      </c>
      <c r="P199">
        <v>6458.4000000000005</v>
      </c>
      <c r="Q199">
        <v>7675.2000000000007</v>
      </c>
      <c r="AC199">
        <v>72820.800000000003</v>
      </c>
      <c r="AD199">
        <v>509745.6</v>
      </c>
    </row>
    <row r="200" spans="1:30" x14ac:dyDescent="0.3">
      <c r="A200" t="s">
        <v>151</v>
      </c>
      <c r="B200">
        <v>0</v>
      </c>
      <c r="C200">
        <v>561.6</v>
      </c>
      <c r="D200">
        <v>1809.6</v>
      </c>
      <c r="E200">
        <v>3244.8</v>
      </c>
      <c r="F200">
        <v>5054.4000000000005</v>
      </c>
      <c r="G200">
        <v>7082.4000000000005</v>
      </c>
      <c r="H200">
        <v>7082.4000000000005</v>
      </c>
      <c r="I200">
        <v>7082.4000000000005</v>
      </c>
      <c r="J200">
        <v>2184</v>
      </c>
      <c r="K200">
        <v>4711.2</v>
      </c>
      <c r="L200">
        <v>4711.2</v>
      </c>
      <c r="M200">
        <v>4711.2</v>
      </c>
      <c r="N200">
        <v>6458.4000000000005</v>
      </c>
      <c r="O200">
        <v>3993.6000000000004</v>
      </c>
      <c r="P200">
        <v>6458.4000000000005</v>
      </c>
      <c r="Q200">
        <v>7675.2000000000007</v>
      </c>
      <c r="R200">
        <v>6458.4000000000005</v>
      </c>
      <c r="AC200">
        <v>79279.199999999997</v>
      </c>
      <c r="AD200">
        <v>589024.79999999993</v>
      </c>
    </row>
    <row r="201" spans="1:30" x14ac:dyDescent="0.3">
      <c r="A201" t="s">
        <v>152</v>
      </c>
      <c r="B201">
        <v>0</v>
      </c>
      <c r="C201">
        <v>561.6</v>
      </c>
      <c r="D201">
        <v>1809.6</v>
      </c>
      <c r="E201">
        <v>3244.8</v>
      </c>
      <c r="F201">
        <v>5054.4000000000005</v>
      </c>
      <c r="G201">
        <v>7082.4000000000005</v>
      </c>
      <c r="H201">
        <v>7082.4000000000005</v>
      </c>
      <c r="I201">
        <v>7082.4000000000005</v>
      </c>
      <c r="J201">
        <v>2184</v>
      </c>
      <c r="K201">
        <v>4711.2</v>
      </c>
      <c r="L201">
        <v>4711.2</v>
      </c>
      <c r="M201">
        <v>4711.2</v>
      </c>
      <c r="N201">
        <v>6458.4000000000005</v>
      </c>
      <c r="O201">
        <v>3993.6000000000004</v>
      </c>
      <c r="P201">
        <v>6458.4000000000005</v>
      </c>
      <c r="Q201">
        <v>7675.2000000000007</v>
      </c>
      <c r="R201">
        <v>6458.4000000000005</v>
      </c>
      <c r="S201">
        <v>4492.8</v>
      </c>
      <c r="AC201">
        <v>83772</v>
      </c>
      <c r="AD201">
        <v>672796.79999999993</v>
      </c>
    </row>
    <row r="202" spans="1:30" x14ac:dyDescent="0.3">
      <c r="A202" t="s">
        <v>153</v>
      </c>
      <c r="B202">
        <v>0</v>
      </c>
      <c r="C202">
        <v>561.6</v>
      </c>
      <c r="D202">
        <v>1809.6</v>
      </c>
      <c r="E202">
        <v>3244.8</v>
      </c>
      <c r="F202">
        <v>5054.4000000000005</v>
      </c>
      <c r="G202">
        <v>7082.4000000000005</v>
      </c>
      <c r="H202">
        <v>7082.4000000000005</v>
      </c>
      <c r="I202">
        <v>7082.4000000000005</v>
      </c>
      <c r="J202">
        <v>2184</v>
      </c>
      <c r="K202">
        <v>4711.2</v>
      </c>
      <c r="L202">
        <v>4711.2</v>
      </c>
      <c r="M202">
        <v>4711.2</v>
      </c>
      <c r="N202">
        <v>6458.4000000000005</v>
      </c>
      <c r="O202">
        <v>3993.6000000000004</v>
      </c>
      <c r="P202">
        <v>6458.4000000000005</v>
      </c>
      <c r="Q202">
        <v>7675.2000000000007</v>
      </c>
      <c r="R202">
        <v>6458.4000000000005</v>
      </c>
      <c r="S202">
        <v>4492.8</v>
      </c>
      <c r="T202">
        <v>4305.6000000000004</v>
      </c>
      <c r="AC202">
        <v>88077.6</v>
      </c>
      <c r="AD202">
        <v>760874.39999999991</v>
      </c>
    </row>
    <row r="203" spans="1:30" x14ac:dyDescent="0.3">
      <c r="A203" t="s">
        <v>154</v>
      </c>
      <c r="B203">
        <v>0</v>
      </c>
      <c r="C203">
        <v>561.6</v>
      </c>
      <c r="D203">
        <v>1809.6</v>
      </c>
      <c r="E203">
        <v>3244.8</v>
      </c>
      <c r="F203">
        <v>5054.4000000000005</v>
      </c>
      <c r="G203">
        <v>7082.4000000000005</v>
      </c>
      <c r="H203">
        <v>7082.4000000000005</v>
      </c>
      <c r="I203">
        <v>7082.4000000000005</v>
      </c>
      <c r="J203">
        <v>2184</v>
      </c>
      <c r="K203">
        <v>4711.2</v>
      </c>
      <c r="L203">
        <v>4711.2</v>
      </c>
      <c r="M203">
        <v>4711.2</v>
      </c>
      <c r="N203">
        <v>6458.4000000000005</v>
      </c>
      <c r="O203">
        <v>3993.6000000000004</v>
      </c>
      <c r="P203">
        <v>6458.4000000000005</v>
      </c>
      <c r="Q203">
        <v>7675.2000000000007</v>
      </c>
      <c r="R203">
        <v>6458.4000000000005</v>
      </c>
      <c r="S203">
        <v>4492.8</v>
      </c>
      <c r="T203">
        <v>4305.6000000000004</v>
      </c>
      <c r="U203">
        <v>2839.2000000000003</v>
      </c>
      <c r="AC203">
        <v>90916.800000000003</v>
      </c>
      <c r="AD203">
        <v>851791.2</v>
      </c>
    </row>
    <row r="204" spans="1:30" x14ac:dyDescent="0.3">
      <c r="A204" t="s">
        <v>155</v>
      </c>
      <c r="B204">
        <v>0</v>
      </c>
      <c r="C204">
        <v>561.6</v>
      </c>
      <c r="D204">
        <v>1809.6</v>
      </c>
      <c r="E204">
        <v>3244.8</v>
      </c>
      <c r="F204">
        <v>5054.4000000000005</v>
      </c>
      <c r="G204">
        <v>7082.4000000000005</v>
      </c>
      <c r="H204">
        <v>7082.4000000000005</v>
      </c>
      <c r="I204">
        <v>7082.4000000000005</v>
      </c>
      <c r="J204">
        <v>2184</v>
      </c>
      <c r="K204">
        <v>4711.2</v>
      </c>
      <c r="L204">
        <v>4711.2</v>
      </c>
      <c r="M204">
        <v>4711.2</v>
      </c>
      <c r="N204">
        <v>6458.4000000000005</v>
      </c>
      <c r="O204">
        <v>3993.6000000000004</v>
      </c>
      <c r="P204">
        <v>6458.4000000000005</v>
      </c>
      <c r="Q204">
        <v>7675.2000000000007</v>
      </c>
      <c r="R204">
        <v>6458.4000000000005</v>
      </c>
      <c r="S204">
        <v>4492.8</v>
      </c>
      <c r="T204">
        <v>4305.6000000000004</v>
      </c>
      <c r="U204">
        <v>2839.2000000000003</v>
      </c>
      <c r="V204">
        <v>3931.2</v>
      </c>
      <c r="AC204">
        <v>94848</v>
      </c>
      <c r="AD204">
        <v>946639.2</v>
      </c>
    </row>
    <row r="205" spans="1:30" x14ac:dyDescent="0.3">
      <c r="A205" t="s">
        <v>156</v>
      </c>
      <c r="B205">
        <v>0</v>
      </c>
      <c r="C205">
        <v>561.6</v>
      </c>
      <c r="D205">
        <v>1809.6</v>
      </c>
      <c r="E205">
        <v>3244.8</v>
      </c>
      <c r="F205">
        <v>5054.4000000000005</v>
      </c>
      <c r="G205">
        <v>7082.4000000000005</v>
      </c>
      <c r="H205">
        <v>7082.4000000000005</v>
      </c>
      <c r="I205">
        <v>7082.4000000000005</v>
      </c>
      <c r="J205">
        <v>2184</v>
      </c>
      <c r="K205">
        <v>4711.2</v>
      </c>
      <c r="L205">
        <v>4711.2</v>
      </c>
      <c r="M205">
        <v>4711.2</v>
      </c>
      <c r="N205">
        <v>6458.4000000000005</v>
      </c>
      <c r="O205">
        <v>3993.6000000000004</v>
      </c>
      <c r="P205">
        <v>6458.4000000000005</v>
      </c>
      <c r="Q205">
        <v>7675.2000000000007</v>
      </c>
      <c r="R205">
        <v>6458.4000000000005</v>
      </c>
      <c r="S205">
        <v>4492.8</v>
      </c>
      <c r="T205">
        <v>4305.6000000000004</v>
      </c>
      <c r="U205">
        <v>2839.2000000000003</v>
      </c>
      <c r="V205">
        <v>3931.2</v>
      </c>
      <c r="W205">
        <v>3712.8</v>
      </c>
      <c r="AC205">
        <v>98560.8</v>
      </c>
      <c r="AD205">
        <v>1045200</v>
      </c>
    </row>
    <row r="206" spans="1:30" x14ac:dyDescent="0.3">
      <c r="A206" t="s">
        <v>157</v>
      </c>
      <c r="B206">
        <v>0</v>
      </c>
      <c r="C206">
        <v>561.6</v>
      </c>
      <c r="D206">
        <v>1809.6</v>
      </c>
      <c r="E206">
        <v>3244.8</v>
      </c>
      <c r="F206">
        <v>5054.4000000000005</v>
      </c>
      <c r="G206">
        <v>7082.4000000000005</v>
      </c>
      <c r="H206">
        <v>7082.4000000000005</v>
      </c>
      <c r="I206">
        <v>7082.4000000000005</v>
      </c>
      <c r="J206">
        <v>2184</v>
      </c>
      <c r="K206">
        <v>4711.2</v>
      </c>
      <c r="L206">
        <v>4711.2</v>
      </c>
      <c r="M206">
        <v>4711.2</v>
      </c>
      <c r="N206">
        <v>6458.4000000000005</v>
      </c>
      <c r="O206">
        <v>3993.6000000000004</v>
      </c>
      <c r="P206">
        <v>6458.4000000000005</v>
      </c>
      <c r="Q206">
        <v>7675.2000000000007</v>
      </c>
      <c r="R206">
        <v>6458.4000000000005</v>
      </c>
      <c r="S206">
        <v>4492.8</v>
      </c>
      <c r="T206">
        <v>4305.6000000000004</v>
      </c>
      <c r="U206">
        <v>2839.2000000000003</v>
      </c>
      <c r="V206">
        <v>3931.2</v>
      </c>
      <c r="W206">
        <v>3712.8</v>
      </c>
      <c r="X206">
        <v>1185.5999999999999</v>
      </c>
      <c r="AC206">
        <v>99746.400000000009</v>
      </c>
      <c r="AD206">
        <v>1144946.3999999999</v>
      </c>
    </row>
    <row r="207" spans="1:30" x14ac:dyDescent="0.3">
      <c r="A207" t="s">
        <v>158</v>
      </c>
      <c r="B207">
        <v>0</v>
      </c>
      <c r="C207">
        <v>561.6</v>
      </c>
      <c r="D207">
        <v>1809.6</v>
      </c>
      <c r="E207">
        <v>3244.8</v>
      </c>
      <c r="F207">
        <v>5054.4000000000005</v>
      </c>
      <c r="G207">
        <v>7082.4000000000005</v>
      </c>
      <c r="H207">
        <v>7082.4000000000005</v>
      </c>
      <c r="I207">
        <v>7082.4000000000005</v>
      </c>
      <c r="J207">
        <v>2184</v>
      </c>
      <c r="K207">
        <v>4711.2</v>
      </c>
      <c r="L207">
        <v>4711.2</v>
      </c>
      <c r="M207">
        <v>4711.2</v>
      </c>
      <c r="N207">
        <v>6458.4000000000005</v>
      </c>
      <c r="O207">
        <v>3993.6000000000004</v>
      </c>
      <c r="P207">
        <v>6458.4000000000005</v>
      </c>
      <c r="Q207">
        <v>7675.2000000000007</v>
      </c>
      <c r="R207">
        <v>6458.4000000000005</v>
      </c>
      <c r="S207">
        <v>4492.8</v>
      </c>
      <c r="T207">
        <v>4305.6000000000004</v>
      </c>
      <c r="U207">
        <v>2839.2000000000003</v>
      </c>
      <c r="V207">
        <v>3931.2</v>
      </c>
      <c r="W207">
        <v>3712.8</v>
      </c>
      <c r="X207">
        <v>1185.5999999999999</v>
      </c>
      <c r="Y207">
        <v>2090.4</v>
      </c>
      <c r="AC207">
        <v>101836.8</v>
      </c>
      <c r="AD207">
        <v>1246783.2</v>
      </c>
    </row>
    <row r="208" spans="1:30" x14ac:dyDescent="0.3">
      <c r="A208" t="s">
        <v>159</v>
      </c>
      <c r="B208">
        <v>0</v>
      </c>
      <c r="C208">
        <v>561.6</v>
      </c>
      <c r="D208">
        <v>1809.6</v>
      </c>
      <c r="E208">
        <v>3244.8</v>
      </c>
      <c r="F208">
        <v>5054.4000000000005</v>
      </c>
      <c r="G208">
        <v>7082.4000000000005</v>
      </c>
      <c r="H208">
        <v>7082.4000000000005</v>
      </c>
      <c r="I208">
        <v>7082.4000000000005</v>
      </c>
      <c r="J208">
        <v>2184</v>
      </c>
      <c r="K208">
        <v>4711.2</v>
      </c>
      <c r="L208">
        <v>4711.2</v>
      </c>
      <c r="M208">
        <v>4711.2</v>
      </c>
      <c r="N208">
        <v>6458.4000000000005</v>
      </c>
      <c r="O208">
        <v>3993.6000000000004</v>
      </c>
      <c r="P208">
        <v>6458.4000000000005</v>
      </c>
      <c r="Q208">
        <v>7675.2000000000007</v>
      </c>
      <c r="R208">
        <v>6458.4000000000005</v>
      </c>
      <c r="S208">
        <v>4492.8</v>
      </c>
      <c r="T208">
        <v>4305.6000000000004</v>
      </c>
      <c r="U208">
        <v>2839.2000000000003</v>
      </c>
      <c r="V208">
        <v>3931.2</v>
      </c>
      <c r="W208">
        <v>3712.8</v>
      </c>
      <c r="X208">
        <v>1185.5999999999999</v>
      </c>
      <c r="Y208">
        <v>2090.4</v>
      </c>
      <c r="Z208">
        <v>1996.8000000000002</v>
      </c>
      <c r="AC208">
        <v>103833.60000000001</v>
      </c>
      <c r="AD208">
        <v>1350616.8</v>
      </c>
    </row>
    <row r="209" spans="1:30" x14ac:dyDescent="0.3">
      <c r="A209" t="s">
        <v>160</v>
      </c>
      <c r="B209">
        <v>0</v>
      </c>
      <c r="C209">
        <v>561.6</v>
      </c>
      <c r="D209">
        <v>1809.6</v>
      </c>
      <c r="E209">
        <v>3244.8</v>
      </c>
      <c r="F209">
        <v>5054.4000000000005</v>
      </c>
      <c r="G209">
        <v>7082.4000000000005</v>
      </c>
      <c r="H209">
        <v>7082.4000000000005</v>
      </c>
      <c r="I209">
        <v>7082.4000000000005</v>
      </c>
      <c r="J209">
        <v>2184</v>
      </c>
      <c r="K209">
        <v>4711.2</v>
      </c>
      <c r="L209">
        <v>4711.2</v>
      </c>
      <c r="M209">
        <v>4711.2</v>
      </c>
      <c r="N209">
        <v>6458.4000000000005</v>
      </c>
      <c r="O209">
        <v>3993.6000000000004</v>
      </c>
      <c r="P209">
        <v>6458.4000000000005</v>
      </c>
      <c r="Q209">
        <v>7675.2000000000007</v>
      </c>
      <c r="R209">
        <v>6458.4000000000005</v>
      </c>
      <c r="S209">
        <v>4492.8</v>
      </c>
      <c r="T209">
        <v>4305.6000000000004</v>
      </c>
      <c r="U209">
        <v>2839.2000000000003</v>
      </c>
      <c r="V209">
        <v>3931.2</v>
      </c>
      <c r="W209">
        <v>3712.8</v>
      </c>
      <c r="X209">
        <v>1185.5999999999999</v>
      </c>
      <c r="Y209">
        <v>2090.4</v>
      </c>
      <c r="Z209">
        <v>1996.8000000000002</v>
      </c>
      <c r="AA209">
        <v>2932.8</v>
      </c>
      <c r="AC209">
        <v>106766.40000000001</v>
      </c>
      <c r="AD209">
        <v>1457383.2</v>
      </c>
    </row>
    <row r="210" spans="1:30" x14ac:dyDescent="0.3">
      <c r="AC210">
        <v>1457383.2</v>
      </c>
      <c r="AD210">
        <v>5348596.3439999996</v>
      </c>
    </row>
    <row r="211" spans="1:30" x14ac:dyDescent="0.3">
      <c r="AC211">
        <v>1.4573832</v>
      </c>
      <c r="AD211">
        <v>5.3485963439999997</v>
      </c>
    </row>
    <row r="214" spans="1:30" x14ac:dyDescent="0.3">
      <c r="A214" t="s">
        <v>175</v>
      </c>
      <c r="B214">
        <v>1993</v>
      </c>
      <c r="C214">
        <v>1994</v>
      </c>
      <c r="D214">
        <v>1995</v>
      </c>
      <c r="E214">
        <v>1996</v>
      </c>
      <c r="F214">
        <v>1997</v>
      </c>
      <c r="G214">
        <v>1998</v>
      </c>
      <c r="H214">
        <v>1999</v>
      </c>
      <c r="I214">
        <v>2000</v>
      </c>
      <c r="J214">
        <v>2001</v>
      </c>
      <c r="K214">
        <v>2002</v>
      </c>
      <c r="L214">
        <v>2003</v>
      </c>
      <c r="M214">
        <v>2004</v>
      </c>
      <c r="N214">
        <v>2005</v>
      </c>
      <c r="O214">
        <v>2006</v>
      </c>
      <c r="P214">
        <v>2007</v>
      </c>
      <c r="Q214">
        <v>2008</v>
      </c>
      <c r="R214">
        <v>2009</v>
      </c>
      <c r="S214">
        <v>2010</v>
      </c>
      <c r="T214">
        <v>2011</v>
      </c>
      <c r="U214">
        <v>2012</v>
      </c>
      <c r="V214">
        <v>2013</v>
      </c>
      <c r="W214">
        <v>2014</v>
      </c>
      <c r="X214">
        <v>2015</v>
      </c>
      <c r="Y214">
        <v>2016</v>
      </c>
      <c r="Z214">
        <v>2017</v>
      </c>
      <c r="AA214">
        <v>2018</v>
      </c>
    </row>
    <row r="215" spans="1:30" x14ac:dyDescent="0.3">
      <c r="A215" t="s">
        <v>176</v>
      </c>
      <c r="B215">
        <v>0</v>
      </c>
      <c r="C215">
        <v>0.23</v>
      </c>
      <c r="D215">
        <v>0.64</v>
      </c>
      <c r="E215">
        <v>0.93</v>
      </c>
      <c r="F215">
        <v>1.73</v>
      </c>
      <c r="G215">
        <v>2.75</v>
      </c>
      <c r="H215">
        <v>2.75</v>
      </c>
      <c r="I215">
        <v>2.75</v>
      </c>
      <c r="J215">
        <v>1.18</v>
      </c>
      <c r="K215">
        <v>2.0030000000000001</v>
      </c>
      <c r="L215">
        <v>2.0030000000000001</v>
      </c>
      <c r="M215">
        <v>2.0030000000000001</v>
      </c>
      <c r="N215">
        <v>2.94</v>
      </c>
      <c r="O215">
        <v>1.88</v>
      </c>
      <c r="P215">
        <v>3.008</v>
      </c>
      <c r="Q215">
        <v>3.35</v>
      </c>
      <c r="R215">
        <v>3.03</v>
      </c>
      <c r="S215">
        <v>3.33</v>
      </c>
      <c r="T215">
        <v>2.36</v>
      </c>
      <c r="U215">
        <v>1.39</v>
      </c>
      <c r="V215">
        <v>2.2400000000000002</v>
      </c>
      <c r="W215">
        <v>2.52</v>
      </c>
      <c r="X215">
        <v>2.73</v>
      </c>
      <c r="Y215">
        <v>2.2599999999999998</v>
      </c>
      <c r="Z215">
        <v>2.12</v>
      </c>
      <c r="AA215">
        <v>2.74</v>
      </c>
    </row>
    <row r="216" spans="1:30" x14ac:dyDescent="0.3">
      <c r="A216" t="s">
        <v>173</v>
      </c>
      <c r="B216">
        <v>0</v>
      </c>
      <c r="C216">
        <v>2760</v>
      </c>
      <c r="AC216">
        <v>2760</v>
      </c>
      <c r="AD216">
        <v>2760</v>
      </c>
    </row>
    <row r="217" spans="1:30" x14ac:dyDescent="0.3">
      <c r="A217" t="s">
        <v>164</v>
      </c>
      <c r="B217">
        <v>0</v>
      </c>
      <c r="C217">
        <v>2760</v>
      </c>
      <c r="D217">
        <v>7680</v>
      </c>
      <c r="AC217">
        <v>10440</v>
      </c>
      <c r="AD217">
        <v>13200</v>
      </c>
    </row>
    <row r="218" spans="1:30" x14ac:dyDescent="0.3">
      <c r="A218" t="s">
        <v>138</v>
      </c>
      <c r="B218">
        <v>0</v>
      </c>
      <c r="C218">
        <v>2760</v>
      </c>
      <c r="D218">
        <v>7680</v>
      </c>
      <c r="E218">
        <v>11160</v>
      </c>
      <c r="AC218">
        <v>21600</v>
      </c>
      <c r="AD218">
        <v>34800</v>
      </c>
    </row>
    <row r="219" spans="1:30" x14ac:dyDescent="0.3">
      <c r="A219" t="s">
        <v>139</v>
      </c>
      <c r="B219">
        <v>0</v>
      </c>
      <c r="C219">
        <v>2760</v>
      </c>
      <c r="D219">
        <v>7680</v>
      </c>
      <c r="E219">
        <v>11160</v>
      </c>
      <c r="F219">
        <v>20760</v>
      </c>
      <c r="AC219">
        <v>42360</v>
      </c>
      <c r="AD219">
        <v>77160</v>
      </c>
    </row>
    <row r="220" spans="1:30" x14ac:dyDescent="0.3">
      <c r="A220" t="s">
        <v>140</v>
      </c>
      <c r="B220">
        <v>0</v>
      </c>
      <c r="C220">
        <v>2760</v>
      </c>
      <c r="D220">
        <v>7680</v>
      </c>
      <c r="E220">
        <v>11160</v>
      </c>
      <c r="F220">
        <v>20760</v>
      </c>
      <c r="G220">
        <v>33000</v>
      </c>
      <c r="AC220">
        <v>75360</v>
      </c>
      <c r="AD220">
        <v>152520</v>
      </c>
    </row>
    <row r="221" spans="1:30" x14ac:dyDescent="0.3">
      <c r="A221" t="s">
        <v>141</v>
      </c>
      <c r="B221">
        <v>0</v>
      </c>
      <c r="C221">
        <v>2760</v>
      </c>
      <c r="D221">
        <v>7680</v>
      </c>
      <c r="E221">
        <v>11160</v>
      </c>
      <c r="F221">
        <v>20760</v>
      </c>
      <c r="G221">
        <v>33000</v>
      </c>
      <c r="H221">
        <v>33000</v>
      </c>
      <c r="AC221">
        <v>108360</v>
      </c>
      <c r="AD221">
        <v>260880</v>
      </c>
    </row>
    <row r="222" spans="1:30" x14ac:dyDescent="0.3">
      <c r="A222" t="s">
        <v>142</v>
      </c>
      <c r="B222">
        <v>0</v>
      </c>
      <c r="C222">
        <v>2760</v>
      </c>
      <c r="D222">
        <v>7680</v>
      </c>
      <c r="E222">
        <v>11160</v>
      </c>
      <c r="F222">
        <v>20760</v>
      </c>
      <c r="G222">
        <v>33000</v>
      </c>
      <c r="H222">
        <v>33000</v>
      </c>
      <c r="I222">
        <v>33000</v>
      </c>
      <c r="AC222">
        <v>141360</v>
      </c>
      <c r="AD222">
        <v>402240</v>
      </c>
    </row>
    <row r="223" spans="1:30" x14ac:dyDescent="0.3">
      <c r="A223" t="s">
        <v>143</v>
      </c>
      <c r="B223">
        <v>0</v>
      </c>
      <c r="C223">
        <v>2760</v>
      </c>
      <c r="D223">
        <v>7680</v>
      </c>
      <c r="E223">
        <v>11160</v>
      </c>
      <c r="F223">
        <v>20760</v>
      </c>
      <c r="G223">
        <v>33000</v>
      </c>
      <c r="H223">
        <v>33000</v>
      </c>
      <c r="I223">
        <v>33000</v>
      </c>
      <c r="J223">
        <v>14160</v>
      </c>
      <c r="AC223">
        <v>155520</v>
      </c>
      <c r="AD223">
        <v>557760</v>
      </c>
    </row>
    <row r="224" spans="1:30" x14ac:dyDescent="0.3">
      <c r="A224" t="s">
        <v>144</v>
      </c>
      <c r="B224">
        <v>0</v>
      </c>
      <c r="C224">
        <v>2760</v>
      </c>
      <c r="D224">
        <v>7680</v>
      </c>
      <c r="E224">
        <v>11160</v>
      </c>
      <c r="F224">
        <v>20760</v>
      </c>
      <c r="G224">
        <v>33000</v>
      </c>
      <c r="H224">
        <v>33000</v>
      </c>
      <c r="I224">
        <v>33000</v>
      </c>
      <c r="J224">
        <v>14160</v>
      </c>
      <c r="K224">
        <v>24036</v>
      </c>
      <c r="AC224">
        <v>179556</v>
      </c>
      <c r="AD224">
        <v>737316</v>
      </c>
    </row>
    <row r="225" spans="1:30" x14ac:dyDescent="0.3">
      <c r="A225" t="s">
        <v>145</v>
      </c>
      <c r="B225">
        <v>0</v>
      </c>
      <c r="C225">
        <v>2760</v>
      </c>
      <c r="D225">
        <v>7680</v>
      </c>
      <c r="E225">
        <v>11160</v>
      </c>
      <c r="F225">
        <v>20760</v>
      </c>
      <c r="G225">
        <v>33000</v>
      </c>
      <c r="H225">
        <v>33000</v>
      </c>
      <c r="I225">
        <v>33000</v>
      </c>
      <c r="J225">
        <v>14160</v>
      </c>
      <c r="K225">
        <v>24036</v>
      </c>
      <c r="L225">
        <v>24036</v>
      </c>
      <c r="AC225">
        <v>203592</v>
      </c>
      <c r="AD225">
        <v>940908</v>
      </c>
    </row>
    <row r="226" spans="1:30" x14ac:dyDescent="0.3">
      <c r="A226" t="s">
        <v>146</v>
      </c>
      <c r="B226">
        <v>0</v>
      </c>
      <c r="C226">
        <v>2760</v>
      </c>
      <c r="D226">
        <v>7680</v>
      </c>
      <c r="E226">
        <v>11160</v>
      </c>
      <c r="F226">
        <v>20760</v>
      </c>
      <c r="G226">
        <v>33000</v>
      </c>
      <c r="H226">
        <v>33000</v>
      </c>
      <c r="I226">
        <v>33000</v>
      </c>
      <c r="J226">
        <v>14160</v>
      </c>
      <c r="K226">
        <v>24036</v>
      </c>
      <c r="L226">
        <v>24036</v>
      </c>
      <c r="M226">
        <v>24036</v>
      </c>
      <c r="AC226">
        <v>227628</v>
      </c>
      <c r="AD226">
        <v>1168536</v>
      </c>
    </row>
    <row r="227" spans="1:30" x14ac:dyDescent="0.3">
      <c r="A227" t="s">
        <v>147</v>
      </c>
      <c r="B227">
        <v>0</v>
      </c>
      <c r="C227">
        <v>2760</v>
      </c>
      <c r="D227">
        <v>7680</v>
      </c>
      <c r="E227">
        <v>11160</v>
      </c>
      <c r="F227">
        <v>20760</v>
      </c>
      <c r="G227">
        <v>33000</v>
      </c>
      <c r="H227">
        <v>33000</v>
      </c>
      <c r="I227">
        <v>33000</v>
      </c>
      <c r="J227">
        <v>14160</v>
      </c>
      <c r="K227">
        <v>24036</v>
      </c>
      <c r="L227">
        <v>24036</v>
      </c>
      <c r="M227">
        <v>24036</v>
      </c>
      <c r="N227">
        <v>35280</v>
      </c>
      <c r="AC227">
        <v>262908</v>
      </c>
      <c r="AD227">
        <v>1431444</v>
      </c>
    </row>
    <row r="228" spans="1:30" x14ac:dyDescent="0.3">
      <c r="A228" t="s">
        <v>148</v>
      </c>
      <c r="B228">
        <v>0</v>
      </c>
      <c r="C228">
        <v>2760</v>
      </c>
      <c r="D228">
        <v>7680</v>
      </c>
      <c r="E228">
        <v>11160</v>
      </c>
      <c r="F228">
        <v>20760</v>
      </c>
      <c r="G228">
        <v>33000</v>
      </c>
      <c r="H228">
        <v>33000</v>
      </c>
      <c r="I228">
        <v>33000</v>
      </c>
      <c r="J228">
        <v>14160</v>
      </c>
      <c r="K228">
        <v>24036</v>
      </c>
      <c r="L228">
        <v>24036</v>
      </c>
      <c r="M228">
        <v>24036</v>
      </c>
      <c r="N228">
        <v>35280</v>
      </c>
      <c r="O228">
        <v>22560</v>
      </c>
      <c r="AC228">
        <v>285468</v>
      </c>
      <c r="AD228">
        <v>1716912</v>
      </c>
    </row>
    <row r="229" spans="1:30" x14ac:dyDescent="0.3">
      <c r="A229" t="s">
        <v>149</v>
      </c>
      <c r="B229">
        <v>0</v>
      </c>
      <c r="C229">
        <v>2760</v>
      </c>
      <c r="D229">
        <v>7680</v>
      </c>
      <c r="E229">
        <v>11160</v>
      </c>
      <c r="F229">
        <v>20760</v>
      </c>
      <c r="G229">
        <v>33000</v>
      </c>
      <c r="H229">
        <v>33000</v>
      </c>
      <c r="I229">
        <v>33000</v>
      </c>
      <c r="J229">
        <v>14160</v>
      </c>
      <c r="K229">
        <v>24036</v>
      </c>
      <c r="L229">
        <v>24036</v>
      </c>
      <c r="M229">
        <v>24036</v>
      </c>
      <c r="N229">
        <v>35280</v>
      </c>
      <c r="O229">
        <v>22560</v>
      </c>
      <c r="P229">
        <v>36096</v>
      </c>
      <c r="AC229">
        <v>321564</v>
      </c>
      <c r="AD229">
        <v>2038476</v>
      </c>
    </row>
    <row r="230" spans="1:30" x14ac:dyDescent="0.3">
      <c r="A230" t="s">
        <v>150</v>
      </c>
      <c r="B230">
        <v>0</v>
      </c>
      <c r="C230">
        <v>2760</v>
      </c>
      <c r="D230">
        <v>7680</v>
      </c>
      <c r="E230">
        <v>11160</v>
      </c>
      <c r="F230">
        <v>20760</v>
      </c>
      <c r="G230">
        <v>33000</v>
      </c>
      <c r="H230">
        <v>33000</v>
      </c>
      <c r="I230">
        <v>33000</v>
      </c>
      <c r="J230">
        <v>14160</v>
      </c>
      <c r="K230">
        <v>24036</v>
      </c>
      <c r="L230">
        <v>24036</v>
      </c>
      <c r="M230">
        <v>24036</v>
      </c>
      <c r="N230">
        <v>35280</v>
      </c>
      <c r="O230">
        <v>22560</v>
      </c>
      <c r="P230">
        <v>36096</v>
      </c>
      <c r="Q230">
        <v>40200</v>
      </c>
      <c r="AC230">
        <v>361764</v>
      </c>
      <c r="AD230">
        <v>2400240</v>
      </c>
    </row>
    <row r="231" spans="1:30" x14ac:dyDescent="0.3">
      <c r="A231" t="s">
        <v>151</v>
      </c>
      <c r="B231">
        <v>0</v>
      </c>
      <c r="C231">
        <v>2760</v>
      </c>
      <c r="D231">
        <v>7680</v>
      </c>
      <c r="E231">
        <v>11160</v>
      </c>
      <c r="F231">
        <v>20760</v>
      </c>
      <c r="G231">
        <v>33000</v>
      </c>
      <c r="H231">
        <v>33000</v>
      </c>
      <c r="I231">
        <v>33000</v>
      </c>
      <c r="J231">
        <v>14160</v>
      </c>
      <c r="K231">
        <v>24036</v>
      </c>
      <c r="L231">
        <v>24036</v>
      </c>
      <c r="M231">
        <v>24036</v>
      </c>
      <c r="N231">
        <v>35280</v>
      </c>
      <c r="O231">
        <v>22560</v>
      </c>
      <c r="P231">
        <v>36096</v>
      </c>
      <c r="Q231">
        <v>40200</v>
      </c>
      <c r="R231">
        <v>36360</v>
      </c>
      <c r="AC231">
        <v>398124</v>
      </c>
      <c r="AD231">
        <v>2798364</v>
      </c>
    </row>
    <row r="232" spans="1:30" x14ac:dyDescent="0.3">
      <c r="A232" t="s">
        <v>152</v>
      </c>
      <c r="B232">
        <v>0</v>
      </c>
      <c r="C232">
        <v>2760</v>
      </c>
      <c r="D232">
        <v>7680</v>
      </c>
      <c r="E232">
        <v>11160</v>
      </c>
      <c r="F232">
        <v>20760</v>
      </c>
      <c r="G232">
        <v>33000</v>
      </c>
      <c r="H232">
        <v>33000</v>
      </c>
      <c r="I232">
        <v>33000</v>
      </c>
      <c r="J232">
        <v>14160</v>
      </c>
      <c r="K232">
        <v>24036</v>
      </c>
      <c r="L232">
        <v>24036</v>
      </c>
      <c r="M232">
        <v>24036</v>
      </c>
      <c r="N232">
        <v>35280</v>
      </c>
      <c r="O232">
        <v>22560</v>
      </c>
      <c r="P232">
        <v>36096</v>
      </c>
      <c r="Q232">
        <v>40200</v>
      </c>
      <c r="R232">
        <v>36360</v>
      </c>
      <c r="S232">
        <v>39960</v>
      </c>
      <c r="AC232">
        <v>438084</v>
      </c>
      <c r="AD232">
        <v>3236448</v>
      </c>
    </row>
    <row r="233" spans="1:30" x14ac:dyDescent="0.3">
      <c r="A233" t="s">
        <v>153</v>
      </c>
      <c r="B233">
        <v>0</v>
      </c>
      <c r="C233">
        <v>2760</v>
      </c>
      <c r="D233">
        <v>7680</v>
      </c>
      <c r="E233">
        <v>11160</v>
      </c>
      <c r="F233">
        <v>20760</v>
      </c>
      <c r="G233">
        <v>33000</v>
      </c>
      <c r="H233">
        <v>33000</v>
      </c>
      <c r="I233">
        <v>33000</v>
      </c>
      <c r="J233">
        <v>14160</v>
      </c>
      <c r="K233">
        <v>24036</v>
      </c>
      <c r="L233">
        <v>24036</v>
      </c>
      <c r="M233">
        <v>24036</v>
      </c>
      <c r="N233">
        <v>35280</v>
      </c>
      <c r="O233">
        <v>22560</v>
      </c>
      <c r="P233">
        <v>36096</v>
      </c>
      <c r="Q233">
        <v>40200</v>
      </c>
      <c r="R233">
        <v>36360</v>
      </c>
      <c r="S233">
        <v>39960</v>
      </c>
      <c r="T233">
        <v>28320</v>
      </c>
      <c r="AC233">
        <v>466404</v>
      </c>
      <c r="AD233">
        <v>3702852</v>
      </c>
    </row>
    <row r="234" spans="1:30" x14ac:dyDescent="0.3">
      <c r="A234" t="s">
        <v>154</v>
      </c>
      <c r="B234">
        <v>0</v>
      </c>
      <c r="C234">
        <v>2760</v>
      </c>
      <c r="D234">
        <v>7680</v>
      </c>
      <c r="E234">
        <v>11160</v>
      </c>
      <c r="F234">
        <v>20760</v>
      </c>
      <c r="G234">
        <v>33000</v>
      </c>
      <c r="H234">
        <v>33000</v>
      </c>
      <c r="I234">
        <v>33000</v>
      </c>
      <c r="J234">
        <v>14160</v>
      </c>
      <c r="K234">
        <v>24036</v>
      </c>
      <c r="L234">
        <v>24036</v>
      </c>
      <c r="M234">
        <v>24036</v>
      </c>
      <c r="N234">
        <v>35280</v>
      </c>
      <c r="O234">
        <v>22560</v>
      </c>
      <c r="P234">
        <v>36096</v>
      </c>
      <c r="Q234">
        <v>40200</v>
      </c>
      <c r="R234">
        <v>36360</v>
      </c>
      <c r="S234">
        <v>39960</v>
      </c>
      <c r="T234">
        <v>28320</v>
      </c>
      <c r="U234">
        <v>16680</v>
      </c>
      <c r="AC234">
        <v>483084</v>
      </c>
      <c r="AD234">
        <v>4185936</v>
      </c>
    </row>
    <row r="235" spans="1:30" x14ac:dyDescent="0.3">
      <c r="A235" t="s">
        <v>155</v>
      </c>
      <c r="B235">
        <v>0</v>
      </c>
      <c r="C235">
        <v>2760</v>
      </c>
      <c r="D235">
        <v>7680</v>
      </c>
      <c r="E235">
        <v>11160</v>
      </c>
      <c r="F235">
        <v>20760</v>
      </c>
      <c r="G235">
        <v>33000</v>
      </c>
      <c r="H235">
        <v>33000</v>
      </c>
      <c r="I235">
        <v>33000</v>
      </c>
      <c r="J235">
        <v>14160</v>
      </c>
      <c r="K235">
        <v>24036</v>
      </c>
      <c r="L235">
        <v>24036</v>
      </c>
      <c r="M235">
        <v>24036</v>
      </c>
      <c r="N235">
        <v>35280</v>
      </c>
      <c r="O235">
        <v>22560</v>
      </c>
      <c r="P235">
        <v>36096</v>
      </c>
      <c r="Q235">
        <v>40200</v>
      </c>
      <c r="R235">
        <v>36360</v>
      </c>
      <c r="S235">
        <v>39960</v>
      </c>
      <c r="T235">
        <v>28320</v>
      </c>
      <c r="U235">
        <v>16680</v>
      </c>
      <c r="V235">
        <v>26880.000000000004</v>
      </c>
      <c r="AC235">
        <v>509964</v>
      </c>
      <c r="AD235">
        <v>4695900</v>
      </c>
    </row>
    <row r="236" spans="1:30" x14ac:dyDescent="0.3">
      <c r="A236" t="s">
        <v>156</v>
      </c>
      <c r="B236">
        <v>0</v>
      </c>
      <c r="C236">
        <v>2760</v>
      </c>
      <c r="D236">
        <v>7680</v>
      </c>
      <c r="E236">
        <v>11160</v>
      </c>
      <c r="F236">
        <v>20760</v>
      </c>
      <c r="G236">
        <v>33000</v>
      </c>
      <c r="H236">
        <v>33000</v>
      </c>
      <c r="I236">
        <v>33000</v>
      </c>
      <c r="J236">
        <v>14160</v>
      </c>
      <c r="K236">
        <v>24036</v>
      </c>
      <c r="L236">
        <v>24036</v>
      </c>
      <c r="M236">
        <v>24036</v>
      </c>
      <c r="N236">
        <v>35280</v>
      </c>
      <c r="O236">
        <v>22560</v>
      </c>
      <c r="P236">
        <v>36096</v>
      </c>
      <c r="Q236">
        <v>40200</v>
      </c>
      <c r="R236">
        <v>36360</v>
      </c>
      <c r="S236">
        <v>39960</v>
      </c>
      <c r="T236">
        <v>28320</v>
      </c>
      <c r="U236">
        <v>16680</v>
      </c>
      <c r="V236">
        <v>26880.000000000004</v>
      </c>
      <c r="W236">
        <v>30240</v>
      </c>
      <c r="AC236">
        <v>540204</v>
      </c>
      <c r="AD236">
        <v>5236104</v>
      </c>
    </row>
    <row r="237" spans="1:30" x14ac:dyDescent="0.3">
      <c r="A237" t="s">
        <v>157</v>
      </c>
      <c r="B237">
        <v>0</v>
      </c>
      <c r="C237">
        <v>2760</v>
      </c>
      <c r="D237">
        <v>7680</v>
      </c>
      <c r="E237">
        <v>11160</v>
      </c>
      <c r="F237">
        <v>20760</v>
      </c>
      <c r="G237">
        <v>33000</v>
      </c>
      <c r="H237">
        <v>33000</v>
      </c>
      <c r="I237">
        <v>33000</v>
      </c>
      <c r="J237">
        <v>14160</v>
      </c>
      <c r="K237">
        <v>24036</v>
      </c>
      <c r="L237">
        <v>24036</v>
      </c>
      <c r="M237">
        <v>24036</v>
      </c>
      <c r="N237">
        <v>35280</v>
      </c>
      <c r="O237">
        <v>22560</v>
      </c>
      <c r="P237">
        <v>36096</v>
      </c>
      <c r="Q237">
        <v>40200</v>
      </c>
      <c r="R237">
        <v>36360</v>
      </c>
      <c r="S237">
        <v>39960</v>
      </c>
      <c r="T237">
        <v>28320</v>
      </c>
      <c r="U237">
        <v>16680</v>
      </c>
      <c r="V237">
        <v>26880.000000000004</v>
      </c>
      <c r="W237">
        <v>30240</v>
      </c>
      <c r="X237">
        <v>32760</v>
      </c>
      <c r="AC237">
        <v>572964</v>
      </c>
      <c r="AD237">
        <v>5809068</v>
      </c>
    </row>
    <row r="238" spans="1:30" x14ac:dyDescent="0.3">
      <c r="A238" t="s">
        <v>158</v>
      </c>
      <c r="B238">
        <v>0</v>
      </c>
      <c r="C238">
        <v>2760</v>
      </c>
      <c r="D238">
        <v>7680</v>
      </c>
      <c r="E238">
        <v>11160</v>
      </c>
      <c r="F238">
        <v>20760</v>
      </c>
      <c r="G238">
        <v>33000</v>
      </c>
      <c r="H238">
        <v>33000</v>
      </c>
      <c r="I238">
        <v>33000</v>
      </c>
      <c r="J238">
        <v>14160</v>
      </c>
      <c r="K238">
        <v>24036</v>
      </c>
      <c r="L238">
        <v>24036</v>
      </c>
      <c r="M238">
        <v>24036</v>
      </c>
      <c r="N238">
        <v>35280</v>
      </c>
      <c r="O238">
        <v>22560</v>
      </c>
      <c r="P238">
        <v>36096</v>
      </c>
      <c r="Q238">
        <v>40200</v>
      </c>
      <c r="R238">
        <v>36360</v>
      </c>
      <c r="S238">
        <v>39960</v>
      </c>
      <c r="T238">
        <v>28320</v>
      </c>
      <c r="U238">
        <v>16680</v>
      </c>
      <c r="V238">
        <v>26880.000000000004</v>
      </c>
      <c r="W238">
        <v>30240</v>
      </c>
      <c r="X238">
        <v>32760</v>
      </c>
      <c r="Y238">
        <v>27119.999999999996</v>
      </c>
      <c r="AC238">
        <v>600084</v>
      </c>
      <c r="AD238">
        <v>6409152</v>
      </c>
    </row>
    <row r="239" spans="1:30" x14ac:dyDescent="0.3">
      <c r="A239" t="s">
        <v>159</v>
      </c>
      <c r="B239">
        <v>0</v>
      </c>
      <c r="C239">
        <v>2760</v>
      </c>
      <c r="D239">
        <v>7680</v>
      </c>
      <c r="E239">
        <v>11160</v>
      </c>
      <c r="F239">
        <v>20760</v>
      </c>
      <c r="G239">
        <v>33000</v>
      </c>
      <c r="H239">
        <v>33000</v>
      </c>
      <c r="I239">
        <v>33000</v>
      </c>
      <c r="J239">
        <v>14160</v>
      </c>
      <c r="K239">
        <v>24036</v>
      </c>
      <c r="L239">
        <v>24036</v>
      </c>
      <c r="M239">
        <v>24036</v>
      </c>
      <c r="N239">
        <v>35280</v>
      </c>
      <c r="O239">
        <v>22560</v>
      </c>
      <c r="P239">
        <v>36096</v>
      </c>
      <c r="Q239">
        <v>40200</v>
      </c>
      <c r="R239">
        <v>36360</v>
      </c>
      <c r="S239">
        <v>39960</v>
      </c>
      <c r="T239">
        <v>28320</v>
      </c>
      <c r="U239">
        <v>16680</v>
      </c>
      <c r="V239">
        <v>26880.000000000004</v>
      </c>
      <c r="W239">
        <v>30240</v>
      </c>
      <c r="X239">
        <v>32760</v>
      </c>
      <c r="Y239">
        <v>27119.999999999996</v>
      </c>
      <c r="Z239">
        <v>25440</v>
      </c>
      <c r="AC239">
        <v>625524</v>
      </c>
      <c r="AD239">
        <v>7034676</v>
      </c>
    </row>
    <row r="240" spans="1:30" x14ac:dyDescent="0.3">
      <c r="A240" t="s">
        <v>160</v>
      </c>
      <c r="B240">
        <v>0</v>
      </c>
      <c r="C240">
        <v>2760</v>
      </c>
      <c r="D240">
        <v>7680</v>
      </c>
      <c r="E240">
        <v>11160</v>
      </c>
      <c r="F240">
        <v>20760</v>
      </c>
      <c r="G240">
        <v>33000</v>
      </c>
      <c r="H240">
        <v>33000</v>
      </c>
      <c r="I240">
        <v>33000</v>
      </c>
      <c r="J240">
        <v>14160</v>
      </c>
      <c r="K240">
        <v>24036</v>
      </c>
      <c r="L240">
        <v>24036</v>
      </c>
      <c r="M240">
        <v>24036</v>
      </c>
      <c r="N240">
        <v>35280</v>
      </c>
      <c r="O240">
        <v>22560</v>
      </c>
      <c r="P240">
        <v>36096</v>
      </c>
      <c r="Q240">
        <v>40200</v>
      </c>
      <c r="R240">
        <v>36360</v>
      </c>
      <c r="S240">
        <v>39960</v>
      </c>
      <c r="T240">
        <v>28320</v>
      </c>
      <c r="U240">
        <v>16680</v>
      </c>
      <c r="V240">
        <v>26880.000000000004</v>
      </c>
      <c r="W240">
        <v>30240</v>
      </c>
      <c r="X240">
        <v>32760</v>
      </c>
      <c r="Y240">
        <v>27119.999999999996</v>
      </c>
      <c r="Z240">
        <v>25440</v>
      </c>
      <c r="AA240">
        <v>32880</v>
      </c>
      <c r="AC240">
        <v>658404</v>
      </c>
      <c r="AD240">
        <v>7693080</v>
      </c>
    </row>
    <row r="241" spans="1:30" x14ac:dyDescent="0.3">
      <c r="AC241">
        <v>7693080</v>
      </c>
      <c r="AD241">
        <v>28233603.599999998</v>
      </c>
    </row>
    <row r="242" spans="1:30" x14ac:dyDescent="0.3">
      <c r="AC242">
        <v>7.6930800000000001</v>
      </c>
      <c r="AD242">
        <v>28.233603599999999</v>
      </c>
    </row>
    <row r="244" spans="1:30" x14ac:dyDescent="0.3">
      <c r="A244" t="s">
        <v>177</v>
      </c>
      <c r="B244">
        <v>0</v>
      </c>
      <c r="C244">
        <v>717.6</v>
      </c>
      <c r="AC244">
        <v>717.6</v>
      </c>
      <c r="AD244">
        <v>717.6</v>
      </c>
    </row>
    <row r="245" spans="1:30" x14ac:dyDescent="0.3">
      <c r="A245" t="s">
        <v>164</v>
      </c>
      <c r="B245">
        <v>0</v>
      </c>
      <c r="C245">
        <v>717.6</v>
      </c>
      <c r="D245">
        <v>1996.8000000000002</v>
      </c>
      <c r="AC245">
        <v>2714.4</v>
      </c>
      <c r="AD245">
        <v>3432</v>
      </c>
    </row>
    <row r="246" spans="1:30" x14ac:dyDescent="0.3">
      <c r="A246" t="s">
        <v>138</v>
      </c>
      <c r="B246">
        <v>0</v>
      </c>
      <c r="C246">
        <v>717.6</v>
      </c>
      <c r="D246">
        <v>1996.8000000000002</v>
      </c>
      <c r="E246">
        <v>2901.6000000000004</v>
      </c>
      <c r="AC246">
        <v>5616</v>
      </c>
      <c r="AD246">
        <v>9048</v>
      </c>
    </row>
    <row r="247" spans="1:30" x14ac:dyDescent="0.3">
      <c r="A247" t="s">
        <v>139</v>
      </c>
      <c r="B247">
        <v>0</v>
      </c>
      <c r="C247">
        <v>717.6</v>
      </c>
      <c r="D247">
        <v>1996.8000000000002</v>
      </c>
      <c r="E247">
        <v>2901.6000000000004</v>
      </c>
      <c r="F247">
        <v>5397.6</v>
      </c>
      <c r="AC247">
        <v>11013.6</v>
      </c>
      <c r="AD247">
        <v>20061.599999999999</v>
      </c>
    </row>
    <row r="248" spans="1:30" x14ac:dyDescent="0.3">
      <c r="A248" t="s">
        <v>140</v>
      </c>
      <c r="B248">
        <v>0</v>
      </c>
      <c r="C248">
        <v>717.6</v>
      </c>
      <c r="D248">
        <v>1996.8000000000002</v>
      </c>
      <c r="E248">
        <v>2901.6000000000004</v>
      </c>
      <c r="F248">
        <v>5397.6</v>
      </c>
      <c r="G248">
        <v>8580.0000000000018</v>
      </c>
      <c r="AC248">
        <v>19593.600000000002</v>
      </c>
      <c r="AD248">
        <v>39655.199999999997</v>
      </c>
    </row>
    <row r="249" spans="1:30" x14ac:dyDescent="0.3">
      <c r="A249" t="s">
        <v>141</v>
      </c>
      <c r="B249">
        <v>0</v>
      </c>
      <c r="C249">
        <v>717.6</v>
      </c>
      <c r="D249">
        <v>1996.8000000000002</v>
      </c>
      <c r="E249">
        <v>2901.6000000000004</v>
      </c>
      <c r="F249">
        <v>5397.6</v>
      </c>
      <c r="G249">
        <v>8580.0000000000018</v>
      </c>
      <c r="H249">
        <v>8580.0000000000018</v>
      </c>
      <c r="AC249">
        <v>28173.600000000006</v>
      </c>
      <c r="AD249">
        <v>67828.800000000003</v>
      </c>
    </row>
    <row r="250" spans="1:30" x14ac:dyDescent="0.3">
      <c r="A250" t="s">
        <v>142</v>
      </c>
      <c r="B250">
        <v>0</v>
      </c>
      <c r="C250">
        <v>717.6</v>
      </c>
      <c r="D250">
        <v>1996.8000000000002</v>
      </c>
      <c r="E250">
        <v>2901.6000000000004</v>
      </c>
      <c r="F250">
        <v>5397.6</v>
      </c>
      <c r="G250">
        <v>8580.0000000000018</v>
      </c>
      <c r="H250">
        <v>8580.0000000000018</v>
      </c>
      <c r="I250">
        <v>8580.0000000000018</v>
      </c>
      <c r="AC250">
        <v>36753.600000000006</v>
      </c>
      <c r="AD250">
        <v>104582.40000000001</v>
      </c>
    </row>
    <row r="251" spans="1:30" x14ac:dyDescent="0.3">
      <c r="A251" t="s">
        <v>143</v>
      </c>
      <c r="B251">
        <v>0</v>
      </c>
      <c r="C251">
        <v>717.6</v>
      </c>
      <c r="D251">
        <v>1996.8000000000002</v>
      </c>
      <c r="E251">
        <v>2901.6000000000004</v>
      </c>
      <c r="F251">
        <v>5397.6</v>
      </c>
      <c r="G251">
        <v>8580.0000000000018</v>
      </c>
      <c r="H251">
        <v>8580.0000000000018</v>
      </c>
      <c r="I251">
        <v>8580.0000000000018</v>
      </c>
      <c r="J251">
        <v>3681.6000000000004</v>
      </c>
      <c r="AC251">
        <v>40435.200000000004</v>
      </c>
      <c r="AD251">
        <v>145017.60000000001</v>
      </c>
    </row>
    <row r="252" spans="1:30" x14ac:dyDescent="0.3">
      <c r="A252" t="s">
        <v>144</v>
      </c>
      <c r="B252">
        <v>0</v>
      </c>
      <c r="C252">
        <v>717.6</v>
      </c>
      <c r="D252">
        <v>1996.8000000000002</v>
      </c>
      <c r="E252">
        <v>2901.6000000000004</v>
      </c>
      <c r="F252">
        <v>5397.6</v>
      </c>
      <c r="G252">
        <v>8580.0000000000018</v>
      </c>
      <c r="H252">
        <v>8580.0000000000018</v>
      </c>
      <c r="I252">
        <v>8580.0000000000018</v>
      </c>
      <c r="J252">
        <v>3681.6000000000004</v>
      </c>
      <c r="K252">
        <v>6249.3600000000006</v>
      </c>
      <c r="AC252">
        <v>46684.560000000005</v>
      </c>
      <c r="AD252">
        <v>191702.16</v>
      </c>
    </row>
    <row r="253" spans="1:30" x14ac:dyDescent="0.3">
      <c r="A253" t="s">
        <v>145</v>
      </c>
      <c r="B253">
        <v>0</v>
      </c>
      <c r="C253">
        <v>717.6</v>
      </c>
      <c r="D253">
        <v>1996.8000000000002</v>
      </c>
      <c r="E253">
        <v>2901.6000000000004</v>
      </c>
      <c r="F253">
        <v>5397.6</v>
      </c>
      <c r="G253">
        <v>8580.0000000000018</v>
      </c>
      <c r="H253">
        <v>8580.0000000000018</v>
      </c>
      <c r="I253">
        <v>8580.0000000000018</v>
      </c>
      <c r="J253">
        <v>3681.6000000000004</v>
      </c>
      <c r="K253">
        <v>6249.3600000000006</v>
      </c>
      <c r="L253">
        <v>6249.3600000000006</v>
      </c>
      <c r="AC253">
        <v>52933.920000000006</v>
      </c>
      <c r="AD253">
        <v>244636.08000000002</v>
      </c>
    </row>
    <row r="254" spans="1:30" x14ac:dyDescent="0.3">
      <c r="A254" t="s">
        <v>146</v>
      </c>
      <c r="B254">
        <v>0</v>
      </c>
      <c r="C254">
        <v>717.6</v>
      </c>
      <c r="D254">
        <v>1996.8000000000002</v>
      </c>
      <c r="E254">
        <v>2901.6000000000004</v>
      </c>
      <c r="F254">
        <v>5397.6</v>
      </c>
      <c r="G254">
        <v>8580.0000000000018</v>
      </c>
      <c r="H254">
        <v>8580.0000000000018</v>
      </c>
      <c r="I254">
        <v>8580.0000000000018</v>
      </c>
      <c r="J254">
        <v>3681.6000000000004</v>
      </c>
      <c r="K254">
        <v>6249.3600000000006</v>
      </c>
      <c r="L254">
        <v>6249.3600000000006</v>
      </c>
      <c r="M254">
        <v>6249.3600000000006</v>
      </c>
      <c r="AC254">
        <v>59183.280000000006</v>
      </c>
      <c r="AD254">
        <v>303819.36000000004</v>
      </c>
    </row>
    <row r="255" spans="1:30" x14ac:dyDescent="0.3">
      <c r="A255" t="s">
        <v>147</v>
      </c>
      <c r="B255">
        <v>0</v>
      </c>
      <c r="C255">
        <v>717.6</v>
      </c>
      <c r="D255">
        <v>1996.8000000000002</v>
      </c>
      <c r="E255">
        <v>2901.6000000000004</v>
      </c>
      <c r="F255">
        <v>5397.6</v>
      </c>
      <c r="G255">
        <v>8580.0000000000018</v>
      </c>
      <c r="H255">
        <v>8580.0000000000018</v>
      </c>
      <c r="I255">
        <v>8580.0000000000018</v>
      </c>
      <c r="J255">
        <v>3681.6000000000004</v>
      </c>
      <c r="K255">
        <v>6249.3600000000006</v>
      </c>
      <c r="L255">
        <v>6249.3600000000006</v>
      </c>
      <c r="M255">
        <v>6249.3600000000006</v>
      </c>
      <c r="N255">
        <v>9172.7999999999993</v>
      </c>
      <c r="AC255">
        <v>68356.08</v>
      </c>
      <c r="AD255">
        <v>372175.44000000006</v>
      </c>
    </row>
    <row r="256" spans="1:30" x14ac:dyDescent="0.3">
      <c r="A256" t="s">
        <v>148</v>
      </c>
      <c r="B256">
        <v>0</v>
      </c>
      <c r="C256">
        <v>717.6</v>
      </c>
      <c r="D256">
        <v>1996.8000000000002</v>
      </c>
      <c r="E256">
        <v>2901.6000000000004</v>
      </c>
      <c r="F256">
        <v>5397.6</v>
      </c>
      <c r="G256">
        <v>8580.0000000000018</v>
      </c>
      <c r="H256">
        <v>8580.0000000000018</v>
      </c>
      <c r="I256">
        <v>8580.0000000000018</v>
      </c>
      <c r="J256">
        <v>3681.6000000000004</v>
      </c>
      <c r="K256">
        <v>6249.3600000000006</v>
      </c>
      <c r="L256">
        <v>6249.3600000000006</v>
      </c>
      <c r="M256">
        <v>6249.3600000000006</v>
      </c>
      <c r="N256">
        <v>9172.7999999999993</v>
      </c>
      <c r="O256">
        <v>5865.6</v>
      </c>
      <c r="AC256">
        <v>74221.680000000008</v>
      </c>
      <c r="AD256">
        <v>446397.12000000005</v>
      </c>
    </row>
    <row r="257" spans="1:30" x14ac:dyDescent="0.3">
      <c r="A257" t="s">
        <v>149</v>
      </c>
      <c r="B257">
        <v>0</v>
      </c>
      <c r="C257">
        <v>717.6</v>
      </c>
      <c r="D257">
        <v>1996.8000000000002</v>
      </c>
      <c r="E257">
        <v>2901.6000000000004</v>
      </c>
      <c r="F257">
        <v>5397.6</v>
      </c>
      <c r="G257">
        <v>8580.0000000000018</v>
      </c>
      <c r="H257">
        <v>8580.0000000000018</v>
      </c>
      <c r="I257">
        <v>8580.0000000000018</v>
      </c>
      <c r="J257">
        <v>3681.6000000000004</v>
      </c>
      <c r="K257">
        <v>6249.3600000000006</v>
      </c>
      <c r="L257">
        <v>6249.3600000000006</v>
      </c>
      <c r="M257">
        <v>6249.3600000000006</v>
      </c>
      <c r="N257">
        <v>9172.7999999999993</v>
      </c>
      <c r="O257">
        <v>5865.6</v>
      </c>
      <c r="P257">
        <v>9384.9599999999991</v>
      </c>
      <c r="AC257">
        <v>83606.640000000014</v>
      </c>
      <c r="AD257">
        <v>530003.76</v>
      </c>
    </row>
    <row r="258" spans="1:30" x14ac:dyDescent="0.3">
      <c r="A258" t="s">
        <v>150</v>
      </c>
      <c r="B258">
        <v>0</v>
      </c>
      <c r="C258">
        <v>717.6</v>
      </c>
      <c r="D258">
        <v>1996.8000000000002</v>
      </c>
      <c r="E258">
        <v>2901.6000000000004</v>
      </c>
      <c r="F258">
        <v>5397.6</v>
      </c>
      <c r="G258">
        <v>8580.0000000000018</v>
      </c>
      <c r="H258">
        <v>8580.0000000000018</v>
      </c>
      <c r="I258">
        <v>8580.0000000000018</v>
      </c>
      <c r="J258">
        <v>3681.6000000000004</v>
      </c>
      <c r="K258">
        <v>6249.3600000000006</v>
      </c>
      <c r="L258">
        <v>6249.3600000000006</v>
      </c>
      <c r="M258">
        <v>6249.3600000000006</v>
      </c>
      <c r="N258">
        <v>9172.7999999999993</v>
      </c>
      <c r="O258">
        <v>5865.6</v>
      </c>
      <c r="P258">
        <v>9384.9599999999991</v>
      </c>
      <c r="Q258">
        <v>10452.000000000002</v>
      </c>
      <c r="AC258">
        <v>94058.640000000014</v>
      </c>
      <c r="AD258">
        <v>624062.4</v>
      </c>
    </row>
    <row r="259" spans="1:30" x14ac:dyDescent="0.3">
      <c r="A259" t="s">
        <v>151</v>
      </c>
      <c r="B259">
        <v>0</v>
      </c>
      <c r="C259">
        <v>717.6</v>
      </c>
      <c r="D259">
        <v>1996.8000000000002</v>
      </c>
      <c r="E259">
        <v>2901.6000000000004</v>
      </c>
      <c r="F259">
        <v>5397.6</v>
      </c>
      <c r="G259">
        <v>8580.0000000000018</v>
      </c>
      <c r="H259">
        <v>8580.0000000000018</v>
      </c>
      <c r="I259">
        <v>8580.0000000000018</v>
      </c>
      <c r="J259">
        <v>3681.6000000000004</v>
      </c>
      <c r="K259">
        <v>6249.3600000000006</v>
      </c>
      <c r="L259">
        <v>6249.3600000000006</v>
      </c>
      <c r="M259">
        <v>6249.3600000000006</v>
      </c>
      <c r="N259">
        <v>9172.7999999999993</v>
      </c>
      <c r="O259">
        <v>5865.6</v>
      </c>
      <c r="P259">
        <v>9384.9599999999991</v>
      </c>
      <c r="Q259">
        <v>10452.000000000002</v>
      </c>
      <c r="R259">
        <v>9453.5999999999985</v>
      </c>
      <c r="AC259">
        <v>103512.24000000002</v>
      </c>
      <c r="AD259">
        <v>727574.64</v>
      </c>
    </row>
    <row r="260" spans="1:30" x14ac:dyDescent="0.3">
      <c r="A260" t="s">
        <v>152</v>
      </c>
      <c r="B260">
        <v>0</v>
      </c>
      <c r="C260">
        <v>717.6</v>
      </c>
      <c r="D260">
        <v>1996.8000000000002</v>
      </c>
      <c r="E260">
        <v>2901.6000000000004</v>
      </c>
      <c r="F260">
        <v>5397.6</v>
      </c>
      <c r="G260">
        <v>8580.0000000000018</v>
      </c>
      <c r="H260">
        <v>8580.0000000000018</v>
      </c>
      <c r="I260">
        <v>8580.0000000000018</v>
      </c>
      <c r="J260">
        <v>3681.6000000000004</v>
      </c>
      <c r="K260">
        <v>6249.3600000000006</v>
      </c>
      <c r="L260">
        <v>6249.3600000000006</v>
      </c>
      <c r="M260">
        <v>6249.3600000000006</v>
      </c>
      <c r="N260">
        <v>9172.7999999999993</v>
      </c>
      <c r="O260">
        <v>5865.6</v>
      </c>
      <c r="P260">
        <v>9384.9599999999991</v>
      </c>
      <c r="Q260">
        <v>10452.000000000002</v>
      </c>
      <c r="R260">
        <v>9453.5999999999985</v>
      </c>
      <c r="S260">
        <v>10389.6</v>
      </c>
      <c r="AC260">
        <v>113901.84000000003</v>
      </c>
      <c r="AD260">
        <v>841476.48</v>
      </c>
    </row>
    <row r="261" spans="1:30" x14ac:dyDescent="0.3">
      <c r="A261" t="s">
        <v>153</v>
      </c>
      <c r="B261">
        <v>0</v>
      </c>
      <c r="C261">
        <v>717.6</v>
      </c>
      <c r="D261">
        <v>1996.8000000000002</v>
      </c>
      <c r="E261">
        <v>2901.6000000000004</v>
      </c>
      <c r="F261">
        <v>5397.6</v>
      </c>
      <c r="G261">
        <v>8580.0000000000018</v>
      </c>
      <c r="H261">
        <v>8580.0000000000018</v>
      </c>
      <c r="I261">
        <v>8580.0000000000018</v>
      </c>
      <c r="J261">
        <v>3681.6000000000004</v>
      </c>
      <c r="K261">
        <v>6249.3600000000006</v>
      </c>
      <c r="L261">
        <v>6249.3600000000006</v>
      </c>
      <c r="M261">
        <v>6249.3600000000006</v>
      </c>
      <c r="N261">
        <v>9172.7999999999993</v>
      </c>
      <c r="O261">
        <v>5865.6</v>
      </c>
      <c r="P261">
        <v>9384.9599999999991</v>
      </c>
      <c r="Q261">
        <v>10452.000000000002</v>
      </c>
      <c r="R261">
        <v>9453.5999999999985</v>
      </c>
      <c r="S261">
        <v>10389.6</v>
      </c>
      <c r="T261">
        <v>7363.2000000000007</v>
      </c>
      <c r="AC261">
        <v>121265.04000000002</v>
      </c>
      <c r="AD261">
        <v>962741.52</v>
      </c>
    </row>
    <row r="262" spans="1:30" x14ac:dyDescent="0.3">
      <c r="A262" t="s">
        <v>154</v>
      </c>
      <c r="B262">
        <v>0</v>
      </c>
      <c r="C262">
        <v>717.6</v>
      </c>
      <c r="D262">
        <v>1996.8000000000002</v>
      </c>
      <c r="E262">
        <v>2901.6000000000004</v>
      </c>
      <c r="F262">
        <v>5397.6</v>
      </c>
      <c r="G262">
        <v>8580.0000000000018</v>
      </c>
      <c r="H262">
        <v>8580.0000000000018</v>
      </c>
      <c r="I262">
        <v>8580.0000000000018</v>
      </c>
      <c r="J262">
        <v>3681.6000000000004</v>
      </c>
      <c r="K262">
        <v>6249.3600000000006</v>
      </c>
      <c r="L262">
        <v>6249.3600000000006</v>
      </c>
      <c r="M262">
        <v>6249.3600000000006</v>
      </c>
      <c r="N262">
        <v>9172.7999999999993</v>
      </c>
      <c r="O262">
        <v>5865.6</v>
      </c>
      <c r="P262">
        <v>9384.9599999999991</v>
      </c>
      <c r="Q262">
        <v>10452.000000000002</v>
      </c>
      <c r="R262">
        <v>9453.5999999999985</v>
      </c>
      <c r="S262">
        <v>10389.6</v>
      </c>
      <c r="T262">
        <v>7363.2000000000007</v>
      </c>
      <c r="U262">
        <v>4336.8</v>
      </c>
      <c r="AC262">
        <v>125601.84000000003</v>
      </c>
      <c r="AD262">
        <v>1088343.3600000001</v>
      </c>
    </row>
    <row r="263" spans="1:30" x14ac:dyDescent="0.3">
      <c r="A263" t="s">
        <v>155</v>
      </c>
      <c r="B263">
        <v>0</v>
      </c>
      <c r="C263">
        <v>717.6</v>
      </c>
      <c r="D263">
        <v>1996.8000000000002</v>
      </c>
      <c r="E263">
        <v>2901.6000000000004</v>
      </c>
      <c r="F263">
        <v>5397.6</v>
      </c>
      <c r="G263">
        <v>8580.0000000000018</v>
      </c>
      <c r="H263">
        <v>8580.0000000000018</v>
      </c>
      <c r="I263">
        <v>8580.0000000000018</v>
      </c>
      <c r="J263">
        <v>3681.6000000000004</v>
      </c>
      <c r="K263">
        <v>6249.3600000000006</v>
      </c>
      <c r="L263">
        <v>6249.3600000000006</v>
      </c>
      <c r="M263">
        <v>6249.3600000000006</v>
      </c>
      <c r="N263">
        <v>9172.7999999999993</v>
      </c>
      <c r="O263">
        <v>5865.6</v>
      </c>
      <c r="P263">
        <v>9384.9599999999991</v>
      </c>
      <c r="Q263">
        <v>10452.000000000002</v>
      </c>
      <c r="R263">
        <v>9453.5999999999985</v>
      </c>
      <c r="S263">
        <v>10389.6</v>
      </c>
      <c r="T263">
        <v>7363.2000000000007</v>
      </c>
      <c r="U263">
        <v>4336.8</v>
      </c>
      <c r="V263">
        <v>6988.8</v>
      </c>
      <c r="AC263">
        <v>132590.64000000001</v>
      </c>
      <c r="AD263">
        <v>1220934</v>
      </c>
    </row>
    <row r="264" spans="1:30" x14ac:dyDescent="0.3">
      <c r="A264" t="s">
        <v>156</v>
      </c>
      <c r="B264">
        <v>0</v>
      </c>
      <c r="C264">
        <v>717.6</v>
      </c>
      <c r="D264">
        <v>1996.8000000000002</v>
      </c>
      <c r="E264">
        <v>2901.6000000000004</v>
      </c>
      <c r="F264">
        <v>5397.6</v>
      </c>
      <c r="G264">
        <v>8580.0000000000018</v>
      </c>
      <c r="H264">
        <v>8580.0000000000018</v>
      </c>
      <c r="I264">
        <v>8580.0000000000018</v>
      </c>
      <c r="J264">
        <v>3681.6000000000004</v>
      </c>
      <c r="K264">
        <v>6249.3600000000006</v>
      </c>
      <c r="L264">
        <v>6249.3600000000006</v>
      </c>
      <c r="M264">
        <v>6249.3600000000006</v>
      </c>
      <c r="N264">
        <v>9172.7999999999993</v>
      </c>
      <c r="O264">
        <v>5865.6</v>
      </c>
      <c r="P264">
        <v>9384.9599999999991</v>
      </c>
      <c r="Q264">
        <v>10452.000000000002</v>
      </c>
      <c r="R264">
        <v>9453.5999999999985</v>
      </c>
      <c r="S264">
        <v>10389.6</v>
      </c>
      <c r="T264">
        <v>7363.2000000000007</v>
      </c>
      <c r="U264">
        <v>4336.8</v>
      </c>
      <c r="V264">
        <v>6988.8</v>
      </c>
      <c r="W264">
        <v>7862.4</v>
      </c>
      <c r="AC264">
        <v>140453.04</v>
      </c>
      <c r="AD264">
        <v>1361387.04</v>
      </c>
    </row>
    <row r="265" spans="1:30" x14ac:dyDescent="0.3">
      <c r="A265" t="s">
        <v>157</v>
      </c>
      <c r="B265">
        <v>0</v>
      </c>
      <c r="C265">
        <v>717.6</v>
      </c>
      <c r="D265">
        <v>1996.8000000000002</v>
      </c>
      <c r="E265">
        <v>2901.6000000000004</v>
      </c>
      <c r="F265">
        <v>5397.6</v>
      </c>
      <c r="G265">
        <v>8580.0000000000018</v>
      </c>
      <c r="H265">
        <v>8580.0000000000018</v>
      </c>
      <c r="I265">
        <v>8580.0000000000018</v>
      </c>
      <c r="J265">
        <v>3681.6000000000004</v>
      </c>
      <c r="K265">
        <v>6249.3600000000006</v>
      </c>
      <c r="L265">
        <v>6249.3600000000006</v>
      </c>
      <c r="M265">
        <v>6249.3600000000006</v>
      </c>
      <c r="N265">
        <v>9172.7999999999993</v>
      </c>
      <c r="O265">
        <v>5865.6</v>
      </c>
      <c r="P265">
        <v>9384.9599999999991</v>
      </c>
      <c r="Q265">
        <v>10452.000000000002</v>
      </c>
      <c r="R265">
        <v>9453.5999999999985</v>
      </c>
      <c r="S265">
        <v>10389.6</v>
      </c>
      <c r="T265">
        <v>7363.2000000000007</v>
      </c>
      <c r="U265">
        <v>4336.8</v>
      </c>
      <c r="V265">
        <v>6988.8</v>
      </c>
      <c r="W265">
        <v>7862.4</v>
      </c>
      <c r="X265">
        <v>8517.6</v>
      </c>
      <c r="AC265">
        <v>148970.64000000001</v>
      </c>
      <c r="AD265">
        <v>1510357.6800000002</v>
      </c>
    </row>
    <row r="266" spans="1:30" x14ac:dyDescent="0.3">
      <c r="A266" t="s">
        <v>158</v>
      </c>
      <c r="B266">
        <v>0</v>
      </c>
      <c r="C266">
        <v>717.6</v>
      </c>
      <c r="D266">
        <v>1996.8000000000002</v>
      </c>
      <c r="E266">
        <v>2901.6000000000004</v>
      </c>
      <c r="F266">
        <v>5397.6</v>
      </c>
      <c r="G266">
        <v>8580.0000000000018</v>
      </c>
      <c r="H266">
        <v>8580.0000000000018</v>
      </c>
      <c r="I266">
        <v>8580.0000000000018</v>
      </c>
      <c r="J266">
        <v>3681.6000000000004</v>
      </c>
      <c r="K266">
        <v>6249.3600000000006</v>
      </c>
      <c r="L266">
        <v>6249.3600000000006</v>
      </c>
      <c r="M266">
        <v>6249.3600000000006</v>
      </c>
      <c r="N266">
        <v>9172.7999999999993</v>
      </c>
      <c r="O266">
        <v>5865.6</v>
      </c>
      <c r="P266">
        <v>9384.9599999999991</v>
      </c>
      <c r="Q266">
        <v>10452.000000000002</v>
      </c>
      <c r="R266">
        <v>9453.5999999999985</v>
      </c>
      <c r="S266">
        <v>10389.6</v>
      </c>
      <c r="T266">
        <v>7363.2000000000007</v>
      </c>
      <c r="U266">
        <v>4336.8</v>
      </c>
      <c r="V266">
        <v>6988.8</v>
      </c>
      <c r="W266">
        <v>7862.4</v>
      </c>
      <c r="X266">
        <v>8517.6</v>
      </c>
      <c r="Y266">
        <v>7051.2</v>
      </c>
      <c r="AC266">
        <v>156021.84000000003</v>
      </c>
      <c r="AD266">
        <v>1666379.5200000003</v>
      </c>
    </row>
    <row r="267" spans="1:30" x14ac:dyDescent="0.3">
      <c r="A267" t="s">
        <v>159</v>
      </c>
      <c r="B267">
        <v>0</v>
      </c>
      <c r="C267">
        <v>717.6</v>
      </c>
      <c r="D267">
        <v>1996.8000000000002</v>
      </c>
      <c r="E267">
        <v>2901.6000000000004</v>
      </c>
      <c r="F267">
        <v>5397.6</v>
      </c>
      <c r="G267">
        <v>8580.0000000000018</v>
      </c>
      <c r="H267">
        <v>8580.0000000000018</v>
      </c>
      <c r="I267">
        <v>8580.0000000000018</v>
      </c>
      <c r="J267">
        <v>3681.6000000000004</v>
      </c>
      <c r="K267">
        <v>6249.3600000000006</v>
      </c>
      <c r="L267">
        <v>6249.3600000000006</v>
      </c>
      <c r="M267">
        <v>6249.3600000000006</v>
      </c>
      <c r="N267">
        <v>9172.7999999999993</v>
      </c>
      <c r="O267">
        <v>5865.6</v>
      </c>
      <c r="P267">
        <v>9384.9599999999991</v>
      </c>
      <c r="Q267">
        <v>10452.000000000002</v>
      </c>
      <c r="R267">
        <v>9453.5999999999985</v>
      </c>
      <c r="S267">
        <v>10389.6</v>
      </c>
      <c r="T267">
        <v>7363.2000000000007</v>
      </c>
      <c r="U267">
        <v>4336.8</v>
      </c>
      <c r="V267">
        <v>6988.8</v>
      </c>
      <c r="W267">
        <v>7862.4</v>
      </c>
      <c r="X267">
        <v>8517.6</v>
      </c>
      <c r="Y267">
        <v>7051.2</v>
      </c>
      <c r="Z267">
        <v>6614.4000000000005</v>
      </c>
      <c r="AC267">
        <v>162636.24000000002</v>
      </c>
      <c r="AD267">
        <v>1829015.7600000002</v>
      </c>
    </row>
    <row r="268" spans="1:30" x14ac:dyDescent="0.3">
      <c r="A268" t="s">
        <v>160</v>
      </c>
      <c r="B268">
        <v>0</v>
      </c>
      <c r="C268">
        <v>717.6</v>
      </c>
      <c r="D268">
        <v>1996.8000000000002</v>
      </c>
      <c r="E268">
        <v>2901.6000000000004</v>
      </c>
      <c r="F268">
        <v>5397.6</v>
      </c>
      <c r="G268">
        <v>8580.0000000000018</v>
      </c>
      <c r="H268">
        <v>8580.0000000000018</v>
      </c>
      <c r="I268">
        <v>8580.0000000000018</v>
      </c>
      <c r="J268">
        <v>3681.6000000000004</v>
      </c>
      <c r="K268">
        <v>6249.3600000000006</v>
      </c>
      <c r="L268">
        <v>6249.3600000000006</v>
      </c>
      <c r="M268">
        <v>6249.3600000000006</v>
      </c>
      <c r="N268">
        <v>9172.7999999999993</v>
      </c>
      <c r="O268">
        <v>5865.6</v>
      </c>
      <c r="P268">
        <v>9384.9599999999991</v>
      </c>
      <c r="Q268">
        <v>10452.000000000002</v>
      </c>
      <c r="R268">
        <v>9453.5999999999985</v>
      </c>
      <c r="S268">
        <v>10389.6</v>
      </c>
      <c r="T268">
        <v>7363.2000000000007</v>
      </c>
      <c r="U268">
        <v>4336.8</v>
      </c>
      <c r="V268">
        <v>6988.8</v>
      </c>
      <c r="W268">
        <v>7862.4</v>
      </c>
      <c r="X268">
        <v>8517.6</v>
      </c>
      <c r="Y268">
        <v>7051.2</v>
      </c>
      <c r="Z268">
        <v>6614.4000000000005</v>
      </c>
      <c r="AA268">
        <v>8548.8000000000011</v>
      </c>
      <c r="AC268">
        <v>171185.04</v>
      </c>
      <c r="AD268">
        <v>2000200.8000000003</v>
      </c>
    </row>
    <row r="269" spans="1:30" x14ac:dyDescent="0.3">
      <c r="AC269">
        <v>2000200.8000000003</v>
      </c>
      <c r="AD269">
        <v>7340736.9360000007</v>
      </c>
    </row>
    <row r="270" spans="1:30" x14ac:dyDescent="0.3">
      <c r="AC270">
        <v>2.0002008000000004</v>
      </c>
      <c r="AD270">
        <v>7.3407369360000008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DE770-DD7A-4FE5-AFCF-316BF47F04D5}">
  <dimension ref="A1:S7"/>
  <sheetViews>
    <sheetView topLeftCell="N1" workbookViewId="0">
      <selection activeCell="C15" sqref="C15"/>
    </sheetView>
  </sheetViews>
  <sheetFormatPr defaultRowHeight="14.4" x14ac:dyDescent="0.3"/>
  <cols>
    <col min="1" max="1" width="12" customWidth="1"/>
    <col min="2" max="2" width="27.5546875" customWidth="1"/>
    <col min="3" max="3" width="20.109375" customWidth="1"/>
    <col min="4" max="4" width="20.33203125" customWidth="1"/>
    <col min="5" max="5" width="19.33203125" customWidth="1"/>
    <col min="6" max="6" width="26.88671875" customWidth="1"/>
    <col min="7" max="7" width="16.88671875" customWidth="1"/>
    <col min="8" max="8" width="24.33203125" customWidth="1"/>
    <col min="9" max="9" width="18.5546875" customWidth="1"/>
    <col min="10" max="10" width="18" customWidth="1"/>
    <col min="11" max="11" width="14.109375" customWidth="1"/>
    <col min="12" max="12" width="17.109375" customWidth="1"/>
    <col min="13" max="13" width="15.88671875" customWidth="1"/>
    <col min="14" max="14" width="23" customWidth="1"/>
    <col min="15" max="15" width="17.5546875" customWidth="1"/>
    <col min="16" max="16" width="16" customWidth="1"/>
    <col min="17" max="17" width="14.44140625" customWidth="1"/>
    <col min="18" max="18" width="27.33203125" customWidth="1"/>
  </cols>
  <sheetData>
    <row r="1" spans="1:19" x14ac:dyDescent="0.3">
      <c r="A1" t="s">
        <v>182</v>
      </c>
    </row>
    <row r="2" spans="1:19" x14ac:dyDescent="0.3">
      <c r="A2" t="s">
        <v>183</v>
      </c>
      <c r="H2" t="s">
        <v>184</v>
      </c>
      <c r="N2" t="s">
        <v>178</v>
      </c>
    </row>
    <row r="3" spans="1:19" x14ac:dyDescent="0.3">
      <c r="A3" t="s">
        <v>185</v>
      </c>
      <c r="B3" t="s">
        <v>186</v>
      </c>
      <c r="C3" t="s">
        <v>187</v>
      </c>
      <c r="D3" t="s">
        <v>188</v>
      </c>
      <c r="E3" t="s">
        <v>189</v>
      </c>
      <c r="F3" t="s">
        <v>190</v>
      </c>
      <c r="G3" t="s">
        <v>191</v>
      </c>
      <c r="H3" t="s">
        <v>186</v>
      </c>
      <c r="I3" t="s">
        <v>187</v>
      </c>
      <c r="J3" t="s">
        <v>188</v>
      </c>
      <c r="K3" t="s">
        <v>189</v>
      </c>
      <c r="L3" t="s">
        <v>190</v>
      </c>
      <c r="M3" t="s">
        <v>192</v>
      </c>
      <c r="N3" t="s">
        <v>186</v>
      </c>
      <c r="O3" t="s">
        <v>187</v>
      </c>
      <c r="P3" t="s">
        <v>188</v>
      </c>
      <c r="Q3" t="s">
        <v>189</v>
      </c>
      <c r="R3" t="s">
        <v>190</v>
      </c>
      <c r="S3" t="s">
        <v>192</v>
      </c>
    </row>
    <row r="4" spans="1:19" x14ac:dyDescent="0.3">
      <c r="A4" t="s">
        <v>193</v>
      </c>
      <c r="B4">
        <v>32160600</v>
      </c>
      <c r="C4">
        <v>8361756</v>
      </c>
      <c r="D4">
        <v>7800000</v>
      </c>
      <c r="E4">
        <v>48322356</v>
      </c>
      <c r="F4">
        <v>177343046.52000001</v>
      </c>
      <c r="G4">
        <v>177.34304652</v>
      </c>
      <c r="H4">
        <v>15386160</v>
      </c>
      <c r="I4">
        <v>4000401.6000000006</v>
      </c>
      <c r="J4">
        <v>4056000</v>
      </c>
      <c r="K4">
        <v>23442561.600000001</v>
      </c>
      <c r="L4">
        <v>86034201.071999997</v>
      </c>
      <c r="M4">
        <v>86.034201072000002</v>
      </c>
      <c r="N4">
        <v>7693080</v>
      </c>
      <c r="O4">
        <v>2000200.8000000003</v>
      </c>
      <c r="P4">
        <v>2028000</v>
      </c>
      <c r="Q4">
        <v>11721280.800000001</v>
      </c>
      <c r="R4">
        <v>43017100.535999998</v>
      </c>
      <c r="S4">
        <v>43.017100536000001</v>
      </c>
    </row>
    <row r="5" spans="1:19" x14ac:dyDescent="0.3">
      <c r="A5" t="s">
        <v>194</v>
      </c>
      <c r="B5">
        <v>20706000</v>
      </c>
      <c r="C5">
        <v>5383560</v>
      </c>
      <c r="D5">
        <v>7800000</v>
      </c>
      <c r="E5">
        <v>33889560</v>
      </c>
      <c r="F5">
        <v>124374685.2</v>
      </c>
      <c r="G5">
        <v>124.3746852</v>
      </c>
      <c r="H5">
        <v>11826480</v>
      </c>
      <c r="I5">
        <v>3074884.8</v>
      </c>
      <c r="J5">
        <v>4056000</v>
      </c>
      <c r="K5">
        <v>18957364.800000001</v>
      </c>
      <c r="L5">
        <v>69573528.816</v>
      </c>
      <c r="M5">
        <v>69.573528816000007</v>
      </c>
      <c r="N5">
        <v>5913240</v>
      </c>
      <c r="O5">
        <v>1537442.4000000001</v>
      </c>
      <c r="P5">
        <v>2028000</v>
      </c>
      <c r="Q5">
        <v>9478682.4000000004</v>
      </c>
      <c r="R5">
        <v>34786764.408</v>
      </c>
      <c r="S5">
        <v>34.786764408000003</v>
      </c>
    </row>
    <row r="6" spans="1:19" x14ac:dyDescent="0.3">
      <c r="A6" t="s">
        <v>195</v>
      </c>
      <c r="B6">
        <v>19320000</v>
      </c>
      <c r="C6">
        <v>5023200</v>
      </c>
      <c r="D6">
        <v>7800000</v>
      </c>
      <c r="E6">
        <v>32143200</v>
      </c>
      <c r="F6">
        <v>117965544</v>
      </c>
      <c r="G6">
        <v>117.96554399999999</v>
      </c>
      <c r="H6">
        <v>11210640</v>
      </c>
      <c r="I6">
        <v>2914766.4</v>
      </c>
      <c r="J6">
        <v>4056000</v>
      </c>
      <c r="K6">
        <v>18181406.399999999</v>
      </c>
      <c r="L6">
        <v>66725761.487999991</v>
      </c>
      <c r="M6">
        <v>66.725761487999989</v>
      </c>
      <c r="N6">
        <v>5605320</v>
      </c>
      <c r="O6">
        <v>1457383.2</v>
      </c>
      <c r="P6">
        <v>2028000</v>
      </c>
      <c r="Q6">
        <v>9090703.1999999993</v>
      </c>
      <c r="R6">
        <v>33362880.743999995</v>
      </c>
      <c r="S6">
        <v>33.362880743999995</v>
      </c>
    </row>
    <row r="7" spans="1:19" x14ac:dyDescent="0.3">
      <c r="A7" t="s">
        <v>196</v>
      </c>
      <c r="B7">
        <v>16624320</v>
      </c>
      <c r="C7">
        <v>4322323.2</v>
      </c>
      <c r="D7">
        <v>7800000</v>
      </c>
      <c r="E7">
        <v>28746643.199999999</v>
      </c>
      <c r="F7">
        <v>105500180.544</v>
      </c>
      <c r="G7">
        <v>105.500180544</v>
      </c>
      <c r="H7">
        <v>10531440</v>
      </c>
      <c r="I7">
        <v>2738174.4</v>
      </c>
      <c r="J7">
        <v>4056000</v>
      </c>
      <c r="K7">
        <v>17325614.399999999</v>
      </c>
      <c r="L7">
        <v>63585004.84799999</v>
      </c>
      <c r="M7">
        <v>63.58500484799999</v>
      </c>
      <c r="N7">
        <v>5265720</v>
      </c>
      <c r="O7">
        <v>1369087.2000000002</v>
      </c>
      <c r="P7">
        <v>2028000</v>
      </c>
      <c r="Q7">
        <v>8662807.1999999993</v>
      </c>
      <c r="R7">
        <v>31792502.423999995</v>
      </c>
      <c r="S7">
        <v>31.792502423999995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E0084-D8B8-4BC0-8CB3-1B6863B27C94}">
  <dimension ref="A1:S7"/>
  <sheetViews>
    <sheetView workbookViewId="0">
      <selection activeCell="R11" sqref="R11"/>
    </sheetView>
  </sheetViews>
  <sheetFormatPr defaultRowHeight="14.4" x14ac:dyDescent="0.3"/>
  <cols>
    <col min="2" max="2" width="21.44140625" customWidth="1"/>
    <col min="3" max="3" width="18.33203125" customWidth="1"/>
    <col min="4" max="4" width="15.33203125" customWidth="1"/>
    <col min="5" max="5" width="20.6640625" customWidth="1"/>
    <col min="6" max="6" width="14.44140625" customWidth="1"/>
    <col min="7" max="7" width="17.5546875" customWidth="1"/>
    <col min="8" max="8" width="23.5546875" customWidth="1"/>
    <col min="9" max="9" width="19.44140625" customWidth="1"/>
    <col min="10" max="11" width="16.109375" customWidth="1"/>
    <col min="12" max="12" width="14.88671875" customWidth="1"/>
    <col min="13" max="13" width="16.109375" customWidth="1"/>
    <col min="14" max="14" width="22.109375" customWidth="1"/>
    <col min="15" max="15" width="19" customWidth="1"/>
    <col min="16" max="16" width="17.88671875" customWidth="1"/>
    <col min="17" max="17" width="18.6640625" customWidth="1"/>
    <col min="18" max="18" width="19" customWidth="1"/>
    <col min="19" max="19" width="21.44140625" customWidth="1"/>
  </cols>
  <sheetData>
    <row r="1" spans="1:19" x14ac:dyDescent="0.3">
      <c r="A1" t="s">
        <v>197</v>
      </c>
    </row>
    <row r="2" spans="1:19" x14ac:dyDescent="0.3">
      <c r="A2" t="s">
        <v>183</v>
      </c>
      <c r="H2" t="s">
        <v>184</v>
      </c>
      <c r="N2" t="s">
        <v>178</v>
      </c>
    </row>
    <row r="3" spans="1:19" x14ac:dyDescent="0.3">
      <c r="A3" t="s">
        <v>185</v>
      </c>
      <c r="B3" t="s">
        <v>186</v>
      </c>
      <c r="C3" t="s">
        <v>187</v>
      </c>
      <c r="D3" t="s">
        <v>188</v>
      </c>
      <c r="E3" t="s">
        <v>189</v>
      </c>
      <c r="F3" t="s">
        <v>190</v>
      </c>
      <c r="G3" t="s">
        <v>191</v>
      </c>
      <c r="H3" t="s">
        <v>186</v>
      </c>
      <c r="I3" t="s">
        <v>187</v>
      </c>
      <c r="J3" t="s">
        <v>188</v>
      </c>
      <c r="K3" t="s">
        <v>189</v>
      </c>
      <c r="L3" t="s">
        <v>190</v>
      </c>
      <c r="M3" t="s">
        <v>192</v>
      </c>
      <c r="N3" t="s">
        <v>186</v>
      </c>
      <c r="O3" t="s">
        <v>187</v>
      </c>
      <c r="P3" t="s">
        <v>188</v>
      </c>
      <c r="Q3" t="s">
        <v>189</v>
      </c>
      <c r="R3" t="s">
        <v>190</v>
      </c>
      <c r="S3" t="s">
        <v>192</v>
      </c>
    </row>
    <row r="4" spans="1:19" x14ac:dyDescent="0.3">
      <c r="A4" t="s">
        <v>193</v>
      </c>
      <c r="B4">
        <v>21976410</v>
      </c>
      <c r="C4">
        <v>5713866.5999999996</v>
      </c>
      <c r="D4">
        <v>5330000</v>
      </c>
      <c r="E4">
        <v>33020276.600000001</v>
      </c>
      <c r="F4">
        <v>121184415.12200001</v>
      </c>
      <c r="G4">
        <v>121.184415122</v>
      </c>
      <c r="H4">
        <v>10513876</v>
      </c>
      <c r="I4">
        <v>2733607.7600000002</v>
      </c>
      <c r="J4">
        <v>2771600</v>
      </c>
      <c r="K4">
        <v>16019083.76</v>
      </c>
      <c r="L4">
        <v>58790037.3992</v>
      </c>
      <c r="M4">
        <v>58.790037399200003</v>
      </c>
      <c r="N4">
        <v>5256938</v>
      </c>
      <c r="O4">
        <v>1366803.8800000001</v>
      </c>
      <c r="P4">
        <v>1385800</v>
      </c>
      <c r="Q4">
        <v>8009541.8799999999</v>
      </c>
      <c r="R4">
        <v>29395018.6996</v>
      </c>
      <c r="S4">
        <v>29.395018699600001</v>
      </c>
    </row>
    <row r="5" spans="1:19" x14ac:dyDescent="0.3">
      <c r="A5" t="s">
        <v>194</v>
      </c>
      <c r="B5">
        <v>14149100</v>
      </c>
      <c r="C5">
        <v>3678766</v>
      </c>
      <c r="D5">
        <v>5330000</v>
      </c>
      <c r="E5">
        <v>23157866</v>
      </c>
      <c r="F5">
        <v>84989368.219999999</v>
      </c>
      <c r="G5">
        <v>84.989368220000003</v>
      </c>
      <c r="H5">
        <v>8081428</v>
      </c>
      <c r="I5">
        <v>2101171.2799999998</v>
      </c>
      <c r="J5">
        <v>2771600</v>
      </c>
      <c r="K5">
        <v>12954199.279999999</v>
      </c>
      <c r="L5">
        <v>47541911.357599996</v>
      </c>
      <c r="M5">
        <v>47.541911357599993</v>
      </c>
      <c r="N5">
        <v>4040714</v>
      </c>
      <c r="O5">
        <v>1050585.6399999999</v>
      </c>
      <c r="P5">
        <v>1385800</v>
      </c>
      <c r="Q5">
        <v>6477099.6399999997</v>
      </c>
      <c r="R5">
        <v>23770955.678799998</v>
      </c>
      <c r="S5">
        <v>23.770955678799996</v>
      </c>
    </row>
    <row r="6" spans="1:19" x14ac:dyDescent="0.3">
      <c r="A6" t="s">
        <v>195</v>
      </c>
      <c r="B6">
        <v>13202000</v>
      </c>
      <c r="C6">
        <v>3432520</v>
      </c>
      <c r="D6">
        <v>5330000</v>
      </c>
      <c r="E6">
        <v>21964520</v>
      </c>
      <c r="F6">
        <v>80609788.399999991</v>
      </c>
      <c r="G6">
        <v>80.609788399999985</v>
      </c>
      <c r="H6">
        <v>7660604</v>
      </c>
      <c r="I6">
        <v>1991757.04</v>
      </c>
      <c r="J6">
        <v>2771600</v>
      </c>
      <c r="K6">
        <v>12423961.039999999</v>
      </c>
      <c r="L6">
        <v>45595937.016799994</v>
      </c>
      <c r="M6">
        <v>45.595937016799994</v>
      </c>
      <c r="N6">
        <v>3830302</v>
      </c>
      <c r="O6">
        <v>995878.52</v>
      </c>
      <c r="P6">
        <v>1385800</v>
      </c>
      <c r="Q6">
        <v>6211980.5199999996</v>
      </c>
      <c r="R6">
        <v>22797968.508399997</v>
      </c>
      <c r="S6">
        <v>22.797968508399997</v>
      </c>
    </row>
    <row r="7" spans="1:19" x14ac:dyDescent="0.3">
      <c r="A7" t="s">
        <v>196</v>
      </c>
      <c r="B7">
        <v>11359952</v>
      </c>
      <c r="C7">
        <v>2953587.52</v>
      </c>
      <c r="D7">
        <v>5330000</v>
      </c>
      <c r="E7">
        <v>19643539.52</v>
      </c>
      <c r="F7">
        <v>72091790.038399994</v>
      </c>
      <c r="G7">
        <v>72.091790038399992</v>
      </c>
      <c r="H7">
        <v>7196484</v>
      </c>
      <c r="I7">
        <v>1871085.8399999996</v>
      </c>
      <c r="J7">
        <v>2771600</v>
      </c>
      <c r="K7">
        <v>11839169.84</v>
      </c>
      <c r="L7">
        <v>43449753.312799998</v>
      </c>
      <c r="M7">
        <v>43.449753312799999</v>
      </c>
      <c r="N7">
        <v>3598242</v>
      </c>
      <c r="O7">
        <v>935542.91999999981</v>
      </c>
      <c r="P7">
        <v>1385800</v>
      </c>
      <c r="Q7">
        <v>5919584.9199999999</v>
      </c>
      <c r="R7">
        <v>21724876.656399999</v>
      </c>
      <c r="S7">
        <v>21.724876656399999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697E6-3E75-482D-A639-A869E18EF3E0}">
  <dimension ref="A2:W62"/>
  <sheetViews>
    <sheetView workbookViewId="0">
      <selection activeCell="X7" sqref="X7"/>
    </sheetView>
  </sheetViews>
  <sheetFormatPr defaultRowHeight="14.4" x14ac:dyDescent="0.3"/>
  <cols>
    <col min="1" max="1" width="42.109375" customWidth="1"/>
  </cols>
  <sheetData>
    <row r="2" spans="1:23" x14ac:dyDescent="0.3">
      <c r="A2" t="s">
        <v>198</v>
      </c>
    </row>
    <row r="4" spans="1:23" x14ac:dyDescent="0.3">
      <c r="A4" t="s">
        <v>94</v>
      </c>
      <c r="C4">
        <v>1</v>
      </c>
      <c r="D4">
        <v>2</v>
      </c>
      <c r="E4">
        <v>3</v>
      </c>
      <c r="F4">
        <v>4</v>
      </c>
      <c r="G4">
        <v>5</v>
      </c>
      <c r="H4">
        <v>8</v>
      </c>
      <c r="I4">
        <v>9</v>
      </c>
      <c r="J4">
        <v>12</v>
      </c>
      <c r="K4">
        <v>13</v>
      </c>
      <c r="L4">
        <v>14</v>
      </c>
      <c r="M4">
        <v>15</v>
      </c>
      <c r="N4">
        <v>16</v>
      </c>
      <c r="O4">
        <v>17</v>
      </c>
      <c r="P4">
        <v>18</v>
      </c>
      <c r="Q4">
        <v>19</v>
      </c>
      <c r="R4">
        <v>20</v>
      </c>
      <c r="S4">
        <v>21</v>
      </c>
      <c r="T4">
        <v>22</v>
      </c>
      <c r="U4">
        <v>23</v>
      </c>
      <c r="V4">
        <v>24</v>
      </c>
      <c r="W4">
        <v>25</v>
      </c>
    </row>
    <row r="5" spans="1:23" x14ac:dyDescent="0.3">
      <c r="A5" t="s">
        <v>95</v>
      </c>
      <c r="B5">
        <v>2025</v>
      </c>
      <c r="C5">
        <v>2026</v>
      </c>
      <c r="D5">
        <v>2027</v>
      </c>
      <c r="E5">
        <v>2028</v>
      </c>
      <c r="F5">
        <v>2029</v>
      </c>
      <c r="G5">
        <v>2030</v>
      </c>
      <c r="H5">
        <v>2033</v>
      </c>
      <c r="I5">
        <v>2034</v>
      </c>
      <c r="J5">
        <v>2037</v>
      </c>
      <c r="K5">
        <v>2038</v>
      </c>
      <c r="L5">
        <v>2039</v>
      </c>
      <c r="M5">
        <v>2040</v>
      </c>
      <c r="N5">
        <v>2041</v>
      </c>
      <c r="O5">
        <v>2042</v>
      </c>
      <c r="P5">
        <v>2043</v>
      </c>
      <c r="Q5">
        <v>2044</v>
      </c>
      <c r="R5">
        <v>2045</v>
      </c>
      <c r="S5">
        <v>2046</v>
      </c>
      <c r="T5">
        <v>2047</v>
      </c>
      <c r="U5">
        <v>2048</v>
      </c>
      <c r="V5">
        <v>2049</v>
      </c>
      <c r="W5">
        <v>2050</v>
      </c>
    </row>
    <row r="6" spans="1:23" x14ac:dyDescent="0.3">
      <c r="A6" t="s">
        <v>96</v>
      </c>
      <c r="B6">
        <v>1993</v>
      </c>
      <c r="C6">
        <v>1994</v>
      </c>
      <c r="D6">
        <v>1995</v>
      </c>
      <c r="E6">
        <v>1996</v>
      </c>
      <c r="F6">
        <v>1997</v>
      </c>
      <c r="G6">
        <v>1998</v>
      </c>
      <c r="H6">
        <v>2001</v>
      </c>
      <c r="I6">
        <v>2002</v>
      </c>
      <c r="J6">
        <v>2005</v>
      </c>
      <c r="K6">
        <v>2006</v>
      </c>
      <c r="L6">
        <v>2007</v>
      </c>
      <c r="M6">
        <v>2008</v>
      </c>
      <c r="N6">
        <v>2009</v>
      </c>
      <c r="O6">
        <v>2010</v>
      </c>
      <c r="P6">
        <v>2011</v>
      </c>
      <c r="Q6">
        <v>2012</v>
      </c>
      <c r="R6">
        <v>2013</v>
      </c>
      <c r="S6">
        <v>2014</v>
      </c>
      <c r="T6">
        <v>2015</v>
      </c>
      <c r="U6">
        <v>2016</v>
      </c>
      <c r="V6">
        <v>2017</v>
      </c>
      <c r="W6">
        <v>2018</v>
      </c>
    </row>
    <row r="7" spans="1:23" x14ac:dyDescent="0.3">
      <c r="A7" t="s">
        <v>97</v>
      </c>
      <c r="B7">
        <v>0</v>
      </c>
      <c r="C7">
        <v>0.52</v>
      </c>
      <c r="D7">
        <v>1.1599999999999999</v>
      </c>
      <c r="E7">
        <v>1.29</v>
      </c>
      <c r="F7">
        <v>2.2799999999999998</v>
      </c>
      <c r="G7">
        <v>3.14</v>
      </c>
      <c r="H7">
        <v>0.9</v>
      </c>
      <c r="I7">
        <v>1.93</v>
      </c>
      <c r="J7">
        <v>2.14</v>
      </c>
      <c r="K7">
        <v>1.25</v>
      </c>
      <c r="L7">
        <v>1.76</v>
      </c>
      <c r="M7">
        <v>2.0499999999999998</v>
      </c>
      <c r="N7">
        <v>2.0099999999999998</v>
      </c>
      <c r="O7">
        <v>1.24</v>
      </c>
      <c r="P7">
        <v>1.27</v>
      </c>
      <c r="Q7">
        <v>0.87</v>
      </c>
      <c r="R7">
        <v>1.28</v>
      </c>
      <c r="S7">
        <v>0.81</v>
      </c>
      <c r="T7">
        <v>0.96</v>
      </c>
      <c r="U7">
        <v>0.33</v>
      </c>
      <c r="V7">
        <v>0.52</v>
      </c>
      <c r="W7">
        <v>0.72</v>
      </c>
    </row>
    <row r="8" spans="1:23" x14ac:dyDescent="0.3">
      <c r="A8" t="s">
        <v>98</v>
      </c>
      <c r="B8">
        <v>0</v>
      </c>
      <c r="C8">
        <v>213200</v>
      </c>
      <c r="D8">
        <v>475599.99999999994</v>
      </c>
      <c r="E8">
        <v>528900</v>
      </c>
      <c r="F8">
        <v>934799.99999999988</v>
      </c>
      <c r="G8">
        <v>1287400</v>
      </c>
      <c r="H8">
        <v>1107000</v>
      </c>
      <c r="I8">
        <v>791300</v>
      </c>
      <c r="J8">
        <v>2632200</v>
      </c>
      <c r="K8">
        <v>512500</v>
      </c>
      <c r="L8">
        <v>721600</v>
      </c>
      <c r="M8">
        <v>840499.99999999988</v>
      </c>
      <c r="N8">
        <v>824099.99999999988</v>
      </c>
      <c r="O8">
        <v>508400</v>
      </c>
      <c r="P8">
        <v>520700</v>
      </c>
      <c r="Q8">
        <v>356700</v>
      </c>
      <c r="R8">
        <v>524800</v>
      </c>
      <c r="S8">
        <v>332100</v>
      </c>
      <c r="T8">
        <v>393600</v>
      </c>
      <c r="U8">
        <v>135300</v>
      </c>
      <c r="V8">
        <v>213200</v>
      </c>
      <c r="W8">
        <v>295200</v>
      </c>
    </row>
    <row r="9" spans="1:23" x14ac:dyDescent="0.3">
      <c r="A9" t="s">
        <v>99</v>
      </c>
      <c r="B9">
        <v>0</v>
      </c>
      <c r="C9">
        <v>213200</v>
      </c>
      <c r="D9">
        <v>688800</v>
      </c>
      <c r="E9">
        <v>1217700</v>
      </c>
      <c r="F9">
        <v>2152500</v>
      </c>
      <c r="G9">
        <v>3439900</v>
      </c>
      <c r="H9">
        <v>4546900</v>
      </c>
      <c r="I9">
        <v>5338200</v>
      </c>
      <c r="J9">
        <v>7970400</v>
      </c>
      <c r="K9">
        <v>8482900</v>
      </c>
      <c r="L9">
        <v>9204500</v>
      </c>
      <c r="M9">
        <v>10045000</v>
      </c>
      <c r="N9">
        <v>10869100</v>
      </c>
      <c r="O9">
        <v>11377500</v>
      </c>
      <c r="P9">
        <v>11898200</v>
      </c>
      <c r="Q9">
        <v>12254900</v>
      </c>
      <c r="R9">
        <v>12779700</v>
      </c>
      <c r="S9">
        <v>13111800</v>
      </c>
      <c r="T9">
        <v>13505400</v>
      </c>
      <c r="U9">
        <v>13640700</v>
      </c>
      <c r="V9">
        <v>13853900</v>
      </c>
      <c r="W9">
        <v>14149100</v>
      </c>
    </row>
    <row r="10" spans="1:23" x14ac:dyDescent="0.3">
      <c r="A10" t="s">
        <v>100</v>
      </c>
      <c r="B10">
        <v>0</v>
      </c>
      <c r="C10">
        <v>782444</v>
      </c>
      <c r="D10">
        <v>2527896</v>
      </c>
      <c r="E10">
        <v>4468959</v>
      </c>
      <c r="F10">
        <v>7899675</v>
      </c>
      <c r="G10">
        <v>12624433</v>
      </c>
      <c r="H10">
        <v>16687123</v>
      </c>
      <c r="I10">
        <v>19591194</v>
      </c>
      <c r="J10">
        <v>29251368</v>
      </c>
      <c r="K10">
        <v>31132243</v>
      </c>
      <c r="L10">
        <v>33780515</v>
      </c>
      <c r="M10">
        <v>36865150</v>
      </c>
      <c r="N10">
        <v>39889597</v>
      </c>
      <c r="O10">
        <v>41755425</v>
      </c>
      <c r="P10">
        <v>43666394</v>
      </c>
      <c r="Q10">
        <v>44975483</v>
      </c>
      <c r="R10">
        <v>46901499</v>
      </c>
      <c r="S10">
        <v>48120306</v>
      </c>
      <c r="T10">
        <v>49564818</v>
      </c>
      <c r="U10">
        <v>50061369</v>
      </c>
      <c r="V10">
        <v>50843813</v>
      </c>
      <c r="W10">
        <v>51927197</v>
      </c>
    </row>
    <row r="11" spans="1:23" x14ac:dyDescent="0.3">
      <c r="A11" t="s">
        <v>101</v>
      </c>
      <c r="B11">
        <v>0</v>
      </c>
      <c r="C11">
        <v>55432.000000000007</v>
      </c>
      <c r="D11">
        <v>123655.99999999999</v>
      </c>
      <c r="E11">
        <v>137514</v>
      </c>
      <c r="F11">
        <v>243048</v>
      </c>
      <c r="G11">
        <v>334724</v>
      </c>
      <c r="H11">
        <v>287820</v>
      </c>
      <c r="I11">
        <v>205738</v>
      </c>
      <c r="J11">
        <v>684372</v>
      </c>
      <c r="K11">
        <v>133250</v>
      </c>
      <c r="L11">
        <v>187616</v>
      </c>
      <c r="M11">
        <v>218529.99999999997</v>
      </c>
      <c r="N11">
        <v>214265.99999999997</v>
      </c>
      <c r="O11">
        <v>132184</v>
      </c>
      <c r="P11">
        <v>135382</v>
      </c>
      <c r="Q11">
        <v>92742</v>
      </c>
      <c r="R11">
        <v>136448.00000000003</v>
      </c>
      <c r="S11">
        <v>86346</v>
      </c>
      <c r="T11">
        <v>102336</v>
      </c>
      <c r="U11">
        <v>35178</v>
      </c>
      <c r="V11">
        <v>55432.000000000007</v>
      </c>
      <c r="W11">
        <v>76752</v>
      </c>
    </row>
    <row r="12" spans="1:23" x14ac:dyDescent="0.3">
      <c r="A12" t="s">
        <v>102</v>
      </c>
      <c r="B12">
        <v>0</v>
      </c>
      <c r="C12">
        <v>55432.000000000007</v>
      </c>
      <c r="D12">
        <v>179088</v>
      </c>
      <c r="E12">
        <v>316602</v>
      </c>
      <c r="F12">
        <v>559650</v>
      </c>
      <c r="G12">
        <v>894374</v>
      </c>
      <c r="H12">
        <v>1182194</v>
      </c>
      <c r="I12">
        <v>1387932</v>
      </c>
      <c r="J12">
        <v>2072304</v>
      </c>
      <c r="K12">
        <v>2205554</v>
      </c>
      <c r="L12">
        <v>2393170</v>
      </c>
      <c r="M12">
        <v>2611700</v>
      </c>
      <c r="N12">
        <v>2825966</v>
      </c>
      <c r="O12">
        <v>2958150</v>
      </c>
      <c r="P12">
        <v>3093532</v>
      </c>
      <c r="Q12">
        <v>3186274</v>
      </c>
      <c r="R12">
        <v>3322722</v>
      </c>
      <c r="S12">
        <v>3409068</v>
      </c>
      <c r="T12">
        <v>3511404</v>
      </c>
      <c r="U12">
        <v>3546582</v>
      </c>
      <c r="V12">
        <v>3602014</v>
      </c>
      <c r="W12">
        <v>3678766</v>
      </c>
    </row>
    <row r="13" spans="1:23" x14ac:dyDescent="0.3">
      <c r="A13" t="s">
        <v>103</v>
      </c>
      <c r="B13">
        <v>0</v>
      </c>
      <c r="C13">
        <v>203435.44000000003</v>
      </c>
      <c r="D13">
        <v>657252.96</v>
      </c>
      <c r="E13">
        <v>1161929.3400000001</v>
      </c>
      <c r="F13">
        <v>2053915.5</v>
      </c>
      <c r="G13">
        <v>3282352.58</v>
      </c>
      <c r="H13">
        <v>4338651.9799999995</v>
      </c>
      <c r="I13">
        <v>5093710.4399999995</v>
      </c>
      <c r="J13">
        <v>7605355.6799999997</v>
      </c>
      <c r="K13">
        <v>8094383.1799999997</v>
      </c>
      <c r="L13">
        <v>8782933.9000000004</v>
      </c>
      <c r="M13">
        <v>9584939</v>
      </c>
      <c r="N13">
        <v>10371295.220000001</v>
      </c>
      <c r="O13">
        <v>10856410.5</v>
      </c>
      <c r="P13">
        <v>11353262.439999999</v>
      </c>
      <c r="Q13">
        <v>11693625.58</v>
      </c>
      <c r="R13">
        <v>12194389.74</v>
      </c>
      <c r="S13">
        <v>12511279.560000001</v>
      </c>
      <c r="T13">
        <v>12886852.68</v>
      </c>
      <c r="U13">
        <v>13015955.939999999</v>
      </c>
      <c r="V13">
        <v>13219391.379999999</v>
      </c>
      <c r="W13">
        <v>13501071.219999999</v>
      </c>
    </row>
    <row r="14" spans="1:23" x14ac:dyDescent="0.3">
      <c r="A14" t="s">
        <v>104</v>
      </c>
      <c r="C14">
        <v>213200</v>
      </c>
      <c r="D14">
        <v>213200</v>
      </c>
      <c r="E14">
        <v>213200</v>
      </c>
      <c r="F14">
        <v>213200</v>
      </c>
      <c r="G14">
        <v>213200</v>
      </c>
      <c r="H14">
        <v>639600</v>
      </c>
      <c r="I14">
        <v>213200</v>
      </c>
      <c r="J14">
        <v>639600</v>
      </c>
      <c r="K14">
        <v>213200</v>
      </c>
      <c r="L14">
        <v>213200</v>
      </c>
      <c r="M14">
        <v>213200</v>
      </c>
      <c r="N14">
        <v>213200</v>
      </c>
      <c r="O14">
        <v>213200</v>
      </c>
      <c r="P14">
        <v>213200</v>
      </c>
      <c r="Q14">
        <v>213200</v>
      </c>
      <c r="R14">
        <v>213200</v>
      </c>
      <c r="S14">
        <v>213200</v>
      </c>
      <c r="T14">
        <v>213200</v>
      </c>
      <c r="U14">
        <v>213200</v>
      </c>
      <c r="V14">
        <v>213200</v>
      </c>
      <c r="W14">
        <v>213200</v>
      </c>
    </row>
    <row r="15" spans="1:23" x14ac:dyDescent="0.3">
      <c r="A15" t="s">
        <v>105</v>
      </c>
      <c r="C15">
        <v>213200</v>
      </c>
      <c r="D15">
        <v>426400</v>
      </c>
      <c r="E15">
        <v>639600</v>
      </c>
      <c r="F15">
        <v>852800</v>
      </c>
      <c r="G15">
        <v>1066000</v>
      </c>
      <c r="H15">
        <v>1705600</v>
      </c>
      <c r="I15">
        <v>1918800</v>
      </c>
      <c r="J15">
        <v>2558400</v>
      </c>
      <c r="K15">
        <v>2771600</v>
      </c>
      <c r="L15">
        <v>2984800</v>
      </c>
      <c r="M15">
        <v>3198000</v>
      </c>
      <c r="N15">
        <v>3411200</v>
      </c>
      <c r="O15">
        <v>3624400</v>
      </c>
      <c r="P15">
        <v>3837600</v>
      </c>
      <c r="Q15">
        <v>4050800</v>
      </c>
      <c r="R15">
        <v>4264000</v>
      </c>
      <c r="S15">
        <v>4477200</v>
      </c>
      <c r="T15">
        <v>4690400</v>
      </c>
      <c r="U15">
        <v>4903600</v>
      </c>
      <c r="V15">
        <v>5116800</v>
      </c>
      <c r="W15">
        <v>5330000</v>
      </c>
    </row>
    <row r="16" spans="1:23" x14ac:dyDescent="0.3">
      <c r="A16" t="s">
        <v>100</v>
      </c>
      <c r="C16">
        <v>782444</v>
      </c>
      <c r="D16">
        <v>1564888</v>
      </c>
      <c r="E16">
        <v>2347332</v>
      </c>
      <c r="F16">
        <v>3129776</v>
      </c>
      <c r="G16">
        <v>3912220</v>
      </c>
      <c r="H16">
        <v>6259552</v>
      </c>
      <c r="I16">
        <v>7041996</v>
      </c>
      <c r="J16">
        <v>9389328</v>
      </c>
      <c r="K16">
        <v>10171772</v>
      </c>
      <c r="L16">
        <v>10954216</v>
      </c>
      <c r="M16">
        <v>11736660</v>
      </c>
      <c r="N16">
        <v>12519104</v>
      </c>
      <c r="O16">
        <v>13301548</v>
      </c>
      <c r="P16">
        <v>14083992</v>
      </c>
      <c r="Q16">
        <v>14866436</v>
      </c>
      <c r="R16">
        <v>15648880</v>
      </c>
      <c r="S16">
        <v>16431324</v>
      </c>
      <c r="T16">
        <v>17213768</v>
      </c>
      <c r="U16">
        <v>17996212</v>
      </c>
      <c r="V16">
        <v>18778656</v>
      </c>
      <c r="W16">
        <v>19561100</v>
      </c>
    </row>
    <row r="17" spans="1:23" x14ac:dyDescent="0.3">
      <c r="A17" t="s">
        <v>107</v>
      </c>
      <c r="W17">
        <v>23157866</v>
      </c>
    </row>
    <row r="18" spans="1:23" x14ac:dyDescent="0.3">
      <c r="A18" t="s">
        <v>110</v>
      </c>
      <c r="W18">
        <v>84989368.219999999</v>
      </c>
    </row>
    <row r="20" spans="1:23" x14ac:dyDescent="0.3">
      <c r="A20" t="s">
        <v>111</v>
      </c>
      <c r="B20">
        <v>1993</v>
      </c>
      <c r="C20">
        <v>1994</v>
      </c>
      <c r="D20">
        <v>1995</v>
      </c>
      <c r="E20">
        <v>1996</v>
      </c>
      <c r="F20">
        <v>1997</v>
      </c>
      <c r="G20">
        <v>1998</v>
      </c>
      <c r="H20">
        <v>2001</v>
      </c>
      <c r="I20">
        <v>2002</v>
      </c>
      <c r="J20">
        <v>2005</v>
      </c>
      <c r="K20">
        <v>2006</v>
      </c>
      <c r="L20">
        <v>2007</v>
      </c>
      <c r="M20">
        <v>2008</v>
      </c>
      <c r="N20">
        <v>2009</v>
      </c>
      <c r="O20">
        <v>2010</v>
      </c>
      <c r="P20">
        <v>2011</v>
      </c>
      <c r="Q20">
        <v>2012</v>
      </c>
      <c r="R20">
        <v>2013</v>
      </c>
      <c r="S20">
        <v>2014</v>
      </c>
      <c r="T20">
        <v>2015</v>
      </c>
      <c r="U20">
        <v>2016</v>
      </c>
      <c r="V20">
        <v>2017</v>
      </c>
      <c r="W20">
        <v>2018</v>
      </c>
    </row>
    <row r="21" spans="1:23" x14ac:dyDescent="0.3">
      <c r="A21" t="s">
        <v>112</v>
      </c>
      <c r="B21">
        <v>0</v>
      </c>
      <c r="C21">
        <v>0.13</v>
      </c>
      <c r="D21">
        <v>0.41</v>
      </c>
      <c r="E21">
        <v>0.85</v>
      </c>
      <c r="F21">
        <v>1.37</v>
      </c>
      <c r="G21">
        <v>2.42</v>
      </c>
      <c r="H21">
        <v>0.78</v>
      </c>
      <c r="I21">
        <v>1.64</v>
      </c>
      <c r="J21">
        <v>1.98</v>
      </c>
      <c r="K21">
        <v>1.1200000000000001</v>
      </c>
      <c r="L21">
        <v>1.41</v>
      </c>
      <c r="M21">
        <v>1.91</v>
      </c>
      <c r="N21">
        <v>1.83</v>
      </c>
      <c r="O21">
        <v>1.0900000000000001</v>
      </c>
      <c r="P21">
        <v>0.96</v>
      </c>
      <c r="Q21">
        <v>0.76</v>
      </c>
      <c r="R21">
        <v>1.28</v>
      </c>
      <c r="S21">
        <v>0.88</v>
      </c>
      <c r="T21">
        <v>0.75</v>
      </c>
      <c r="U21">
        <v>0.23</v>
      </c>
      <c r="V21">
        <v>0.2</v>
      </c>
      <c r="W21">
        <v>0.18720000000000001</v>
      </c>
    </row>
    <row r="22" spans="1:23" x14ac:dyDescent="0.3">
      <c r="A22" t="s">
        <v>113</v>
      </c>
      <c r="B22">
        <v>0</v>
      </c>
      <c r="C22">
        <v>53300</v>
      </c>
      <c r="D22">
        <v>168100</v>
      </c>
      <c r="E22">
        <v>348500</v>
      </c>
      <c r="F22">
        <v>561700</v>
      </c>
      <c r="G22">
        <v>992200</v>
      </c>
      <c r="H22">
        <v>959400</v>
      </c>
      <c r="I22">
        <v>672400</v>
      </c>
      <c r="J22">
        <v>2435400</v>
      </c>
      <c r="K22">
        <v>459200.00000000006</v>
      </c>
      <c r="L22">
        <v>578100</v>
      </c>
      <c r="M22">
        <v>783100</v>
      </c>
      <c r="N22">
        <v>750300</v>
      </c>
      <c r="O22">
        <v>446900.00000000006</v>
      </c>
      <c r="P22">
        <v>393600</v>
      </c>
      <c r="Q22">
        <v>311600</v>
      </c>
      <c r="R22">
        <v>524800</v>
      </c>
      <c r="S22">
        <v>360800</v>
      </c>
      <c r="T22">
        <v>307500</v>
      </c>
      <c r="U22">
        <v>94300</v>
      </c>
      <c r="V22">
        <v>82000</v>
      </c>
      <c r="W22">
        <v>76752</v>
      </c>
    </row>
    <row r="23" spans="1:23" x14ac:dyDescent="0.3">
      <c r="A23" t="s">
        <v>114</v>
      </c>
      <c r="B23">
        <v>0</v>
      </c>
      <c r="C23">
        <v>53300</v>
      </c>
      <c r="D23">
        <v>221400</v>
      </c>
      <c r="E23">
        <v>569900</v>
      </c>
      <c r="F23">
        <v>1131600</v>
      </c>
      <c r="G23">
        <v>2123800</v>
      </c>
      <c r="H23">
        <v>3083200</v>
      </c>
      <c r="I23">
        <v>3755600</v>
      </c>
      <c r="J23">
        <v>6191000</v>
      </c>
      <c r="K23">
        <v>6650200</v>
      </c>
      <c r="L23">
        <v>7228300</v>
      </c>
      <c r="M23">
        <v>8011400</v>
      </c>
      <c r="N23">
        <v>8761700</v>
      </c>
      <c r="O23">
        <v>9208600</v>
      </c>
      <c r="P23">
        <v>9602200</v>
      </c>
      <c r="Q23">
        <v>9913800</v>
      </c>
      <c r="R23">
        <v>10438600</v>
      </c>
      <c r="S23">
        <v>10799400</v>
      </c>
      <c r="T23">
        <v>11106900</v>
      </c>
      <c r="U23">
        <v>11201200</v>
      </c>
      <c r="V23">
        <v>11283200</v>
      </c>
      <c r="W23">
        <v>11359952</v>
      </c>
    </row>
    <row r="24" spans="1:23" x14ac:dyDescent="0.3">
      <c r="A24" t="s">
        <v>115</v>
      </c>
      <c r="B24">
        <v>0</v>
      </c>
      <c r="C24">
        <v>195611</v>
      </c>
      <c r="D24">
        <v>812538</v>
      </c>
      <c r="E24">
        <v>2091533</v>
      </c>
      <c r="F24">
        <v>4152972</v>
      </c>
      <c r="G24">
        <v>7794346</v>
      </c>
      <c r="H24">
        <v>11315344</v>
      </c>
      <c r="I24">
        <v>13783052</v>
      </c>
      <c r="J24">
        <v>22720970</v>
      </c>
      <c r="K24">
        <v>24406234</v>
      </c>
      <c r="L24">
        <v>26527861</v>
      </c>
      <c r="M24">
        <v>29401838</v>
      </c>
      <c r="N24">
        <v>32155439</v>
      </c>
      <c r="O24">
        <v>33795562</v>
      </c>
      <c r="P24">
        <v>35240074</v>
      </c>
      <c r="Q24">
        <v>36383646</v>
      </c>
      <c r="R24">
        <v>38309662</v>
      </c>
      <c r="S24">
        <v>39633798</v>
      </c>
      <c r="T24">
        <v>40762323</v>
      </c>
      <c r="U24">
        <v>41108404</v>
      </c>
      <c r="V24">
        <v>41409344</v>
      </c>
      <c r="W24">
        <v>41691023.839999996</v>
      </c>
    </row>
    <row r="25" spans="1:23" x14ac:dyDescent="0.3">
      <c r="A25" t="s">
        <v>116</v>
      </c>
      <c r="B25">
        <v>0</v>
      </c>
      <c r="C25">
        <v>13858.000000000002</v>
      </c>
      <c r="D25">
        <v>43706</v>
      </c>
      <c r="E25">
        <v>90610</v>
      </c>
      <c r="F25">
        <v>146042</v>
      </c>
      <c r="G25">
        <v>257972</v>
      </c>
      <c r="H25">
        <v>249444</v>
      </c>
      <c r="I25">
        <v>174824</v>
      </c>
      <c r="J25">
        <v>633204</v>
      </c>
      <c r="K25">
        <v>119392</v>
      </c>
      <c r="L25">
        <v>150306</v>
      </c>
      <c r="M25">
        <v>203606</v>
      </c>
      <c r="N25">
        <v>195078.00000000003</v>
      </c>
      <c r="O25">
        <v>116194.00000000001</v>
      </c>
      <c r="P25">
        <v>102336</v>
      </c>
      <c r="Q25">
        <v>81016</v>
      </c>
      <c r="R25">
        <v>136448.00000000003</v>
      </c>
      <c r="S25">
        <v>93808</v>
      </c>
      <c r="T25">
        <v>79950</v>
      </c>
      <c r="U25">
        <v>24518.000000000004</v>
      </c>
      <c r="V25">
        <v>21320.000000000004</v>
      </c>
      <c r="W25">
        <v>19955.52</v>
      </c>
    </row>
    <row r="26" spans="1:23" x14ac:dyDescent="0.3">
      <c r="A26" t="s">
        <v>117</v>
      </c>
      <c r="B26">
        <v>0</v>
      </c>
      <c r="C26">
        <v>13858.000000000002</v>
      </c>
      <c r="D26">
        <v>57564</v>
      </c>
      <c r="E26">
        <v>148174</v>
      </c>
      <c r="F26">
        <v>294216</v>
      </c>
      <c r="G26">
        <v>552188</v>
      </c>
      <c r="H26">
        <v>801632</v>
      </c>
      <c r="I26">
        <v>976456</v>
      </c>
      <c r="J26">
        <v>1609660</v>
      </c>
      <c r="K26">
        <v>1729052</v>
      </c>
      <c r="L26">
        <v>1879358</v>
      </c>
      <c r="M26">
        <v>2082964</v>
      </c>
      <c r="N26">
        <v>2278042</v>
      </c>
      <c r="O26">
        <v>2394236</v>
      </c>
      <c r="P26">
        <v>2496572</v>
      </c>
      <c r="Q26">
        <v>2577588</v>
      </c>
      <c r="R26">
        <v>2714036</v>
      </c>
      <c r="S26">
        <v>2807844</v>
      </c>
      <c r="T26">
        <v>2887794</v>
      </c>
      <c r="U26">
        <v>2912312</v>
      </c>
      <c r="V26">
        <v>2933632</v>
      </c>
      <c r="W26">
        <v>2953587.52</v>
      </c>
    </row>
    <row r="27" spans="1:23" x14ac:dyDescent="0.3">
      <c r="A27" t="s">
        <v>118</v>
      </c>
      <c r="B27">
        <v>0</v>
      </c>
      <c r="C27">
        <v>50858.860000000008</v>
      </c>
      <c r="D27">
        <v>211259.88</v>
      </c>
      <c r="E27">
        <v>543798.57999999996</v>
      </c>
      <c r="F27">
        <v>1079772.72</v>
      </c>
      <c r="G27">
        <v>2026529.96</v>
      </c>
      <c r="H27">
        <v>2941989.44</v>
      </c>
      <c r="I27">
        <v>3583593.52</v>
      </c>
      <c r="J27">
        <v>5907452.2000000002</v>
      </c>
      <c r="K27">
        <v>6345620.8399999999</v>
      </c>
      <c r="L27">
        <v>6897243.8599999994</v>
      </c>
      <c r="M27">
        <v>7644477.8799999999</v>
      </c>
      <c r="N27">
        <v>8360414.1399999997</v>
      </c>
      <c r="O27">
        <v>8786846.1199999992</v>
      </c>
      <c r="P27">
        <v>9162419.2400000002</v>
      </c>
      <c r="Q27">
        <v>9459747.959999999</v>
      </c>
      <c r="R27">
        <v>9960512.1199999992</v>
      </c>
      <c r="S27">
        <v>10304787.48</v>
      </c>
      <c r="T27">
        <v>10598203.98</v>
      </c>
      <c r="U27">
        <v>10688185.039999999</v>
      </c>
      <c r="V27">
        <v>10766429.439999999</v>
      </c>
      <c r="W27">
        <v>10839666.1984</v>
      </c>
    </row>
    <row r="28" spans="1:23" x14ac:dyDescent="0.3">
      <c r="A28" t="s">
        <v>119</v>
      </c>
      <c r="C28">
        <v>213200</v>
      </c>
      <c r="D28">
        <v>213200</v>
      </c>
      <c r="E28">
        <v>213200</v>
      </c>
      <c r="F28">
        <v>213200</v>
      </c>
      <c r="G28">
        <v>213200</v>
      </c>
      <c r="H28">
        <v>639600</v>
      </c>
      <c r="I28">
        <v>213200</v>
      </c>
      <c r="J28">
        <v>639600</v>
      </c>
      <c r="K28">
        <v>213200</v>
      </c>
      <c r="L28">
        <v>213200</v>
      </c>
      <c r="M28">
        <v>213200</v>
      </c>
      <c r="N28">
        <v>213200</v>
      </c>
      <c r="O28">
        <v>213200</v>
      </c>
      <c r="P28">
        <v>213200</v>
      </c>
      <c r="Q28">
        <v>213200</v>
      </c>
      <c r="R28">
        <v>213200</v>
      </c>
      <c r="S28">
        <v>213200</v>
      </c>
      <c r="T28">
        <v>213200</v>
      </c>
      <c r="U28">
        <v>213200</v>
      </c>
      <c r="V28">
        <v>213200</v>
      </c>
      <c r="W28">
        <v>213200</v>
      </c>
    </row>
    <row r="29" spans="1:23" x14ac:dyDescent="0.3">
      <c r="A29" t="s">
        <v>120</v>
      </c>
      <c r="C29">
        <v>213200</v>
      </c>
      <c r="D29">
        <v>426400</v>
      </c>
      <c r="E29">
        <v>639600</v>
      </c>
      <c r="F29">
        <v>852800</v>
      </c>
      <c r="G29">
        <v>1066000</v>
      </c>
      <c r="H29">
        <v>1705600</v>
      </c>
      <c r="I29">
        <v>1918800</v>
      </c>
      <c r="J29">
        <v>2558400</v>
      </c>
      <c r="K29">
        <v>2771600</v>
      </c>
      <c r="L29">
        <v>2984800</v>
      </c>
      <c r="M29">
        <v>3198000</v>
      </c>
      <c r="N29">
        <v>3411200</v>
      </c>
      <c r="O29">
        <v>3624400</v>
      </c>
      <c r="P29">
        <v>3837600</v>
      </c>
      <c r="Q29">
        <v>4050800</v>
      </c>
      <c r="R29">
        <v>4264000</v>
      </c>
      <c r="S29">
        <v>4477200</v>
      </c>
      <c r="T29">
        <v>4690400</v>
      </c>
      <c r="U29">
        <v>4903600</v>
      </c>
      <c r="V29">
        <v>5116800</v>
      </c>
      <c r="W29">
        <v>5330000</v>
      </c>
    </row>
    <row r="30" spans="1:23" x14ac:dyDescent="0.3">
      <c r="A30" t="s">
        <v>100</v>
      </c>
      <c r="C30">
        <v>1145040</v>
      </c>
      <c r="D30">
        <v>2290080</v>
      </c>
      <c r="E30">
        <v>3435120</v>
      </c>
      <c r="F30">
        <v>4580160</v>
      </c>
      <c r="G30">
        <v>5725200</v>
      </c>
      <c r="H30">
        <v>9160320</v>
      </c>
      <c r="I30">
        <v>10305360</v>
      </c>
      <c r="J30">
        <v>13740480</v>
      </c>
      <c r="K30">
        <v>14885520</v>
      </c>
      <c r="L30">
        <v>16030560</v>
      </c>
      <c r="M30">
        <v>17175600</v>
      </c>
      <c r="N30">
        <v>18320640</v>
      </c>
      <c r="O30">
        <v>19465680</v>
      </c>
      <c r="P30">
        <v>20610720</v>
      </c>
      <c r="Q30">
        <v>21755760</v>
      </c>
      <c r="R30">
        <v>22900800</v>
      </c>
      <c r="S30">
        <v>24045840</v>
      </c>
      <c r="T30">
        <v>25190880</v>
      </c>
      <c r="U30">
        <v>26335920</v>
      </c>
      <c r="V30">
        <v>27480960</v>
      </c>
      <c r="W30">
        <v>28626000</v>
      </c>
    </row>
    <row r="31" spans="1:23" x14ac:dyDescent="0.3">
      <c r="A31" t="s">
        <v>121</v>
      </c>
      <c r="W31">
        <v>19643539.52</v>
      </c>
    </row>
    <row r="32" spans="1:23" x14ac:dyDescent="0.3">
      <c r="A32" t="s">
        <v>110</v>
      </c>
      <c r="W32">
        <v>72091790.038399994</v>
      </c>
    </row>
    <row r="35" spans="1:23" x14ac:dyDescent="0.3">
      <c r="A35" t="s">
        <v>122</v>
      </c>
    </row>
    <row r="36" spans="1:23" x14ac:dyDescent="0.3">
      <c r="A36" t="s">
        <v>112</v>
      </c>
      <c r="B36">
        <v>0</v>
      </c>
      <c r="C36">
        <v>0.18</v>
      </c>
      <c r="D36">
        <v>0.57999999999999996</v>
      </c>
      <c r="E36">
        <v>1.04</v>
      </c>
      <c r="F36">
        <v>1.62</v>
      </c>
      <c r="G36">
        <v>2.27</v>
      </c>
      <c r="H36">
        <v>0.7</v>
      </c>
      <c r="I36">
        <v>1.51</v>
      </c>
      <c r="J36">
        <v>2.0699999999999998</v>
      </c>
      <c r="K36">
        <v>1.28</v>
      </c>
      <c r="L36">
        <v>2.0699999999999998</v>
      </c>
      <c r="M36">
        <v>2.46</v>
      </c>
      <c r="N36">
        <v>2.0699999999999998</v>
      </c>
      <c r="O36">
        <v>1.44</v>
      </c>
      <c r="P36">
        <v>1.38</v>
      </c>
      <c r="Q36">
        <v>0.91</v>
      </c>
      <c r="R36">
        <v>1.26</v>
      </c>
      <c r="S36">
        <v>1.19</v>
      </c>
      <c r="T36">
        <v>0.38</v>
      </c>
      <c r="U36">
        <v>0.67</v>
      </c>
      <c r="V36">
        <v>0.64</v>
      </c>
      <c r="W36">
        <v>0.94</v>
      </c>
    </row>
    <row r="37" spans="1:23" x14ac:dyDescent="0.3">
      <c r="A37" t="s">
        <v>113</v>
      </c>
      <c r="B37">
        <v>0</v>
      </c>
      <c r="C37">
        <v>73800</v>
      </c>
      <c r="D37">
        <v>237799.99999999997</v>
      </c>
      <c r="E37">
        <v>426400</v>
      </c>
      <c r="F37">
        <v>664200</v>
      </c>
      <c r="G37">
        <v>930700</v>
      </c>
      <c r="H37">
        <v>861000</v>
      </c>
      <c r="I37">
        <v>619100</v>
      </c>
      <c r="J37">
        <v>2546099.9999999995</v>
      </c>
      <c r="K37">
        <v>524800</v>
      </c>
      <c r="L37">
        <v>848699.99999999988</v>
      </c>
      <c r="M37">
        <v>1008600</v>
      </c>
      <c r="N37">
        <v>848699.99999999988</v>
      </c>
      <c r="O37">
        <v>590400</v>
      </c>
      <c r="P37">
        <v>565800</v>
      </c>
      <c r="Q37">
        <v>373100</v>
      </c>
      <c r="R37">
        <v>516600</v>
      </c>
      <c r="S37">
        <v>487900</v>
      </c>
      <c r="T37">
        <v>155800</v>
      </c>
      <c r="U37">
        <v>274700</v>
      </c>
      <c r="V37">
        <v>262400</v>
      </c>
      <c r="W37">
        <v>385400</v>
      </c>
    </row>
    <row r="38" spans="1:23" x14ac:dyDescent="0.3">
      <c r="A38" t="s">
        <v>123</v>
      </c>
      <c r="B38">
        <v>0</v>
      </c>
      <c r="C38">
        <v>73800</v>
      </c>
      <c r="D38">
        <v>311600</v>
      </c>
      <c r="E38">
        <v>738000</v>
      </c>
      <c r="F38">
        <v>1402200</v>
      </c>
      <c r="G38">
        <v>2332900</v>
      </c>
      <c r="H38">
        <v>3193900</v>
      </c>
      <c r="I38">
        <v>3813000</v>
      </c>
      <c r="J38">
        <v>6359100</v>
      </c>
      <c r="K38">
        <v>6883900</v>
      </c>
      <c r="L38">
        <v>7732600</v>
      </c>
      <c r="M38">
        <v>8741200</v>
      </c>
      <c r="N38">
        <v>9589900</v>
      </c>
      <c r="O38">
        <v>10180300</v>
      </c>
      <c r="P38">
        <v>10746100</v>
      </c>
      <c r="Q38">
        <v>11119200</v>
      </c>
      <c r="R38">
        <v>11635800</v>
      </c>
      <c r="S38">
        <v>12123700</v>
      </c>
      <c r="T38">
        <v>12279500</v>
      </c>
      <c r="U38">
        <v>12554200</v>
      </c>
      <c r="V38">
        <v>12816600</v>
      </c>
      <c r="W38">
        <v>13202000</v>
      </c>
    </row>
    <row r="39" spans="1:23" x14ac:dyDescent="0.3">
      <c r="A39" t="s">
        <v>115</v>
      </c>
      <c r="B39">
        <v>0</v>
      </c>
      <c r="C39">
        <v>270846</v>
      </c>
      <c r="D39">
        <v>1143572</v>
      </c>
      <c r="E39">
        <v>2708460</v>
      </c>
      <c r="F39">
        <v>5146074</v>
      </c>
      <c r="G39">
        <v>8561743</v>
      </c>
      <c r="H39">
        <v>11721613</v>
      </c>
      <c r="I39">
        <v>13993710</v>
      </c>
      <c r="J39">
        <v>23337897</v>
      </c>
      <c r="K39">
        <v>25263913</v>
      </c>
      <c r="L39">
        <v>28378642</v>
      </c>
      <c r="M39">
        <v>32080204</v>
      </c>
      <c r="N39">
        <v>35194933</v>
      </c>
      <c r="O39">
        <v>37361701</v>
      </c>
      <c r="P39">
        <v>39438187</v>
      </c>
      <c r="Q39">
        <v>40807464</v>
      </c>
      <c r="R39">
        <v>42703386</v>
      </c>
      <c r="S39">
        <v>44493979</v>
      </c>
      <c r="T39">
        <v>45065765</v>
      </c>
      <c r="U39">
        <v>46073914</v>
      </c>
      <c r="V39">
        <v>47036922</v>
      </c>
      <c r="W39">
        <v>48451340</v>
      </c>
    </row>
    <row r="40" spans="1:23" x14ac:dyDescent="0.3">
      <c r="A40" t="s">
        <v>124</v>
      </c>
      <c r="B40">
        <v>0</v>
      </c>
      <c r="C40">
        <v>19188</v>
      </c>
      <c r="D40">
        <v>61827.999999999993</v>
      </c>
      <c r="E40">
        <v>110864.00000000001</v>
      </c>
      <c r="F40">
        <v>172692</v>
      </c>
      <c r="G40">
        <v>241982.00000000003</v>
      </c>
      <c r="H40">
        <v>223860</v>
      </c>
      <c r="I40">
        <v>160966</v>
      </c>
      <c r="J40">
        <v>661986</v>
      </c>
      <c r="K40">
        <v>136448.00000000003</v>
      </c>
      <c r="L40">
        <v>220662</v>
      </c>
      <c r="M40">
        <v>262236</v>
      </c>
      <c r="N40">
        <v>220662</v>
      </c>
      <c r="O40">
        <v>153504</v>
      </c>
      <c r="P40">
        <v>147108</v>
      </c>
      <c r="Q40">
        <v>97006</v>
      </c>
      <c r="R40">
        <v>134316</v>
      </c>
      <c r="S40">
        <v>126854</v>
      </c>
      <c r="T40">
        <v>40508</v>
      </c>
      <c r="U40">
        <v>71422.000000000015</v>
      </c>
      <c r="V40">
        <v>68224.000000000015</v>
      </c>
      <c r="W40">
        <v>100204</v>
      </c>
    </row>
    <row r="41" spans="1:23" x14ac:dyDescent="0.3">
      <c r="A41" t="s">
        <v>125</v>
      </c>
      <c r="B41">
        <v>0</v>
      </c>
      <c r="C41">
        <v>19188</v>
      </c>
      <c r="D41">
        <v>81016</v>
      </c>
      <c r="E41">
        <v>191880</v>
      </c>
      <c r="F41">
        <v>364572</v>
      </c>
      <c r="G41">
        <v>606554</v>
      </c>
      <c r="H41">
        <v>830414</v>
      </c>
      <c r="I41">
        <v>991380</v>
      </c>
      <c r="J41">
        <v>1653366</v>
      </c>
      <c r="K41">
        <v>1789814</v>
      </c>
      <c r="L41">
        <v>2010476</v>
      </c>
      <c r="M41">
        <v>2272712</v>
      </c>
      <c r="N41">
        <v>2493374</v>
      </c>
      <c r="O41">
        <v>2646878</v>
      </c>
      <c r="P41">
        <v>2793986</v>
      </c>
      <c r="Q41">
        <v>2890992</v>
      </c>
      <c r="R41">
        <v>3025308</v>
      </c>
      <c r="S41">
        <v>3152162</v>
      </c>
      <c r="T41">
        <v>3192670</v>
      </c>
      <c r="U41">
        <v>3264092</v>
      </c>
      <c r="V41">
        <v>3332316</v>
      </c>
      <c r="W41">
        <v>3432520</v>
      </c>
    </row>
    <row r="42" spans="1:23" x14ac:dyDescent="0.3">
      <c r="A42" t="s">
        <v>115</v>
      </c>
      <c r="B42">
        <v>0</v>
      </c>
      <c r="C42">
        <v>70419.959999999992</v>
      </c>
      <c r="D42">
        <v>297328.71999999997</v>
      </c>
      <c r="E42">
        <v>704199.6</v>
      </c>
      <c r="F42">
        <v>1337979.24</v>
      </c>
      <c r="G42">
        <v>2226053.1800000002</v>
      </c>
      <c r="H42">
        <v>3047619.38</v>
      </c>
      <c r="I42">
        <v>3638364.6</v>
      </c>
      <c r="J42">
        <v>6067853.2199999997</v>
      </c>
      <c r="K42">
        <v>6568617.3799999999</v>
      </c>
      <c r="L42">
        <v>7378446.9199999999</v>
      </c>
      <c r="M42">
        <v>8340853.04</v>
      </c>
      <c r="N42">
        <v>9150682.5800000001</v>
      </c>
      <c r="O42">
        <v>9714042.2599999998</v>
      </c>
      <c r="P42">
        <v>10253928.619999999</v>
      </c>
      <c r="Q42">
        <v>10609940.640000001</v>
      </c>
      <c r="R42">
        <v>11102880.359999999</v>
      </c>
      <c r="S42">
        <v>11568434.539999999</v>
      </c>
      <c r="T42">
        <v>11717098.9</v>
      </c>
      <c r="U42">
        <v>11979217.640000001</v>
      </c>
      <c r="V42">
        <v>12229599.720000001</v>
      </c>
      <c r="W42">
        <v>12597348.4</v>
      </c>
    </row>
    <row r="43" spans="1:23" x14ac:dyDescent="0.3">
      <c r="A43" t="s">
        <v>119</v>
      </c>
      <c r="C43">
        <v>213200</v>
      </c>
      <c r="D43">
        <v>213200</v>
      </c>
      <c r="E43">
        <v>213200</v>
      </c>
      <c r="F43">
        <v>213200</v>
      </c>
      <c r="G43">
        <v>213200</v>
      </c>
      <c r="H43">
        <v>639600</v>
      </c>
      <c r="I43">
        <v>213200</v>
      </c>
      <c r="J43">
        <v>639600</v>
      </c>
      <c r="K43">
        <v>213200</v>
      </c>
      <c r="L43">
        <v>213200</v>
      </c>
      <c r="M43">
        <v>213200</v>
      </c>
      <c r="N43">
        <v>213200</v>
      </c>
      <c r="O43">
        <v>213200</v>
      </c>
      <c r="P43">
        <v>213200</v>
      </c>
      <c r="Q43">
        <v>213200</v>
      </c>
      <c r="R43">
        <v>213200</v>
      </c>
      <c r="S43">
        <v>213200</v>
      </c>
      <c r="T43">
        <v>213200</v>
      </c>
      <c r="U43">
        <v>213200</v>
      </c>
      <c r="V43">
        <v>213200</v>
      </c>
      <c r="W43">
        <v>213200</v>
      </c>
    </row>
    <row r="44" spans="1:23" x14ac:dyDescent="0.3">
      <c r="A44" t="s">
        <v>126</v>
      </c>
      <c r="C44">
        <v>213200</v>
      </c>
      <c r="D44">
        <v>426400</v>
      </c>
      <c r="E44">
        <v>639600</v>
      </c>
      <c r="F44">
        <v>852800</v>
      </c>
      <c r="G44">
        <v>1066000</v>
      </c>
      <c r="H44">
        <v>1705600</v>
      </c>
      <c r="I44">
        <v>1918800</v>
      </c>
      <c r="J44">
        <v>2558400</v>
      </c>
      <c r="K44">
        <v>2771600</v>
      </c>
      <c r="L44">
        <v>2984800</v>
      </c>
      <c r="M44">
        <v>3198000</v>
      </c>
      <c r="N44">
        <v>3411200</v>
      </c>
      <c r="O44">
        <v>3624400</v>
      </c>
      <c r="P44">
        <v>3837600</v>
      </c>
      <c r="Q44">
        <v>4050800</v>
      </c>
      <c r="R44">
        <v>4264000</v>
      </c>
      <c r="S44">
        <v>4477200</v>
      </c>
      <c r="T44">
        <v>4690400</v>
      </c>
      <c r="U44">
        <v>4903600</v>
      </c>
      <c r="V44">
        <v>5116800</v>
      </c>
      <c r="W44">
        <v>5330000</v>
      </c>
    </row>
    <row r="45" spans="1:23" x14ac:dyDescent="0.3">
      <c r="A45" t="s">
        <v>115</v>
      </c>
      <c r="C45">
        <v>782444</v>
      </c>
      <c r="D45">
        <v>1564888</v>
      </c>
      <c r="E45">
        <v>2347332</v>
      </c>
      <c r="F45">
        <v>3129776</v>
      </c>
      <c r="G45">
        <v>3912220</v>
      </c>
      <c r="H45">
        <v>6259552</v>
      </c>
      <c r="I45">
        <v>7041996</v>
      </c>
      <c r="J45">
        <v>9389328</v>
      </c>
      <c r="K45">
        <v>10171772</v>
      </c>
      <c r="L45">
        <v>10954216</v>
      </c>
      <c r="M45">
        <v>11736660</v>
      </c>
      <c r="N45">
        <v>12519104</v>
      </c>
      <c r="O45">
        <v>13301548</v>
      </c>
      <c r="P45">
        <v>14083992</v>
      </c>
      <c r="Q45">
        <v>14866436</v>
      </c>
      <c r="R45">
        <v>15648880</v>
      </c>
      <c r="S45">
        <v>16431324</v>
      </c>
      <c r="T45">
        <v>17213768</v>
      </c>
      <c r="U45">
        <v>17996212</v>
      </c>
      <c r="V45">
        <v>18778656</v>
      </c>
      <c r="W45">
        <v>19561100</v>
      </c>
    </row>
    <row r="46" spans="1:23" x14ac:dyDescent="0.3">
      <c r="A46" t="s">
        <v>121</v>
      </c>
      <c r="W46">
        <v>21964520</v>
      </c>
    </row>
    <row r="47" spans="1:23" x14ac:dyDescent="0.3">
      <c r="A47" t="s">
        <v>110</v>
      </c>
      <c r="W47">
        <v>80609788.399999991</v>
      </c>
    </row>
    <row r="50" spans="1:23" x14ac:dyDescent="0.3">
      <c r="A50" t="s">
        <v>127</v>
      </c>
    </row>
    <row r="51" spans="1:23" x14ac:dyDescent="0.3">
      <c r="A51" t="s">
        <v>112</v>
      </c>
      <c r="B51">
        <v>0</v>
      </c>
      <c r="C51">
        <v>0.23</v>
      </c>
      <c r="D51">
        <v>0.64</v>
      </c>
      <c r="E51">
        <v>0.93</v>
      </c>
      <c r="F51">
        <v>1.73</v>
      </c>
      <c r="G51">
        <v>2.75</v>
      </c>
      <c r="H51">
        <v>1.18</v>
      </c>
      <c r="I51">
        <v>2.0030000000000001</v>
      </c>
      <c r="J51">
        <v>2.94</v>
      </c>
      <c r="K51">
        <v>1.88</v>
      </c>
      <c r="L51">
        <v>3.008</v>
      </c>
      <c r="M51">
        <v>3.35</v>
      </c>
      <c r="N51">
        <v>3.03</v>
      </c>
      <c r="O51">
        <v>3.33</v>
      </c>
      <c r="P51">
        <v>2.36</v>
      </c>
      <c r="Q51">
        <v>1.39</v>
      </c>
      <c r="R51">
        <v>2.2400000000000002</v>
      </c>
      <c r="S51">
        <v>2.52</v>
      </c>
      <c r="T51">
        <v>2.73</v>
      </c>
      <c r="U51">
        <v>2.2599999999999998</v>
      </c>
      <c r="V51">
        <v>2.12</v>
      </c>
      <c r="W51">
        <v>2.74</v>
      </c>
    </row>
    <row r="52" spans="1:23" x14ac:dyDescent="0.3">
      <c r="A52" t="s">
        <v>113</v>
      </c>
      <c r="B52">
        <v>0</v>
      </c>
      <c r="C52">
        <v>94300</v>
      </c>
      <c r="D52">
        <v>262400</v>
      </c>
      <c r="E52">
        <v>381300</v>
      </c>
      <c r="F52">
        <v>709300</v>
      </c>
      <c r="G52">
        <v>1127500</v>
      </c>
      <c r="H52">
        <v>1451400</v>
      </c>
      <c r="I52">
        <v>821230</v>
      </c>
      <c r="J52">
        <v>3616200</v>
      </c>
      <c r="K52">
        <v>770800</v>
      </c>
      <c r="L52">
        <v>1233280</v>
      </c>
      <c r="M52">
        <v>1373500</v>
      </c>
      <c r="N52">
        <v>1242300</v>
      </c>
      <c r="O52">
        <v>1365300</v>
      </c>
      <c r="P52">
        <v>967600</v>
      </c>
      <c r="Q52">
        <v>569900</v>
      </c>
      <c r="R52">
        <v>918400.00000000012</v>
      </c>
      <c r="S52">
        <v>1033200</v>
      </c>
      <c r="T52">
        <v>1119300</v>
      </c>
      <c r="U52">
        <v>926599.99999999988</v>
      </c>
      <c r="V52">
        <v>869200</v>
      </c>
      <c r="W52">
        <v>1123400</v>
      </c>
    </row>
    <row r="53" spans="1:23" x14ac:dyDescent="0.3">
      <c r="A53" t="s">
        <v>128</v>
      </c>
      <c r="B53">
        <v>0</v>
      </c>
      <c r="C53">
        <v>94300</v>
      </c>
      <c r="D53">
        <v>356700</v>
      </c>
      <c r="E53">
        <v>738000</v>
      </c>
      <c r="F53">
        <v>1447300</v>
      </c>
      <c r="G53">
        <v>2574800</v>
      </c>
      <c r="H53">
        <v>4026200</v>
      </c>
      <c r="I53">
        <v>4847430</v>
      </c>
      <c r="J53">
        <v>8463630</v>
      </c>
      <c r="K53">
        <v>9234430</v>
      </c>
      <c r="L53">
        <v>10467710</v>
      </c>
      <c r="M53">
        <v>11841210</v>
      </c>
      <c r="N53">
        <v>13083510</v>
      </c>
      <c r="O53">
        <v>14448810</v>
      </c>
      <c r="P53">
        <v>15416410</v>
      </c>
      <c r="Q53">
        <v>15986310</v>
      </c>
      <c r="R53">
        <v>16904710</v>
      </c>
      <c r="S53">
        <v>17937910</v>
      </c>
      <c r="T53">
        <v>19057210</v>
      </c>
      <c r="U53">
        <v>19983810</v>
      </c>
      <c r="V53">
        <v>20853010</v>
      </c>
      <c r="W53">
        <v>21976410</v>
      </c>
    </row>
    <row r="54" spans="1:23" x14ac:dyDescent="0.3">
      <c r="A54" t="s">
        <v>115</v>
      </c>
      <c r="B54">
        <v>0</v>
      </c>
      <c r="C54">
        <v>346081</v>
      </c>
      <c r="D54">
        <v>1309089</v>
      </c>
      <c r="E54">
        <v>2708460</v>
      </c>
      <c r="F54">
        <v>5311591</v>
      </c>
      <c r="G54">
        <v>9449516</v>
      </c>
      <c r="H54">
        <v>14776154</v>
      </c>
      <c r="I54">
        <v>17790068.100000001</v>
      </c>
      <c r="J54">
        <v>31061522.099999998</v>
      </c>
      <c r="K54">
        <v>33890358.100000001</v>
      </c>
      <c r="L54">
        <v>38416495.700000003</v>
      </c>
      <c r="M54">
        <v>43457240.699999996</v>
      </c>
      <c r="N54">
        <v>48016481.699999996</v>
      </c>
      <c r="O54">
        <v>53027132.699999996</v>
      </c>
      <c r="P54">
        <v>56578224.699999996</v>
      </c>
      <c r="Q54">
        <v>58669757.699999996</v>
      </c>
      <c r="R54">
        <v>62040285.699999996</v>
      </c>
      <c r="S54">
        <v>65832129.699999996</v>
      </c>
      <c r="T54">
        <v>69939960.700000003</v>
      </c>
      <c r="U54">
        <v>73340582.700000003</v>
      </c>
      <c r="V54">
        <v>76530546.700000003</v>
      </c>
      <c r="W54">
        <v>80653424.700000003</v>
      </c>
    </row>
    <row r="55" spans="1:23" x14ac:dyDescent="0.3">
      <c r="A55" t="s">
        <v>129</v>
      </c>
      <c r="B55">
        <v>0</v>
      </c>
      <c r="C55">
        <v>24518.000000000004</v>
      </c>
      <c r="D55">
        <v>68224.000000000015</v>
      </c>
      <c r="E55">
        <v>99138</v>
      </c>
      <c r="F55">
        <v>184418</v>
      </c>
      <c r="G55">
        <v>293150.00000000006</v>
      </c>
      <c r="H55">
        <v>377364</v>
      </c>
      <c r="I55">
        <v>213519.80000000002</v>
      </c>
      <c r="J55">
        <v>940212</v>
      </c>
      <c r="K55">
        <v>200408</v>
      </c>
      <c r="L55">
        <v>320652.79999999999</v>
      </c>
      <c r="M55">
        <v>357110.00000000006</v>
      </c>
      <c r="N55">
        <v>322998</v>
      </c>
      <c r="O55">
        <v>354978</v>
      </c>
      <c r="P55">
        <v>251576</v>
      </c>
      <c r="Q55">
        <v>148174</v>
      </c>
      <c r="R55">
        <v>238784</v>
      </c>
      <c r="S55">
        <v>268632</v>
      </c>
      <c r="T55">
        <v>291018</v>
      </c>
      <c r="U55">
        <v>240916</v>
      </c>
      <c r="V55">
        <v>225992</v>
      </c>
      <c r="W55">
        <v>292084</v>
      </c>
    </row>
    <row r="56" spans="1:23" x14ac:dyDescent="0.3">
      <c r="A56" t="s">
        <v>125</v>
      </c>
      <c r="B56">
        <v>0</v>
      </c>
      <c r="C56">
        <v>24518.000000000004</v>
      </c>
      <c r="D56">
        <v>92742.000000000015</v>
      </c>
      <c r="E56">
        <v>191880</v>
      </c>
      <c r="F56">
        <v>376298</v>
      </c>
      <c r="G56">
        <v>669448</v>
      </c>
      <c r="H56">
        <v>1046812</v>
      </c>
      <c r="I56">
        <v>1260331.8</v>
      </c>
      <c r="J56">
        <v>2200543.7999999998</v>
      </c>
      <c r="K56">
        <v>2400951.7999999998</v>
      </c>
      <c r="L56">
        <v>2721604.5999999996</v>
      </c>
      <c r="M56">
        <v>3078714.5999999996</v>
      </c>
      <c r="N56">
        <v>3401712.5999999996</v>
      </c>
      <c r="O56">
        <v>3756690.5999999996</v>
      </c>
      <c r="P56">
        <v>4008266.5999999996</v>
      </c>
      <c r="Q56">
        <v>4156440.5999999996</v>
      </c>
      <c r="R56">
        <v>4395224.5999999996</v>
      </c>
      <c r="S56">
        <v>4663856.5999999996</v>
      </c>
      <c r="T56">
        <v>4954874.5999999996</v>
      </c>
      <c r="U56">
        <v>5195790.5999999996</v>
      </c>
      <c r="V56">
        <v>5421782.5999999996</v>
      </c>
      <c r="W56">
        <v>5713866.5999999996</v>
      </c>
    </row>
    <row r="57" spans="1:23" x14ac:dyDescent="0.3">
      <c r="A57" t="s">
        <v>130</v>
      </c>
      <c r="B57">
        <v>0</v>
      </c>
      <c r="C57">
        <v>89981.060000000012</v>
      </c>
      <c r="D57">
        <v>340363.14000000007</v>
      </c>
      <c r="E57">
        <v>704199.6</v>
      </c>
      <c r="F57">
        <v>1381013.66</v>
      </c>
      <c r="G57">
        <v>2456874.16</v>
      </c>
      <c r="H57">
        <v>3841800.04</v>
      </c>
      <c r="I57">
        <v>4625417.7060000002</v>
      </c>
      <c r="J57">
        <v>8075995.7459999993</v>
      </c>
      <c r="K57">
        <v>8811493.1059999987</v>
      </c>
      <c r="L57">
        <v>9988288.8819999993</v>
      </c>
      <c r="M57">
        <v>11298882.581999999</v>
      </c>
      <c r="N57">
        <v>12484285.241999999</v>
      </c>
      <c r="O57">
        <v>13787054.501999998</v>
      </c>
      <c r="P57">
        <v>14710338.421999998</v>
      </c>
      <c r="Q57">
        <v>15254137.001999998</v>
      </c>
      <c r="R57">
        <v>16130474.281999998</v>
      </c>
      <c r="S57">
        <v>17116353.721999999</v>
      </c>
      <c r="T57">
        <v>18184389.781999998</v>
      </c>
      <c r="U57">
        <v>19068551.501999997</v>
      </c>
      <c r="V57">
        <v>19897942.141999997</v>
      </c>
      <c r="W57">
        <v>20969890.421999998</v>
      </c>
    </row>
    <row r="58" spans="1:23" x14ac:dyDescent="0.3">
      <c r="A58" t="s">
        <v>119</v>
      </c>
      <c r="C58">
        <v>213200</v>
      </c>
      <c r="D58">
        <v>213200</v>
      </c>
      <c r="E58">
        <v>213200</v>
      </c>
      <c r="F58">
        <v>213200</v>
      </c>
      <c r="G58">
        <v>213200</v>
      </c>
      <c r="H58">
        <v>639600</v>
      </c>
      <c r="I58">
        <v>213200</v>
      </c>
      <c r="J58">
        <v>639600</v>
      </c>
      <c r="K58">
        <v>213200</v>
      </c>
      <c r="L58">
        <v>213200</v>
      </c>
      <c r="M58">
        <v>213200</v>
      </c>
      <c r="N58">
        <v>213200</v>
      </c>
      <c r="O58">
        <v>213200</v>
      </c>
      <c r="P58">
        <v>213200</v>
      </c>
      <c r="Q58">
        <v>213200</v>
      </c>
      <c r="R58">
        <v>213200</v>
      </c>
      <c r="S58">
        <v>213200</v>
      </c>
      <c r="T58">
        <v>213200</v>
      </c>
      <c r="U58">
        <v>213200</v>
      </c>
      <c r="V58">
        <v>213200</v>
      </c>
      <c r="W58">
        <v>213200</v>
      </c>
    </row>
    <row r="59" spans="1:23" x14ac:dyDescent="0.3">
      <c r="A59" t="s">
        <v>120</v>
      </c>
      <c r="C59">
        <v>213200</v>
      </c>
      <c r="D59">
        <v>426400</v>
      </c>
      <c r="E59">
        <v>639600</v>
      </c>
      <c r="F59">
        <v>852800</v>
      </c>
      <c r="G59">
        <v>1066000</v>
      </c>
      <c r="H59">
        <v>1705600</v>
      </c>
      <c r="I59">
        <v>1918800</v>
      </c>
      <c r="J59">
        <v>2558400</v>
      </c>
      <c r="K59">
        <v>2771600</v>
      </c>
      <c r="L59">
        <v>2984800</v>
      </c>
      <c r="M59">
        <v>3198000</v>
      </c>
      <c r="N59">
        <v>3411200</v>
      </c>
      <c r="O59">
        <v>3624400</v>
      </c>
      <c r="P59">
        <v>3837600</v>
      </c>
      <c r="Q59">
        <v>4050800</v>
      </c>
      <c r="R59">
        <v>4264000</v>
      </c>
      <c r="S59">
        <v>4477200</v>
      </c>
      <c r="T59">
        <v>4690400</v>
      </c>
      <c r="U59">
        <v>4903600</v>
      </c>
      <c r="V59">
        <v>5116800</v>
      </c>
      <c r="W59">
        <v>5330000</v>
      </c>
    </row>
    <row r="60" spans="1:23" x14ac:dyDescent="0.3">
      <c r="A60" t="s">
        <v>100</v>
      </c>
      <c r="C60">
        <v>782444</v>
      </c>
      <c r="D60">
        <v>1564888</v>
      </c>
      <c r="E60">
        <v>2347332</v>
      </c>
      <c r="F60">
        <v>3129776</v>
      </c>
      <c r="G60">
        <v>3912220</v>
      </c>
      <c r="H60">
        <v>6259552</v>
      </c>
      <c r="I60">
        <v>7041996</v>
      </c>
      <c r="J60">
        <v>9389328</v>
      </c>
      <c r="K60">
        <v>10171772</v>
      </c>
      <c r="L60">
        <v>10954216</v>
      </c>
      <c r="M60">
        <v>11736660</v>
      </c>
      <c r="N60">
        <v>12519104</v>
      </c>
      <c r="O60">
        <v>13301548</v>
      </c>
      <c r="P60">
        <v>14083992</v>
      </c>
      <c r="Q60">
        <v>14866436</v>
      </c>
      <c r="R60">
        <v>15648880</v>
      </c>
      <c r="S60">
        <v>16431324</v>
      </c>
      <c r="T60">
        <v>17213768</v>
      </c>
      <c r="U60">
        <v>17996212</v>
      </c>
      <c r="V60">
        <v>18778656</v>
      </c>
      <c r="W60">
        <v>19561100</v>
      </c>
    </row>
    <row r="61" spans="1:23" x14ac:dyDescent="0.3">
      <c r="A61" t="s">
        <v>121</v>
      </c>
      <c r="W61">
        <v>33020276.600000001</v>
      </c>
    </row>
    <row r="62" spans="1:23" x14ac:dyDescent="0.3">
      <c r="A62" t="s">
        <v>110</v>
      </c>
      <c r="W62">
        <v>121184415.12200001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FAC2F-FED9-4A00-9F54-AD5C14C8CB99}">
  <dimension ref="A3:AC270"/>
  <sheetViews>
    <sheetView topLeftCell="A7" workbookViewId="0">
      <selection activeCell="C8" sqref="C8"/>
    </sheetView>
  </sheetViews>
  <sheetFormatPr defaultRowHeight="14.4" x14ac:dyDescent="0.3"/>
  <cols>
    <col min="1" max="1" width="20.33203125" customWidth="1"/>
  </cols>
  <sheetData>
    <row r="3" spans="1:29" x14ac:dyDescent="0.3">
      <c r="A3" t="s">
        <v>199</v>
      </c>
    </row>
    <row r="6" spans="1:29" x14ac:dyDescent="0.3">
      <c r="AB6" t="s">
        <v>132</v>
      </c>
    </row>
    <row r="7" spans="1:29" x14ac:dyDescent="0.3">
      <c r="A7" t="s">
        <v>96</v>
      </c>
      <c r="B7">
        <v>1993</v>
      </c>
      <c r="C7">
        <v>1994</v>
      </c>
      <c r="D7">
        <v>1995</v>
      </c>
      <c r="E7">
        <v>1996</v>
      </c>
      <c r="F7">
        <v>1997</v>
      </c>
      <c r="G7">
        <v>1998</v>
      </c>
      <c r="H7">
        <v>1999</v>
      </c>
      <c r="I7">
        <v>2000</v>
      </c>
      <c r="J7">
        <v>2001</v>
      </c>
      <c r="K7">
        <v>2002</v>
      </c>
      <c r="L7">
        <v>2003</v>
      </c>
      <c r="M7">
        <v>2004</v>
      </c>
      <c r="N7">
        <v>2005</v>
      </c>
      <c r="O7">
        <v>2006</v>
      </c>
      <c r="P7">
        <v>2007</v>
      </c>
      <c r="Q7">
        <v>2008</v>
      </c>
      <c r="R7">
        <v>2009</v>
      </c>
      <c r="S7">
        <v>2010</v>
      </c>
      <c r="T7">
        <v>2011</v>
      </c>
      <c r="U7">
        <v>2012</v>
      </c>
      <c r="V7">
        <v>2013</v>
      </c>
      <c r="W7">
        <v>2014</v>
      </c>
      <c r="X7">
        <v>2015</v>
      </c>
      <c r="Y7">
        <v>2016</v>
      </c>
      <c r="Z7">
        <v>2017</v>
      </c>
      <c r="AA7">
        <v>2018</v>
      </c>
      <c r="AB7" t="s">
        <v>133</v>
      </c>
      <c r="AC7" t="s">
        <v>134</v>
      </c>
    </row>
    <row r="8" spans="1:29" x14ac:dyDescent="0.3">
      <c r="A8" t="s">
        <v>135</v>
      </c>
      <c r="B8">
        <v>0</v>
      </c>
      <c r="C8">
        <v>0.52</v>
      </c>
      <c r="D8">
        <v>1.1599999999999999</v>
      </c>
      <c r="E8">
        <v>1.29</v>
      </c>
      <c r="F8">
        <v>2.2799999999999998</v>
      </c>
      <c r="G8">
        <v>3.14</v>
      </c>
      <c r="H8">
        <v>0.9</v>
      </c>
      <c r="I8">
        <v>0.9</v>
      </c>
      <c r="J8">
        <v>0.9</v>
      </c>
      <c r="K8">
        <v>1.93</v>
      </c>
      <c r="L8">
        <v>2.14</v>
      </c>
      <c r="M8">
        <v>2.14</v>
      </c>
      <c r="N8">
        <v>2.14</v>
      </c>
      <c r="O8">
        <v>1.25</v>
      </c>
      <c r="P8">
        <v>1.76</v>
      </c>
      <c r="Q8">
        <v>2.0499999999999998</v>
      </c>
      <c r="R8">
        <v>2.0099999999999998</v>
      </c>
      <c r="S8">
        <v>1.24</v>
      </c>
      <c r="T8">
        <v>1.27</v>
      </c>
      <c r="U8">
        <v>0.87</v>
      </c>
      <c r="V8">
        <v>1.28</v>
      </c>
      <c r="W8">
        <v>0.81</v>
      </c>
      <c r="X8">
        <v>0.96</v>
      </c>
      <c r="Y8">
        <v>0.33</v>
      </c>
      <c r="Z8">
        <v>0.52</v>
      </c>
      <c r="AA8">
        <v>0.72</v>
      </c>
    </row>
    <row r="9" spans="1:29" x14ac:dyDescent="0.3">
      <c r="A9" t="s">
        <v>136</v>
      </c>
      <c r="B9">
        <v>0</v>
      </c>
      <c r="C9">
        <v>8528</v>
      </c>
      <c r="AB9">
        <v>8528</v>
      </c>
      <c r="AC9">
        <v>8528</v>
      </c>
    </row>
    <row r="10" spans="1:29" x14ac:dyDescent="0.3">
      <c r="A10" t="s">
        <v>137</v>
      </c>
      <c r="B10">
        <v>0</v>
      </c>
      <c r="C10">
        <v>8528</v>
      </c>
      <c r="D10">
        <v>19024</v>
      </c>
      <c r="AB10">
        <v>27552</v>
      </c>
      <c r="AC10">
        <v>36080</v>
      </c>
    </row>
    <row r="11" spans="1:29" x14ac:dyDescent="0.3">
      <c r="A11" t="s">
        <v>138</v>
      </c>
      <c r="B11">
        <v>0</v>
      </c>
      <c r="C11">
        <v>8528</v>
      </c>
      <c r="D11">
        <v>19024</v>
      </c>
      <c r="E11">
        <v>21156</v>
      </c>
      <c r="AB11">
        <v>48708</v>
      </c>
      <c r="AC11">
        <v>84788</v>
      </c>
    </row>
    <row r="12" spans="1:29" x14ac:dyDescent="0.3">
      <c r="A12" t="s">
        <v>139</v>
      </c>
      <c r="B12">
        <v>0</v>
      </c>
      <c r="C12">
        <v>8528</v>
      </c>
      <c r="D12">
        <v>19024</v>
      </c>
      <c r="E12">
        <v>21156</v>
      </c>
      <c r="F12">
        <v>37392</v>
      </c>
      <c r="AB12">
        <v>86100</v>
      </c>
      <c r="AC12">
        <v>170888</v>
      </c>
    </row>
    <row r="13" spans="1:29" x14ac:dyDescent="0.3">
      <c r="A13" t="s">
        <v>140</v>
      </c>
      <c r="B13">
        <v>0</v>
      </c>
      <c r="C13">
        <v>8528</v>
      </c>
      <c r="D13">
        <v>19024</v>
      </c>
      <c r="E13">
        <v>21156</v>
      </c>
      <c r="F13">
        <v>37392</v>
      </c>
      <c r="G13">
        <v>51496</v>
      </c>
      <c r="AB13">
        <v>137596</v>
      </c>
      <c r="AC13">
        <v>308484</v>
      </c>
    </row>
    <row r="14" spans="1:29" x14ac:dyDescent="0.3">
      <c r="A14" t="s">
        <v>141</v>
      </c>
      <c r="B14">
        <v>0</v>
      </c>
      <c r="C14">
        <v>8528</v>
      </c>
      <c r="D14">
        <v>19024</v>
      </c>
      <c r="E14">
        <v>21156</v>
      </c>
      <c r="F14">
        <v>37392</v>
      </c>
      <c r="G14">
        <v>51496</v>
      </c>
      <c r="H14">
        <v>14760</v>
      </c>
      <c r="AB14">
        <v>152356</v>
      </c>
      <c r="AC14">
        <v>460840</v>
      </c>
    </row>
    <row r="15" spans="1:29" x14ac:dyDescent="0.3">
      <c r="A15" t="s">
        <v>142</v>
      </c>
      <c r="B15">
        <v>0</v>
      </c>
      <c r="C15">
        <v>8528</v>
      </c>
      <c r="D15">
        <v>19024</v>
      </c>
      <c r="E15">
        <v>21156</v>
      </c>
      <c r="F15">
        <v>37392</v>
      </c>
      <c r="G15">
        <v>51496</v>
      </c>
      <c r="H15">
        <v>14760</v>
      </c>
      <c r="I15">
        <v>14760</v>
      </c>
      <c r="AB15">
        <v>167116</v>
      </c>
      <c r="AC15">
        <v>627956</v>
      </c>
    </row>
    <row r="16" spans="1:29" x14ac:dyDescent="0.3">
      <c r="A16" t="s">
        <v>143</v>
      </c>
      <c r="B16">
        <v>0</v>
      </c>
      <c r="C16">
        <v>8528</v>
      </c>
      <c r="D16">
        <v>19024</v>
      </c>
      <c r="E16">
        <v>21156</v>
      </c>
      <c r="F16">
        <v>37392</v>
      </c>
      <c r="G16">
        <v>51496</v>
      </c>
      <c r="H16">
        <v>14760</v>
      </c>
      <c r="I16">
        <v>14760</v>
      </c>
      <c r="J16">
        <v>14760</v>
      </c>
      <c r="AB16">
        <v>181876</v>
      </c>
      <c r="AC16">
        <v>809832</v>
      </c>
    </row>
    <row r="17" spans="1:29" x14ac:dyDescent="0.3">
      <c r="A17" t="s">
        <v>144</v>
      </c>
      <c r="B17">
        <v>0</v>
      </c>
      <c r="C17">
        <v>8528</v>
      </c>
      <c r="D17">
        <v>19024</v>
      </c>
      <c r="E17">
        <v>21156</v>
      </c>
      <c r="F17">
        <v>37392</v>
      </c>
      <c r="G17">
        <v>51496</v>
      </c>
      <c r="H17">
        <v>14760</v>
      </c>
      <c r="I17">
        <v>14760</v>
      </c>
      <c r="J17">
        <v>14760</v>
      </c>
      <c r="K17">
        <v>31652</v>
      </c>
      <c r="AB17">
        <v>213528</v>
      </c>
      <c r="AC17">
        <v>1023360</v>
      </c>
    </row>
    <row r="18" spans="1:29" x14ac:dyDescent="0.3">
      <c r="A18" t="s">
        <v>145</v>
      </c>
      <c r="B18">
        <v>0</v>
      </c>
      <c r="C18">
        <v>8528</v>
      </c>
      <c r="D18">
        <v>19024</v>
      </c>
      <c r="E18">
        <v>21156</v>
      </c>
      <c r="F18">
        <v>37392</v>
      </c>
      <c r="G18">
        <v>51496</v>
      </c>
      <c r="H18">
        <v>14760</v>
      </c>
      <c r="I18">
        <v>14760</v>
      </c>
      <c r="J18">
        <v>14760</v>
      </c>
      <c r="K18">
        <v>31652</v>
      </c>
      <c r="L18">
        <v>35096</v>
      </c>
      <c r="AB18">
        <v>248624</v>
      </c>
      <c r="AC18">
        <v>1271984</v>
      </c>
    </row>
    <row r="19" spans="1:29" x14ac:dyDescent="0.3">
      <c r="A19" t="s">
        <v>146</v>
      </c>
      <c r="B19">
        <v>0</v>
      </c>
      <c r="C19">
        <v>8528</v>
      </c>
      <c r="D19">
        <v>19024</v>
      </c>
      <c r="E19">
        <v>21156</v>
      </c>
      <c r="F19">
        <v>37392</v>
      </c>
      <c r="G19">
        <v>51496</v>
      </c>
      <c r="H19">
        <v>14760</v>
      </c>
      <c r="I19">
        <v>14760</v>
      </c>
      <c r="J19">
        <v>14760</v>
      </c>
      <c r="K19">
        <v>31652</v>
      </c>
      <c r="L19">
        <v>35096</v>
      </c>
      <c r="M19">
        <v>35096</v>
      </c>
      <c r="AB19">
        <v>283720</v>
      </c>
      <c r="AC19">
        <v>1555704</v>
      </c>
    </row>
    <row r="20" spans="1:29" x14ac:dyDescent="0.3">
      <c r="A20" t="s">
        <v>147</v>
      </c>
      <c r="B20">
        <v>0</v>
      </c>
      <c r="C20">
        <v>8528</v>
      </c>
      <c r="D20">
        <v>19024</v>
      </c>
      <c r="E20">
        <v>21156</v>
      </c>
      <c r="F20">
        <v>37392</v>
      </c>
      <c r="G20">
        <v>51496</v>
      </c>
      <c r="H20">
        <v>14760</v>
      </c>
      <c r="I20">
        <v>14760</v>
      </c>
      <c r="J20">
        <v>14760</v>
      </c>
      <c r="K20">
        <v>31652</v>
      </c>
      <c r="L20">
        <v>35096</v>
      </c>
      <c r="M20">
        <v>35096</v>
      </c>
      <c r="N20">
        <v>35096</v>
      </c>
      <c r="AB20">
        <v>318816</v>
      </c>
      <c r="AC20">
        <v>1874520</v>
      </c>
    </row>
    <row r="21" spans="1:29" x14ac:dyDescent="0.3">
      <c r="A21" t="s">
        <v>148</v>
      </c>
      <c r="B21">
        <v>0</v>
      </c>
      <c r="C21">
        <v>8528</v>
      </c>
      <c r="D21">
        <v>19024</v>
      </c>
      <c r="E21">
        <v>21156</v>
      </c>
      <c r="F21">
        <v>37392</v>
      </c>
      <c r="G21">
        <v>51496</v>
      </c>
      <c r="H21">
        <v>14760</v>
      </c>
      <c r="I21">
        <v>14760</v>
      </c>
      <c r="J21">
        <v>14760</v>
      </c>
      <c r="K21">
        <v>31652</v>
      </c>
      <c r="L21">
        <v>35096</v>
      </c>
      <c r="M21">
        <v>35096</v>
      </c>
      <c r="N21">
        <v>35096</v>
      </c>
      <c r="O21">
        <v>20500</v>
      </c>
      <c r="AB21">
        <v>339316</v>
      </c>
      <c r="AC21">
        <v>2213836</v>
      </c>
    </row>
    <row r="22" spans="1:29" x14ac:dyDescent="0.3">
      <c r="A22" t="s">
        <v>149</v>
      </c>
      <c r="B22">
        <v>0</v>
      </c>
      <c r="C22">
        <v>8528</v>
      </c>
      <c r="D22">
        <v>19024</v>
      </c>
      <c r="E22">
        <v>21156</v>
      </c>
      <c r="F22">
        <v>37392</v>
      </c>
      <c r="G22">
        <v>51496</v>
      </c>
      <c r="H22">
        <v>14760</v>
      </c>
      <c r="I22">
        <v>14760</v>
      </c>
      <c r="J22">
        <v>14760</v>
      </c>
      <c r="K22">
        <v>31652</v>
      </c>
      <c r="L22">
        <v>35096</v>
      </c>
      <c r="M22">
        <v>35096</v>
      </c>
      <c r="N22">
        <v>35096</v>
      </c>
      <c r="O22">
        <v>20500</v>
      </c>
      <c r="P22">
        <v>28864</v>
      </c>
      <c r="AB22">
        <v>368180</v>
      </c>
      <c r="AC22">
        <v>2582016</v>
      </c>
    </row>
    <row r="23" spans="1:29" x14ac:dyDescent="0.3">
      <c r="A23" t="s">
        <v>150</v>
      </c>
      <c r="B23">
        <v>0</v>
      </c>
      <c r="C23">
        <v>8528</v>
      </c>
      <c r="D23">
        <v>19024</v>
      </c>
      <c r="E23">
        <v>21156</v>
      </c>
      <c r="F23">
        <v>37392</v>
      </c>
      <c r="G23">
        <v>51496</v>
      </c>
      <c r="H23">
        <v>14760</v>
      </c>
      <c r="I23">
        <v>14760</v>
      </c>
      <c r="J23">
        <v>14760</v>
      </c>
      <c r="K23">
        <v>31652</v>
      </c>
      <c r="L23">
        <v>35096</v>
      </c>
      <c r="M23">
        <v>35096</v>
      </c>
      <c r="N23">
        <v>35096</v>
      </c>
      <c r="O23">
        <v>20500</v>
      </c>
      <c r="P23">
        <v>28864</v>
      </c>
      <c r="Q23">
        <v>33620</v>
      </c>
      <c r="AB23">
        <v>401800</v>
      </c>
      <c r="AC23">
        <v>2983816</v>
      </c>
    </row>
    <row r="24" spans="1:29" x14ac:dyDescent="0.3">
      <c r="A24" t="s">
        <v>151</v>
      </c>
      <c r="B24">
        <v>0</v>
      </c>
      <c r="C24">
        <v>8528</v>
      </c>
      <c r="D24">
        <v>19024</v>
      </c>
      <c r="E24">
        <v>21156</v>
      </c>
      <c r="F24">
        <v>37392</v>
      </c>
      <c r="G24">
        <v>51496</v>
      </c>
      <c r="H24">
        <v>14760</v>
      </c>
      <c r="I24">
        <v>14760</v>
      </c>
      <c r="J24">
        <v>14760</v>
      </c>
      <c r="K24">
        <v>31652</v>
      </c>
      <c r="L24">
        <v>35096</v>
      </c>
      <c r="M24">
        <v>35096</v>
      </c>
      <c r="N24">
        <v>35096</v>
      </c>
      <c r="O24">
        <v>20500</v>
      </c>
      <c r="P24">
        <v>28864</v>
      </c>
      <c r="Q24">
        <v>33620</v>
      </c>
      <c r="R24">
        <v>32964</v>
      </c>
      <c r="AB24">
        <v>434764</v>
      </c>
      <c r="AC24">
        <v>3418580</v>
      </c>
    </row>
    <row r="25" spans="1:29" x14ac:dyDescent="0.3">
      <c r="A25" t="s">
        <v>152</v>
      </c>
      <c r="B25">
        <v>0</v>
      </c>
      <c r="C25">
        <v>8528</v>
      </c>
      <c r="D25">
        <v>19024</v>
      </c>
      <c r="E25">
        <v>21156</v>
      </c>
      <c r="F25">
        <v>37392</v>
      </c>
      <c r="G25">
        <v>51496</v>
      </c>
      <c r="H25">
        <v>14760</v>
      </c>
      <c r="I25">
        <v>14760</v>
      </c>
      <c r="J25">
        <v>14760</v>
      </c>
      <c r="K25">
        <v>31652</v>
      </c>
      <c r="L25">
        <v>35096</v>
      </c>
      <c r="M25">
        <v>35096</v>
      </c>
      <c r="N25">
        <v>35096</v>
      </c>
      <c r="O25">
        <v>20500</v>
      </c>
      <c r="P25">
        <v>28864</v>
      </c>
      <c r="Q25">
        <v>33620</v>
      </c>
      <c r="R25">
        <v>32964</v>
      </c>
      <c r="S25">
        <v>20336</v>
      </c>
      <c r="AB25">
        <v>455100</v>
      </c>
      <c r="AC25">
        <v>3873680</v>
      </c>
    </row>
    <row r="26" spans="1:29" x14ac:dyDescent="0.3">
      <c r="A26" t="s">
        <v>153</v>
      </c>
      <c r="B26">
        <v>0</v>
      </c>
      <c r="C26">
        <v>8528</v>
      </c>
      <c r="D26">
        <v>19024</v>
      </c>
      <c r="E26">
        <v>21156</v>
      </c>
      <c r="F26">
        <v>37392</v>
      </c>
      <c r="G26">
        <v>51496</v>
      </c>
      <c r="H26">
        <v>14760</v>
      </c>
      <c r="I26">
        <v>14760</v>
      </c>
      <c r="J26">
        <v>14760</v>
      </c>
      <c r="K26">
        <v>31652</v>
      </c>
      <c r="L26">
        <v>35096</v>
      </c>
      <c r="M26">
        <v>35096</v>
      </c>
      <c r="N26">
        <v>35096</v>
      </c>
      <c r="O26">
        <v>20500</v>
      </c>
      <c r="P26">
        <v>28864</v>
      </c>
      <c r="Q26">
        <v>33620</v>
      </c>
      <c r="R26">
        <v>32964</v>
      </c>
      <c r="S26">
        <v>20336</v>
      </c>
      <c r="T26">
        <v>20828</v>
      </c>
      <c r="AB26">
        <v>475928</v>
      </c>
      <c r="AC26">
        <v>4349608</v>
      </c>
    </row>
    <row r="27" spans="1:29" x14ac:dyDescent="0.3">
      <c r="A27" t="s">
        <v>154</v>
      </c>
      <c r="B27">
        <v>0</v>
      </c>
      <c r="C27">
        <v>8528</v>
      </c>
      <c r="D27">
        <v>19024</v>
      </c>
      <c r="E27">
        <v>21156</v>
      </c>
      <c r="F27">
        <v>37392</v>
      </c>
      <c r="G27">
        <v>51496</v>
      </c>
      <c r="H27">
        <v>14760</v>
      </c>
      <c r="I27">
        <v>14760</v>
      </c>
      <c r="J27">
        <v>14760</v>
      </c>
      <c r="K27">
        <v>31652</v>
      </c>
      <c r="L27">
        <v>35096</v>
      </c>
      <c r="M27">
        <v>35096</v>
      </c>
      <c r="N27">
        <v>35096</v>
      </c>
      <c r="O27">
        <v>20500</v>
      </c>
      <c r="P27">
        <v>28864</v>
      </c>
      <c r="Q27">
        <v>33620</v>
      </c>
      <c r="R27">
        <v>32964</v>
      </c>
      <c r="S27">
        <v>20336</v>
      </c>
      <c r="T27">
        <v>20828</v>
      </c>
      <c r="U27">
        <v>14268</v>
      </c>
      <c r="AB27">
        <v>490196</v>
      </c>
      <c r="AC27">
        <v>4839804</v>
      </c>
    </row>
    <row r="28" spans="1:29" x14ac:dyDescent="0.3">
      <c r="A28" t="s">
        <v>155</v>
      </c>
      <c r="B28">
        <v>0</v>
      </c>
      <c r="C28">
        <v>8528</v>
      </c>
      <c r="D28">
        <v>19024</v>
      </c>
      <c r="E28">
        <v>21156</v>
      </c>
      <c r="F28">
        <v>37392</v>
      </c>
      <c r="G28">
        <v>51496</v>
      </c>
      <c r="H28">
        <v>14760</v>
      </c>
      <c r="I28">
        <v>14760</v>
      </c>
      <c r="J28">
        <v>14760</v>
      </c>
      <c r="K28">
        <v>31652</v>
      </c>
      <c r="L28">
        <v>35096</v>
      </c>
      <c r="M28">
        <v>35096</v>
      </c>
      <c r="N28">
        <v>35096</v>
      </c>
      <c r="O28">
        <v>20500</v>
      </c>
      <c r="P28">
        <v>28864</v>
      </c>
      <c r="Q28">
        <v>33620</v>
      </c>
      <c r="R28">
        <v>32964</v>
      </c>
      <c r="S28">
        <v>20336</v>
      </c>
      <c r="T28">
        <v>20828</v>
      </c>
      <c r="U28">
        <v>14268</v>
      </c>
      <c r="V28">
        <v>20992</v>
      </c>
      <c r="AB28">
        <v>511188</v>
      </c>
      <c r="AC28">
        <v>5350992</v>
      </c>
    </row>
    <row r="29" spans="1:29" x14ac:dyDescent="0.3">
      <c r="A29" t="s">
        <v>156</v>
      </c>
      <c r="B29">
        <v>0</v>
      </c>
      <c r="C29">
        <v>8528</v>
      </c>
      <c r="D29">
        <v>19024</v>
      </c>
      <c r="E29">
        <v>21156</v>
      </c>
      <c r="F29">
        <v>37392</v>
      </c>
      <c r="G29">
        <v>51496</v>
      </c>
      <c r="H29">
        <v>14760</v>
      </c>
      <c r="I29">
        <v>14760</v>
      </c>
      <c r="J29">
        <v>14760</v>
      </c>
      <c r="K29">
        <v>31652</v>
      </c>
      <c r="L29">
        <v>35096</v>
      </c>
      <c r="M29">
        <v>35096</v>
      </c>
      <c r="N29">
        <v>35096</v>
      </c>
      <c r="O29">
        <v>20500</v>
      </c>
      <c r="P29">
        <v>28864</v>
      </c>
      <c r="Q29">
        <v>33620</v>
      </c>
      <c r="R29">
        <v>32964</v>
      </c>
      <c r="S29">
        <v>20336</v>
      </c>
      <c r="T29">
        <v>20828</v>
      </c>
      <c r="U29">
        <v>14268</v>
      </c>
      <c r="V29">
        <v>20992</v>
      </c>
      <c r="W29">
        <v>13284</v>
      </c>
      <c r="AB29">
        <v>524472</v>
      </c>
      <c r="AC29">
        <v>5875464</v>
      </c>
    </row>
    <row r="30" spans="1:29" x14ac:dyDescent="0.3">
      <c r="A30" t="s">
        <v>157</v>
      </c>
      <c r="B30">
        <v>0</v>
      </c>
      <c r="C30">
        <v>8528</v>
      </c>
      <c r="D30">
        <v>19024</v>
      </c>
      <c r="E30">
        <v>21156</v>
      </c>
      <c r="F30">
        <v>37392</v>
      </c>
      <c r="G30">
        <v>51496</v>
      </c>
      <c r="H30">
        <v>14760</v>
      </c>
      <c r="I30">
        <v>14760</v>
      </c>
      <c r="J30">
        <v>14760</v>
      </c>
      <c r="K30">
        <v>31652</v>
      </c>
      <c r="L30">
        <v>35096</v>
      </c>
      <c r="M30">
        <v>35096</v>
      </c>
      <c r="N30">
        <v>35096</v>
      </c>
      <c r="O30">
        <v>20500</v>
      </c>
      <c r="P30">
        <v>28864</v>
      </c>
      <c r="Q30">
        <v>33620</v>
      </c>
      <c r="R30">
        <v>32964</v>
      </c>
      <c r="S30">
        <v>20336</v>
      </c>
      <c r="T30">
        <v>20828</v>
      </c>
      <c r="U30">
        <v>14268</v>
      </c>
      <c r="V30">
        <v>20992</v>
      </c>
      <c r="W30">
        <v>13284</v>
      </c>
      <c r="X30">
        <v>15744</v>
      </c>
      <c r="AB30">
        <v>540216</v>
      </c>
      <c r="AC30">
        <v>6415680</v>
      </c>
    </row>
    <row r="31" spans="1:29" x14ac:dyDescent="0.3">
      <c r="A31" t="s">
        <v>158</v>
      </c>
      <c r="B31">
        <v>0</v>
      </c>
      <c r="C31">
        <v>8528</v>
      </c>
      <c r="D31">
        <v>19024</v>
      </c>
      <c r="E31">
        <v>21156</v>
      </c>
      <c r="F31">
        <v>37392</v>
      </c>
      <c r="G31">
        <v>51496</v>
      </c>
      <c r="H31">
        <v>14760</v>
      </c>
      <c r="I31">
        <v>14760</v>
      </c>
      <c r="J31">
        <v>14760</v>
      </c>
      <c r="K31">
        <v>31652</v>
      </c>
      <c r="L31">
        <v>35096</v>
      </c>
      <c r="M31">
        <v>35096</v>
      </c>
      <c r="N31">
        <v>35096</v>
      </c>
      <c r="O31">
        <v>20500</v>
      </c>
      <c r="P31">
        <v>28864</v>
      </c>
      <c r="Q31">
        <v>33620</v>
      </c>
      <c r="R31">
        <v>32964</v>
      </c>
      <c r="S31">
        <v>20336</v>
      </c>
      <c r="T31">
        <v>20828</v>
      </c>
      <c r="U31">
        <v>14268</v>
      </c>
      <c r="V31">
        <v>20992</v>
      </c>
      <c r="W31">
        <v>13284</v>
      </c>
      <c r="X31">
        <v>15744</v>
      </c>
      <c r="Y31">
        <v>5412</v>
      </c>
      <c r="AB31">
        <v>545628</v>
      </c>
      <c r="AC31">
        <v>6961308</v>
      </c>
    </row>
    <row r="32" spans="1:29" x14ac:dyDescent="0.3">
      <c r="A32" t="s">
        <v>159</v>
      </c>
      <c r="B32">
        <v>0</v>
      </c>
      <c r="C32">
        <v>8528</v>
      </c>
      <c r="D32">
        <v>19024</v>
      </c>
      <c r="E32">
        <v>21156</v>
      </c>
      <c r="F32">
        <v>37392</v>
      </c>
      <c r="G32">
        <v>51496</v>
      </c>
      <c r="H32">
        <v>14760</v>
      </c>
      <c r="I32">
        <v>14760</v>
      </c>
      <c r="J32">
        <v>14760</v>
      </c>
      <c r="K32">
        <v>31652</v>
      </c>
      <c r="L32">
        <v>35096</v>
      </c>
      <c r="M32">
        <v>35096</v>
      </c>
      <c r="N32">
        <v>35096</v>
      </c>
      <c r="O32">
        <v>20500</v>
      </c>
      <c r="P32">
        <v>28864</v>
      </c>
      <c r="Q32">
        <v>33620</v>
      </c>
      <c r="R32">
        <v>32964</v>
      </c>
      <c r="S32">
        <v>20336</v>
      </c>
      <c r="T32">
        <v>20828</v>
      </c>
      <c r="U32">
        <v>14268</v>
      </c>
      <c r="V32">
        <v>20992</v>
      </c>
      <c r="W32">
        <v>13284</v>
      </c>
      <c r="X32">
        <v>15744</v>
      </c>
      <c r="Y32">
        <v>5412</v>
      </c>
      <c r="Z32">
        <v>8528</v>
      </c>
      <c r="AB32">
        <v>554156</v>
      </c>
      <c r="AC32">
        <v>7515464</v>
      </c>
    </row>
    <row r="33" spans="1:29" x14ac:dyDescent="0.3">
      <c r="A33" t="s">
        <v>160</v>
      </c>
      <c r="B33">
        <v>0</v>
      </c>
      <c r="C33">
        <v>8528</v>
      </c>
      <c r="D33">
        <v>19024</v>
      </c>
      <c r="E33">
        <v>21156</v>
      </c>
      <c r="F33">
        <v>37392</v>
      </c>
      <c r="G33">
        <v>51496</v>
      </c>
      <c r="H33">
        <v>14760</v>
      </c>
      <c r="I33">
        <v>14760</v>
      </c>
      <c r="J33">
        <v>14760</v>
      </c>
      <c r="K33">
        <v>31652</v>
      </c>
      <c r="L33">
        <v>35096</v>
      </c>
      <c r="M33">
        <v>35096</v>
      </c>
      <c r="N33">
        <v>35096</v>
      </c>
      <c r="O33">
        <v>20500</v>
      </c>
      <c r="P33">
        <v>28864</v>
      </c>
      <c r="Q33">
        <v>33620</v>
      </c>
      <c r="R33">
        <v>32964</v>
      </c>
      <c r="S33">
        <v>20336</v>
      </c>
      <c r="T33">
        <v>20828</v>
      </c>
      <c r="U33">
        <v>14268</v>
      </c>
      <c r="V33">
        <v>20992</v>
      </c>
      <c r="W33">
        <v>13284</v>
      </c>
      <c r="X33">
        <v>15744</v>
      </c>
      <c r="Y33">
        <v>5412</v>
      </c>
      <c r="Z33">
        <v>8528</v>
      </c>
      <c r="AA33">
        <v>11808</v>
      </c>
      <c r="AB33">
        <v>565964</v>
      </c>
      <c r="AC33">
        <v>8081428</v>
      </c>
    </row>
    <row r="34" spans="1:29" x14ac:dyDescent="0.3">
      <c r="A34" t="s">
        <v>161</v>
      </c>
      <c r="AB34">
        <v>8081428</v>
      </c>
      <c r="AC34">
        <v>29658840.759999998</v>
      </c>
    </row>
    <row r="35" spans="1:29" x14ac:dyDescent="0.3">
      <c r="AB35">
        <v>8.0814280000000007</v>
      </c>
    </row>
    <row r="37" spans="1:29" x14ac:dyDescent="0.3">
      <c r="A37" t="s">
        <v>162</v>
      </c>
    </row>
    <row r="38" spans="1:29" x14ac:dyDescent="0.3">
      <c r="A38" t="s">
        <v>163</v>
      </c>
      <c r="B38">
        <v>0</v>
      </c>
      <c r="C38">
        <v>2217.2800000000002</v>
      </c>
      <c r="AB38">
        <v>2217.2800000000002</v>
      </c>
      <c r="AC38">
        <v>2217.2800000000002</v>
      </c>
    </row>
    <row r="39" spans="1:29" x14ac:dyDescent="0.3">
      <c r="A39" t="s">
        <v>164</v>
      </c>
      <c r="B39">
        <v>0</v>
      </c>
      <c r="C39">
        <v>2217.2800000000002</v>
      </c>
      <c r="D39">
        <v>4946.24</v>
      </c>
      <c r="AB39">
        <v>7163.52</v>
      </c>
      <c r="AC39">
        <v>9380.8000000000011</v>
      </c>
    </row>
    <row r="40" spans="1:29" x14ac:dyDescent="0.3">
      <c r="A40" t="s">
        <v>138</v>
      </c>
      <c r="B40">
        <v>0</v>
      </c>
      <c r="C40">
        <v>2217.2800000000002</v>
      </c>
      <c r="D40">
        <v>4946.24</v>
      </c>
      <c r="E40">
        <v>5500.56</v>
      </c>
      <c r="AB40">
        <v>12664.080000000002</v>
      </c>
      <c r="AC40">
        <v>22044.880000000005</v>
      </c>
    </row>
    <row r="41" spans="1:29" x14ac:dyDescent="0.3">
      <c r="A41" t="s">
        <v>139</v>
      </c>
      <c r="B41">
        <v>0</v>
      </c>
      <c r="C41">
        <v>2217.2800000000002</v>
      </c>
      <c r="D41">
        <v>4946.24</v>
      </c>
      <c r="E41">
        <v>5500.56</v>
      </c>
      <c r="F41">
        <v>9721.92</v>
      </c>
      <c r="AB41">
        <v>22386</v>
      </c>
      <c r="AC41">
        <v>44430.880000000005</v>
      </c>
    </row>
    <row r="42" spans="1:29" x14ac:dyDescent="0.3">
      <c r="A42" t="s">
        <v>140</v>
      </c>
      <c r="B42">
        <v>0</v>
      </c>
      <c r="C42">
        <v>2217.2800000000002</v>
      </c>
      <c r="D42">
        <v>4946.24</v>
      </c>
      <c r="E42">
        <v>5500.56</v>
      </c>
      <c r="F42">
        <v>9721.92</v>
      </c>
      <c r="G42">
        <v>13388.960000000001</v>
      </c>
      <c r="AB42">
        <v>35774.959999999999</v>
      </c>
      <c r="AC42">
        <v>80205.84</v>
      </c>
    </row>
    <row r="43" spans="1:29" x14ac:dyDescent="0.3">
      <c r="A43" t="s">
        <v>141</v>
      </c>
      <c r="B43">
        <v>0</v>
      </c>
      <c r="C43">
        <v>2217.2800000000002</v>
      </c>
      <c r="D43">
        <v>4946.24</v>
      </c>
      <c r="E43">
        <v>5500.56</v>
      </c>
      <c r="F43">
        <v>9721.92</v>
      </c>
      <c r="G43">
        <v>13388.960000000001</v>
      </c>
      <c r="H43">
        <v>3837.6000000000004</v>
      </c>
      <c r="AB43">
        <v>39612.559999999998</v>
      </c>
      <c r="AC43">
        <v>119818.4</v>
      </c>
    </row>
    <row r="44" spans="1:29" x14ac:dyDescent="0.3">
      <c r="A44" t="s">
        <v>142</v>
      </c>
      <c r="B44">
        <v>0</v>
      </c>
      <c r="C44">
        <v>2217.2800000000002</v>
      </c>
      <c r="D44">
        <v>4946.24</v>
      </c>
      <c r="E44">
        <v>5500.56</v>
      </c>
      <c r="F44">
        <v>9721.92</v>
      </c>
      <c r="G44">
        <v>13388.960000000001</v>
      </c>
      <c r="H44">
        <v>3837.6000000000004</v>
      </c>
      <c r="I44">
        <v>3837.6000000000004</v>
      </c>
      <c r="AB44">
        <v>43450.159999999996</v>
      </c>
      <c r="AC44">
        <v>163268.56</v>
      </c>
    </row>
    <row r="45" spans="1:29" x14ac:dyDescent="0.3">
      <c r="A45" t="s">
        <v>143</v>
      </c>
      <c r="B45">
        <v>0</v>
      </c>
      <c r="C45">
        <v>2217.2800000000002</v>
      </c>
      <c r="D45">
        <v>4946.24</v>
      </c>
      <c r="E45">
        <v>5500.56</v>
      </c>
      <c r="F45">
        <v>9721.92</v>
      </c>
      <c r="G45">
        <v>13388.960000000001</v>
      </c>
      <c r="H45">
        <v>3837.6000000000004</v>
      </c>
      <c r="I45">
        <v>3837.6000000000004</v>
      </c>
      <c r="J45">
        <v>3837.6000000000004</v>
      </c>
      <c r="AB45">
        <v>47287.759999999995</v>
      </c>
      <c r="AC45">
        <v>210556.32</v>
      </c>
    </row>
    <row r="46" spans="1:29" x14ac:dyDescent="0.3">
      <c r="A46" t="s">
        <v>144</v>
      </c>
      <c r="B46">
        <v>0</v>
      </c>
      <c r="C46">
        <v>2217.2800000000002</v>
      </c>
      <c r="D46">
        <v>4946.24</v>
      </c>
      <c r="E46">
        <v>5500.56</v>
      </c>
      <c r="F46">
        <v>9721.92</v>
      </c>
      <c r="G46">
        <v>13388.960000000001</v>
      </c>
      <c r="H46">
        <v>3837.6000000000004</v>
      </c>
      <c r="I46">
        <v>3837.6000000000004</v>
      </c>
      <c r="J46">
        <v>3837.6000000000004</v>
      </c>
      <c r="K46">
        <v>8229.52</v>
      </c>
      <c r="AB46">
        <v>55517.279999999999</v>
      </c>
      <c r="AC46">
        <v>266073.59999999998</v>
      </c>
    </row>
    <row r="47" spans="1:29" x14ac:dyDescent="0.3">
      <c r="A47" t="s">
        <v>145</v>
      </c>
      <c r="B47">
        <v>0</v>
      </c>
      <c r="C47">
        <v>2217.2800000000002</v>
      </c>
      <c r="D47">
        <v>4946.24</v>
      </c>
      <c r="E47">
        <v>5500.56</v>
      </c>
      <c r="F47">
        <v>9721.92</v>
      </c>
      <c r="G47">
        <v>13388.960000000001</v>
      </c>
      <c r="H47">
        <v>3837.6000000000004</v>
      </c>
      <c r="I47">
        <v>3837.6000000000004</v>
      </c>
      <c r="J47">
        <v>3837.6000000000004</v>
      </c>
      <c r="K47">
        <v>8229.52</v>
      </c>
      <c r="L47">
        <v>9124.9600000000009</v>
      </c>
      <c r="AB47">
        <v>64642.239999999998</v>
      </c>
      <c r="AC47">
        <v>330715.83999999997</v>
      </c>
    </row>
    <row r="48" spans="1:29" x14ac:dyDescent="0.3">
      <c r="A48" t="s">
        <v>146</v>
      </c>
      <c r="B48">
        <v>0</v>
      </c>
      <c r="C48">
        <v>2217.2800000000002</v>
      </c>
      <c r="D48">
        <v>4946.24</v>
      </c>
      <c r="E48">
        <v>5500.56</v>
      </c>
      <c r="F48">
        <v>9721.92</v>
      </c>
      <c r="G48">
        <v>13388.960000000001</v>
      </c>
      <c r="H48">
        <v>3837.6000000000004</v>
      </c>
      <c r="I48">
        <v>3837.6000000000004</v>
      </c>
      <c r="J48">
        <v>3837.6000000000004</v>
      </c>
      <c r="K48">
        <v>8229.52</v>
      </c>
      <c r="L48">
        <v>9124.9600000000009</v>
      </c>
      <c r="M48">
        <v>9124.9600000000009</v>
      </c>
      <c r="AB48">
        <v>73767.199999999997</v>
      </c>
      <c r="AC48">
        <v>404483.04</v>
      </c>
    </row>
    <row r="49" spans="1:29" x14ac:dyDescent="0.3">
      <c r="A49" t="s">
        <v>147</v>
      </c>
      <c r="B49">
        <v>0</v>
      </c>
      <c r="C49">
        <v>2217.2800000000002</v>
      </c>
      <c r="D49">
        <v>4946.24</v>
      </c>
      <c r="E49">
        <v>5500.56</v>
      </c>
      <c r="F49">
        <v>9721.92</v>
      </c>
      <c r="G49">
        <v>13388.960000000001</v>
      </c>
      <c r="H49">
        <v>3837.6000000000004</v>
      </c>
      <c r="I49">
        <v>3837.6000000000004</v>
      </c>
      <c r="J49">
        <v>3837.6000000000004</v>
      </c>
      <c r="K49">
        <v>8229.52</v>
      </c>
      <c r="L49">
        <v>9124.9600000000009</v>
      </c>
      <c r="M49">
        <v>9124.9600000000009</v>
      </c>
      <c r="N49">
        <v>9124.9600000000009</v>
      </c>
      <c r="AB49">
        <v>82892.160000000003</v>
      </c>
      <c r="AC49">
        <v>487375.19999999995</v>
      </c>
    </row>
    <row r="50" spans="1:29" x14ac:dyDescent="0.3">
      <c r="A50" t="s">
        <v>148</v>
      </c>
      <c r="B50">
        <v>0</v>
      </c>
      <c r="C50">
        <v>2217.2800000000002</v>
      </c>
      <c r="D50">
        <v>4946.24</v>
      </c>
      <c r="E50">
        <v>5500.56</v>
      </c>
      <c r="F50">
        <v>9721.92</v>
      </c>
      <c r="G50">
        <v>13388.960000000001</v>
      </c>
      <c r="H50">
        <v>3837.6000000000004</v>
      </c>
      <c r="I50">
        <v>3837.6000000000004</v>
      </c>
      <c r="J50">
        <v>3837.6000000000004</v>
      </c>
      <c r="K50">
        <v>8229.52</v>
      </c>
      <c r="L50">
        <v>9124.9600000000009</v>
      </c>
      <c r="M50">
        <v>9124.9600000000009</v>
      </c>
      <c r="N50">
        <v>9124.9600000000009</v>
      </c>
      <c r="O50">
        <v>5330</v>
      </c>
      <c r="AB50">
        <v>88222.16</v>
      </c>
      <c r="AC50">
        <v>575597.36</v>
      </c>
    </row>
    <row r="51" spans="1:29" x14ac:dyDescent="0.3">
      <c r="A51" t="s">
        <v>149</v>
      </c>
      <c r="B51">
        <v>0</v>
      </c>
      <c r="C51">
        <v>2217.2800000000002</v>
      </c>
      <c r="D51">
        <v>4946.24</v>
      </c>
      <c r="E51">
        <v>5500.56</v>
      </c>
      <c r="F51">
        <v>9721.92</v>
      </c>
      <c r="G51">
        <v>13388.960000000001</v>
      </c>
      <c r="H51">
        <v>3837.6000000000004</v>
      </c>
      <c r="I51">
        <v>3837.6000000000004</v>
      </c>
      <c r="J51">
        <v>3837.6000000000004</v>
      </c>
      <c r="K51">
        <v>8229.52</v>
      </c>
      <c r="L51">
        <v>9124.9600000000009</v>
      </c>
      <c r="M51">
        <v>9124.9600000000009</v>
      </c>
      <c r="N51">
        <v>9124.9600000000009</v>
      </c>
      <c r="O51">
        <v>5330</v>
      </c>
      <c r="P51">
        <v>7504.64</v>
      </c>
      <c r="AB51">
        <v>95726.8</v>
      </c>
      <c r="AC51">
        <v>671324.16000000003</v>
      </c>
    </row>
    <row r="52" spans="1:29" x14ac:dyDescent="0.3">
      <c r="A52" t="s">
        <v>150</v>
      </c>
      <c r="B52">
        <v>0</v>
      </c>
      <c r="C52">
        <v>2217.2800000000002</v>
      </c>
      <c r="D52">
        <v>4946.24</v>
      </c>
      <c r="E52">
        <v>5500.56</v>
      </c>
      <c r="F52">
        <v>9721.92</v>
      </c>
      <c r="G52">
        <v>13388.960000000001</v>
      </c>
      <c r="H52">
        <v>3837.6000000000004</v>
      </c>
      <c r="I52">
        <v>3837.6000000000004</v>
      </c>
      <c r="J52">
        <v>3837.6000000000004</v>
      </c>
      <c r="K52">
        <v>8229.52</v>
      </c>
      <c r="L52">
        <v>9124.9600000000009</v>
      </c>
      <c r="M52">
        <v>9124.9600000000009</v>
      </c>
      <c r="N52">
        <v>9124.9600000000009</v>
      </c>
      <c r="O52">
        <v>5330</v>
      </c>
      <c r="P52">
        <v>7504.64</v>
      </c>
      <c r="Q52">
        <v>8741.1999999999989</v>
      </c>
      <c r="AB52">
        <v>104468</v>
      </c>
      <c r="AC52">
        <v>775792.16</v>
      </c>
    </row>
    <row r="53" spans="1:29" x14ac:dyDescent="0.3">
      <c r="A53" t="s">
        <v>151</v>
      </c>
      <c r="B53">
        <v>0</v>
      </c>
      <c r="C53">
        <v>2217.2800000000002</v>
      </c>
      <c r="D53">
        <v>4946.24</v>
      </c>
      <c r="E53">
        <v>5500.56</v>
      </c>
      <c r="F53">
        <v>9721.92</v>
      </c>
      <c r="G53">
        <v>13388.960000000001</v>
      </c>
      <c r="H53">
        <v>3837.6000000000004</v>
      </c>
      <c r="I53">
        <v>3837.6000000000004</v>
      </c>
      <c r="J53">
        <v>3837.6000000000004</v>
      </c>
      <c r="K53">
        <v>8229.52</v>
      </c>
      <c r="L53">
        <v>9124.9600000000009</v>
      </c>
      <c r="M53">
        <v>9124.9600000000009</v>
      </c>
      <c r="N53">
        <v>9124.9600000000009</v>
      </c>
      <c r="O53">
        <v>5330</v>
      </c>
      <c r="P53">
        <v>7504.64</v>
      </c>
      <c r="Q53">
        <v>8741.1999999999989</v>
      </c>
      <c r="R53">
        <v>8570.64</v>
      </c>
      <c r="AB53">
        <v>113038.64</v>
      </c>
      <c r="AC53">
        <v>888830.8</v>
      </c>
    </row>
    <row r="54" spans="1:29" x14ac:dyDescent="0.3">
      <c r="A54" t="s">
        <v>152</v>
      </c>
      <c r="B54">
        <v>0</v>
      </c>
      <c r="C54">
        <v>2217.2800000000002</v>
      </c>
      <c r="D54">
        <v>4946.24</v>
      </c>
      <c r="E54">
        <v>5500.56</v>
      </c>
      <c r="F54">
        <v>9721.92</v>
      </c>
      <c r="G54">
        <v>13388.960000000001</v>
      </c>
      <c r="H54">
        <v>3837.6000000000004</v>
      </c>
      <c r="I54">
        <v>3837.6000000000004</v>
      </c>
      <c r="J54">
        <v>3837.6000000000004</v>
      </c>
      <c r="K54">
        <v>8229.52</v>
      </c>
      <c r="L54">
        <v>9124.9600000000009</v>
      </c>
      <c r="M54">
        <v>9124.9600000000009</v>
      </c>
      <c r="N54">
        <v>9124.9600000000009</v>
      </c>
      <c r="O54">
        <v>5330</v>
      </c>
      <c r="P54">
        <v>7504.64</v>
      </c>
      <c r="Q54">
        <v>8741.1999999999989</v>
      </c>
      <c r="R54">
        <v>8570.64</v>
      </c>
      <c r="S54">
        <v>5287.3600000000006</v>
      </c>
      <c r="AB54">
        <v>118326</v>
      </c>
      <c r="AC54">
        <v>1007156.8</v>
      </c>
    </row>
    <row r="55" spans="1:29" x14ac:dyDescent="0.3">
      <c r="A55" t="s">
        <v>153</v>
      </c>
      <c r="B55">
        <v>0</v>
      </c>
      <c r="C55">
        <v>2217.2800000000002</v>
      </c>
      <c r="D55">
        <v>4946.24</v>
      </c>
      <c r="E55">
        <v>5500.56</v>
      </c>
      <c r="F55">
        <v>9721.92</v>
      </c>
      <c r="G55">
        <v>13388.960000000001</v>
      </c>
      <c r="H55">
        <v>3837.6000000000004</v>
      </c>
      <c r="I55">
        <v>3837.6000000000004</v>
      </c>
      <c r="J55">
        <v>3837.6000000000004</v>
      </c>
      <c r="K55">
        <v>8229.52</v>
      </c>
      <c r="L55">
        <v>9124.9600000000009</v>
      </c>
      <c r="M55">
        <v>9124.9600000000009</v>
      </c>
      <c r="N55">
        <v>9124.9600000000009</v>
      </c>
      <c r="O55">
        <v>5330</v>
      </c>
      <c r="P55">
        <v>7504.64</v>
      </c>
      <c r="Q55">
        <v>8741.1999999999989</v>
      </c>
      <c r="R55">
        <v>8570.64</v>
      </c>
      <c r="S55">
        <v>5287.3600000000006</v>
      </c>
      <c r="T55">
        <v>5415.28</v>
      </c>
      <c r="AB55">
        <v>123741.28</v>
      </c>
      <c r="AC55">
        <v>1130898.08</v>
      </c>
    </row>
    <row r="56" spans="1:29" x14ac:dyDescent="0.3">
      <c r="A56" t="s">
        <v>154</v>
      </c>
      <c r="B56">
        <v>0</v>
      </c>
      <c r="C56">
        <v>2217.2800000000002</v>
      </c>
      <c r="D56">
        <v>4946.24</v>
      </c>
      <c r="E56">
        <v>5500.56</v>
      </c>
      <c r="F56">
        <v>9721.92</v>
      </c>
      <c r="G56">
        <v>13388.960000000001</v>
      </c>
      <c r="H56">
        <v>3837.6000000000004</v>
      </c>
      <c r="I56">
        <v>3837.6000000000004</v>
      </c>
      <c r="J56">
        <v>3837.6000000000004</v>
      </c>
      <c r="K56">
        <v>8229.52</v>
      </c>
      <c r="L56">
        <v>9124.9600000000009</v>
      </c>
      <c r="M56">
        <v>9124.9600000000009</v>
      </c>
      <c r="N56">
        <v>9124.9600000000009</v>
      </c>
      <c r="O56">
        <v>5330</v>
      </c>
      <c r="P56">
        <v>7504.64</v>
      </c>
      <c r="Q56">
        <v>8741.1999999999989</v>
      </c>
      <c r="R56">
        <v>8570.64</v>
      </c>
      <c r="S56">
        <v>5287.3600000000006</v>
      </c>
      <c r="T56">
        <v>5415.28</v>
      </c>
      <c r="U56">
        <v>3709.6800000000003</v>
      </c>
      <c r="AB56">
        <v>127450.95999999999</v>
      </c>
      <c r="AC56">
        <v>1258349.04</v>
      </c>
    </row>
    <row r="57" spans="1:29" x14ac:dyDescent="0.3">
      <c r="A57" t="s">
        <v>155</v>
      </c>
      <c r="B57">
        <v>0</v>
      </c>
      <c r="C57">
        <v>2217.2800000000002</v>
      </c>
      <c r="D57">
        <v>4946.24</v>
      </c>
      <c r="E57">
        <v>5500.56</v>
      </c>
      <c r="F57">
        <v>9721.92</v>
      </c>
      <c r="G57">
        <v>13388.960000000001</v>
      </c>
      <c r="H57">
        <v>3837.6000000000004</v>
      </c>
      <c r="I57">
        <v>3837.6000000000004</v>
      </c>
      <c r="J57">
        <v>3837.6000000000004</v>
      </c>
      <c r="K57">
        <v>8229.52</v>
      </c>
      <c r="L57">
        <v>9124.9600000000009</v>
      </c>
      <c r="M57">
        <v>9124.9600000000009</v>
      </c>
      <c r="N57">
        <v>9124.9600000000009</v>
      </c>
      <c r="O57">
        <v>5330</v>
      </c>
      <c r="P57">
        <v>7504.64</v>
      </c>
      <c r="Q57">
        <v>8741.1999999999989</v>
      </c>
      <c r="R57">
        <v>8570.64</v>
      </c>
      <c r="S57">
        <v>5287.3600000000006</v>
      </c>
      <c r="T57">
        <v>5415.28</v>
      </c>
      <c r="U57">
        <v>3709.6800000000003</v>
      </c>
      <c r="V57">
        <v>5457.920000000001</v>
      </c>
      <c r="AB57">
        <v>132908.88</v>
      </c>
      <c r="AC57">
        <v>1391257.92</v>
      </c>
    </row>
    <row r="58" spans="1:29" x14ac:dyDescent="0.3">
      <c r="A58" t="s">
        <v>156</v>
      </c>
      <c r="B58">
        <v>0</v>
      </c>
      <c r="C58">
        <v>2217.2800000000002</v>
      </c>
      <c r="D58">
        <v>4946.24</v>
      </c>
      <c r="E58">
        <v>5500.56</v>
      </c>
      <c r="F58">
        <v>9721.92</v>
      </c>
      <c r="G58">
        <v>13388.960000000001</v>
      </c>
      <c r="H58">
        <v>3837.6000000000004</v>
      </c>
      <c r="I58">
        <v>3837.6000000000004</v>
      </c>
      <c r="J58">
        <v>3837.6000000000004</v>
      </c>
      <c r="K58">
        <v>8229.52</v>
      </c>
      <c r="L58">
        <v>9124.9600000000009</v>
      </c>
      <c r="M58">
        <v>9124.9600000000009</v>
      </c>
      <c r="N58">
        <v>9124.9600000000009</v>
      </c>
      <c r="O58">
        <v>5330</v>
      </c>
      <c r="P58">
        <v>7504.64</v>
      </c>
      <c r="Q58">
        <v>8741.1999999999989</v>
      </c>
      <c r="R58">
        <v>8570.64</v>
      </c>
      <c r="S58">
        <v>5287.3600000000006</v>
      </c>
      <c r="T58">
        <v>5415.28</v>
      </c>
      <c r="U58">
        <v>3709.6800000000003</v>
      </c>
      <c r="V58">
        <v>5457.920000000001</v>
      </c>
      <c r="W58">
        <v>3453.84</v>
      </c>
      <c r="AB58">
        <v>136362.72</v>
      </c>
      <c r="AC58">
        <v>1527620.64</v>
      </c>
    </row>
    <row r="59" spans="1:29" x14ac:dyDescent="0.3">
      <c r="A59" t="s">
        <v>157</v>
      </c>
      <c r="B59">
        <v>0</v>
      </c>
      <c r="C59">
        <v>2217.2800000000002</v>
      </c>
      <c r="D59">
        <v>4946.24</v>
      </c>
      <c r="E59">
        <v>5500.56</v>
      </c>
      <c r="F59">
        <v>9721.92</v>
      </c>
      <c r="G59">
        <v>13388.960000000001</v>
      </c>
      <c r="H59">
        <v>3837.6000000000004</v>
      </c>
      <c r="I59">
        <v>3837.6000000000004</v>
      </c>
      <c r="J59">
        <v>3837.6000000000004</v>
      </c>
      <c r="K59">
        <v>8229.52</v>
      </c>
      <c r="L59">
        <v>9124.9600000000009</v>
      </c>
      <c r="M59">
        <v>9124.9600000000009</v>
      </c>
      <c r="N59">
        <v>9124.9600000000009</v>
      </c>
      <c r="O59">
        <v>5330</v>
      </c>
      <c r="P59">
        <v>7504.64</v>
      </c>
      <c r="Q59">
        <v>8741.1999999999989</v>
      </c>
      <c r="R59">
        <v>8570.64</v>
      </c>
      <c r="S59">
        <v>5287.3600000000006</v>
      </c>
      <c r="T59">
        <v>5415.28</v>
      </c>
      <c r="U59">
        <v>3709.6800000000003</v>
      </c>
      <c r="V59">
        <v>5457.920000000001</v>
      </c>
      <c r="W59">
        <v>3453.84</v>
      </c>
      <c r="X59">
        <v>4093.4399999999996</v>
      </c>
      <c r="AB59">
        <v>140456.16</v>
      </c>
      <c r="AC59">
        <v>1668076.7999999998</v>
      </c>
    </row>
    <row r="60" spans="1:29" x14ac:dyDescent="0.3">
      <c r="A60" t="s">
        <v>158</v>
      </c>
      <c r="B60">
        <v>0</v>
      </c>
      <c r="C60">
        <v>2217.2800000000002</v>
      </c>
      <c r="D60">
        <v>4946.24</v>
      </c>
      <c r="E60">
        <v>5500.56</v>
      </c>
      <c r="F60">
        <v>9721.92</v>
      </c>
      <c r="G60">
        <v>13388.960000000001</v>
      </c>
      <c r="H60">
        <v>3837.6000000000004</v>
      </c>
      <c r="I60">
        <v>3837.6000000000004</v>
      </c>
      <c r="J60">
        <v>3837.6000000000004</v>
      </c>
      <c r="K60">
        <v>8229.52</v>
      </c>
      <c r="L60">
        <v>9124.9600000000009</v>
      </c>
      <c r="M60">
        <v>9124.9600000000009</v>
      </c>
      <c r="N60">
        <v>9124.9600000000009</v>
      </c>
      <c r="O60">
        <v>5330</v>
      </c>
      <c r="P60">
        <v>7504.64</v>
      </c>
      <c r="Q60">
        <v>8741.1999999999989</v>
      </c>
      <c r="R60">
        <v>8570.64</v>
      </c>
      <c r="S60">
        <v>5287.3600000000006</v>
      </c>
      <c r="T60">
        <v>5415.28</v>
      </c>
      <c r="U60">
        <v>3709.6800000000003</v>
      </c>
      <c r="V60">
        <v>5457.920000000001</v>
      </c>
      <c r="W60">
        <v>3453.84</v>
      </c>
      <c r="X60">
        <v>4093.4399999999996</v>
      </c>
      <c r="Y60">
        <v>1407.1200000000001</v>
      </c>
      <c r="AB60">
        <v>141863.28</v>
      </c>
      <c r="AC60">
        <v>1809940.0799999998</v>
      </c>
    </row>
    <row r="61" spans="1:29" x14ac:dyDescent="0.3">
      <c r="A61" t="s">
        <v>159</v>
      </c>
      <c r="B61">
        <v>0</v>
      </c>
      <c r="C61">
        <v>2217.2800000000002</v>
      </c>
      <c r="D61">
        <v>4946.24</v>
      </c>
      <c r="E61">
        <v>5500.56</v>
      </c>
      <c r="F61">
        <v>9721.92</v>
      </c>
      <c r="G61">
        <v>13388.960000000001</v>
      </c>
      <c r="H61">
        <v>3837.6000000000004</v>
      </c>
      <c r="I61">
        <v>3837.6000000000004</v>
      </c>
      <c r="J61">
        <v>3837.6000000000004</v>
      </c>
      <c r="K61">
        <v>8229.52</v>
      </c>
      <c r="L61">
        <v>9124.9600000000009</v>
      </c>
      <c r="M61">
        <v>9124.9600000000009</v>
      </c>
      <c r="N61">
        <v>9124.9600000000009</v>
      </c>
      <c r="O61">
        <v>5330</v>
      </c>
      <c r="P61">
        <v>7504.64</v>
      </c>
      <c r="Q61">
        <v>8741.1999999999989</v>
      </c>
      <c r="R61">
        <v>8570.64</v>
      </c>
      <c r="S61">
        <v>5287.3600000000006</v>
      </c>
      <c r="T61">
        <v>5415.28</v>
      </c>
      <c r="U61">
        <v>3709.6800000000003</v>
      </c>
      <c r="V61">
        <v>5457.920000000001</v>
      </c>
      <c r="W61">
        <v>3453.84</v>
      </c>
      <c r="X61">
        <v>4093.4399999999996</v>
      </c>
      <c r="Y61">
        <v>1407.1200000000001</v>
      </c>
      <c r="Z61">
        <v>2217.2800000000002</v>
      </c>
      <c r="AB61">
        <v>144080.56</v>
      </c>
      <c r="AC61">
        <v>1954020.64</v>
      </c>
    </row>
    <row r="62" spans="1:29" x14ac:dyDescent="0.3">
      <c r="A62" t="s">
        <v>160</v>
      </c>
      <c r="B62">
        <v>0</v>
      </c>
      <c r="C62">
        <v>2217.2800000000002</v>
      </c>
      <c r="D62">
        <v>4946.24</v>
      </c>
      <c r="E62">
        <v>5500.56</v>
      </c>
      <c r="F62">
        <v>9721.92</v>
      </c>
      <c r="G62">
        <v>13388.960000000001</v>
      </c>
      <c r="H62">
        <v>3837.6000000000004</v>
      </c>
      <c r="I62">
        <v>3837.6000000000004</v>
      </c>
      <c r="J62">
        <v>3837.6000000000004</v>
      </c>
      <c r="K62">
        <v>8229.52</v>
      </c>
      <c r="L62">
        <v>9124.9600000000009</v>
      </c>
      <c r="M62">
        <v>9124.9600000000009</v>
      </c>
      <c r="N62">
        <v>9124.9600000000009</v>
      </c>
      <c r="O62">
        <v>5330</v>
      </c>
      <c r="P62">
        <v>7504.64</v>
      </c>
      <c r="Q62">
        <v>8741.1999999999989</v>
      </c>
      <c r="R62">
        <v>8570.64</v>
      </c>
      <c r="S62">
        <v>5287.3600000000006</v>
      </c>
      <c r="T62">
        <v>5415.28</v>
      </c>
      <c r="U62">
        <v>3709.6800000000003</v>
      </c>
      <c r="V62">
        <v>5457.920000000001</v>
      </c>
      <c r="W62">
        <v>3453.84</v>
      </c>
      <c r="X62">
        <v>4093.4399999999996</v>
      </c>
      <c r="Y62">
        <v>1407.1200000000001</v>
      </c>
      <c r="Z62">
        <v>2217.2800000000002</v>
      </c>
      <c r="AA62">
        <v>3070.08</v>
      </c>
      <c r="AB62">
        <v>147150.63999999998</v>
      </c>
      <c r="AC62">
        <v>2101171.2799999998</v>
      </c>
    </row>
    <row r="63" spans="1:29" x14ac:dyDescent="0.3">
      <c r="AB63">
        <v>2101171.2799999998</v>
      </c>
      <c r="AC63">
        <v>7711298.597599999</v>
      </c>
    </row>
    <row r="64" spans="1:29" x14ac:dyDescent="0.3">
      <c r="AB64">
        <v>2.10117128</v>
      </c>
    </row>
    <row r="66" spans="1:29" x14ac:dyDescent="0.3">
      <c r="A66" t="s">
        <v>165</v>
      </c>
    </row>
    <row r="67" spans="1:29" x14ac:dyDescent="0.3">
      <c r="A67" t="s">
        <v>163</v>
      </c>
      <c r="C67">
        <v>8528</v>
      </c>
      <c r="AB67">
        <v>8528</v>
      </c>
      <c r="AC67">
        <v>8528</v>
      </c>
    </row>
    <row r="68" spans="1:29" x14ac:dyDescent="0.3">
      <c r="A68" t="s">
        <v>164</v>
      </c>
      <c r="C68">
        <v>8528</v>
      </c>
      <c r="D68">
        <v>8528</v>
      </c>
      <c r="AB68">
        <v>17056</v>
      </c>
      <c r="AC68">
        <v>25584</v>
      </c>
    </row>
    <row r="69" spans="1:29" x14ac:dyDescent="0.3">
      <c r="A69" t="s">
        <v>138</v>
      </c>
      <c r="C69">
        <v>8528</v>
      </c>
      <c r="D69">
        <v>8528</v>
      </c>
      <c r="E69">
        <v>8528</v>
      </c>
      <c r="AB69">
        <v>25584</v>
      </c>
      <c r="AC69">
        <v>51168</v>
      </c>
    </row>
    <row r="70" spans="1:29" x14ac:dyDescent="0.3">
      <c r="A70" t="s">
        <v>139</v>
      </c>
      <c r="C70">
        <v>8528</v>
      </c>
      <c r="D70">
        <v>8528</v>
      </c>
      <c r="E70">
        <v>8528</v>
      </c>
      <c r="F70">
        <v>8528</v>
      </c>
      <c r="AB70">
        <v>34112</v>
      </c>
      <c r="AC70">
        <v>85280</v>
      </c>
    </row>
    <row r="71" spans="1:29" x14ac:dyDescent="0.3">
      <c r="A71" t="s">
        <v>140</v>
      </c>
      <c r="C71">
        <v>8528</v>
      </c>
      <c r="D71">
        <v>8528</v>
      </c>
      <c r="E71">
        <v>8528</v>
      </c>
      <c r="F71">
        <v>8528</v>
      </c>
      <c r="G71">
        <v>8528</v>
      </c>
      <c r="AB71">
        <v>42640</v>
      </c>
      <c r="AC71">
        <v>127920</v>
      </c>
    </row>
    <row r="72" spans="1:29" x14ac:dyDescent="0.3">
      <c r="A72" t="s">
        <v>141</v>
      </c>
      <c r="C72">
        <v>8528</v>
      </c>
      <c r="D72">
        <v>8528</v>
      </c>
      <c r="E72">
        <v>8528</v>
      </c>
      <c r="F72">
        <v>8528</v>
      </c>
      <c r="G72">
        <v>8528</v>
      </c>
      <c r="H72">
        <v>8528</v>
      </c>
      <c r="AB72">
        <v>51168</v>
      </c>
      <c r="AC72">
        <v>179088</v>
      </c>
    </row>
    <row r="73" spans="1:29" x14ac:dyDescent="0.3">
      <c r="A73" t="s">
        <v>142</v>
      </c>
      <c r="C73">
        <v>8528</v>
      </c>
      <c r="D73">
        <v>8528</v>
      </c>
      <c r="E73">
        <v>8528</v>
      </c>
      <c r="F73">
        <v>8528</v>
      </c>
      <c r="G73">
        <v>8528</v>
      </c>
      <c r="H73">
        <v>8528</v>
      </c>
      <c r="I73">
        <v>8528</v>
      </c>
      <c r="AB73">
        <v>59696</v>
      </c>
      <c r="AC73">
        <v>238784</v>
      </c>
    </row>
    <row r="74" spans="1:29" x14ac:dyDescent="0.3">
      <c r="A74" t="s">
        <v>143</v>
      </c>
      <c r="C74">
        <v>8528</v>
      </c>
      <c r="D74">
        <v>8528</v>
      </c>
      <c r="E74">
        <v>8528</v>
      </c>
      <c r="F74">
        <v>8528</v>
      </c>
      <c r="G74">
        <v>8528</v>
      </c>
      <c r="H74">
        <v>8528</v>
      </c>
      <c r="I74">
        <v>8528</v>
      </c>
      <c r="J74">
        <v>8528</v>
      </c>
      <c r="AB74">
        <v>68224</v>
      </c>
      <c r="AC74">
        <v>307008</v>
      </c>
    </row>
    <row r="75" spans="1:29" x14ac:dyDescent="0.3">
      <c r="A75" t="s">
        <v>144</v>
      </c>
      <c r="C75">
        <v>8528</v>
      </c>
      <c r="D75">
        <v>8528</v>
      </c>
      <c r="E75">
        <v>8528</v>
      </c>
      <c r="F75">
        <v>8528</v>
      </c>
      <c r="G75">
        <v>8528</v>
      </c>
      <c r="H75">
        <v>8528</v>
      </c>
      <c r="I75">
        <v>8528</v>
      </c>
      <c r="J75">
        <v>8528</v>
      </c>
      <c r="K75">
        <v>8528</v>
      </c>
      <c r="AB75">
        <v>76752</v>
      </c>
      <c r="AC75">
        <v>383760</v>
      </c>
    </row>
    <row r="76" spans="1:29" x14ac:dyDescent="0.3">
      <c r="A76" t="s">
        <v>145</v>
      </c>
      <c r="C76">
        <v>8528</v>
      </c>
      <c r="D76">
        <v>8528</v>
      </c>
      <c r="E76">
        <v>8528</v>
      </c>
      <c r="F76">
        <v>8528</v>
      </c>
      <c r="G76">
        <v>8528</v>
      </c>
      <c r="H76">
        <v>8528</v>
      </c>
      <c r="I76">
        <v>8528</v>
      </c>
      <c r="J76">
        <v>8528</v>
      </c>
      <c r="K76">
        <v>8528</v>
      </c>
      <c r="L76">
        <v>8528</v>
      </c>
      <c r="AB76">
        <v>85280</v>
      </c>
      <c r="AC76">
        <v>469040</v>
      </c>
    </row>
    <row r="77" spans="1:29" x14ac:dyDescent="0.3">
      <c r="A77" t="s">
        <v>146</v>
      </c>
      <c r="C77">
        <v>8528</v>
      </c>
      <c r="D77">
        <v>8528</v>
      </c>
      <c r="E77">
        <v>8528</v>
      </c>
      <c r="F77">
        <v>8528</v>
      </c>
      <c r="G77">
        <v>8528</v>
      </c>
      <c r="H77">
        <v>8528</v>
      </c>
      <c r="I77">
        <v>8528</v>
      </c>
      <c r="J77">
        <v>8528</v>
      </c>
      <c r="K77">
        <v>8528</v>
      </c>
      <c r="L77">
        <v>8528</v>
      </c>
      <c r="M77">
        <v>8528</v>
      </c>
      <c r="AB77">
        <v>93808</v>
      </c>
      <c r="AC77">
        <v>562848</v>
      </c>
    </row>
    <row r="78" spans="1:29" x14ac:dyDescent="0.3">
      <c r="A78" t="s">
        <v>147</v>
      </c>
      <c r="C78">
        <v>8528</v>
      </c>
      <c r="D78">
        <v>8528</v>
      </c>
      <c r="E78">
        <v>8528</v>
      </c>
      <c r="F78">
        <v>8528</v>
      </c>
      <c r="G78">
        <v>8528</v>
      </c>
      <c r="H78">
        <v>8528</v>
      </c>
      <c r="I78">
        <v>8528</v>
      </c>
      <c r="J78">
        <v>8528</v>
      </c>
      <c r="K78">
        <v>8528</v>
      </c>
      <c r="L78">
        <v>8528</v>
      </c>
      <c r="M78">
        <v>8528</v>
      </c>
      <c r="N78">
        <v>8528</v>
      </c>
      <c r="AB78">
        <v>102336</v>
      </c>
      <c r="AC78">
        <v>665184</v>
      </c>
    </row>
    <row r="79" spans="1:29" x14ac:dyDescent="0.3">
      <c r="A79" t="s">
        <v>148</v>
      </c>
      <c r="C79">
        <v>8528</v>
      </c>
      <c r="D79">
        <v>8528</v>
      </c>
      <c r="E79">
        <v>8528</v>
      </c>
      <c r="F79">
        <v>8528</v>
      </c>
      <c r="G79">
        <v>8528</v>
      </c>
      <c r="H79">
        <v>8528</v>
      </c>
      <c r="I79">
        <v>8528</v>
      </c>
      <c r="J79">
        <v>8528</v>
      </c>
      <c r="K79">
        <v>8528</v>
      </c>
      <c r="L79">
        <v>8528</v>
      </c>
      <c r="M79">
        <v>8528</v>
      </c>
      <c r="N79">
        <v>8528</v>
      </c>
      <c r="O79">
        <v>8528</v>
      </c>
      <c r="AB79">
        <v>110864</v>
      </c>
      <c r="AC79">
        <v>776048</v>
      </c>
    </row>
    <row r="80" spans="1:29" x14ac:dyDescent="0.3">
      <c r="A80" t="s">
        <v>149</v>
      </c>
      <c r="C80">
        <v>8528</v>
      </c>
      <c r="D80">
        <v>8528</v>
      </c>
      <c r="E80">
        <v>8528</v>
      </c>
      <c r="F80">
        <v>8528</v>
      </c>
      <c r="G80">
        <v>8528</v>
      </c>
      <c r="H80">
        <v>8528</v>
      </c>
      <c r="I80">
        <v>8528</v>
      </c>
      <c r="J80">
        <v>8528</v>
      </c>
      <c r="K80">
        <v>8528</v>
      </c>
      <c r="L80">
        <v>8528</v>
      </c>
      <c r="M80">
        <v>8528</v>
      </c>
      <c r="N80">
        <v>8528</v>
      </c>
      <c r="O80">
        <v>8528</v>
      </c>
      <c r="P80">
        <v>8528</v>
      </c>
      <c r="AB80">
        <v>119392</v>
      </c>
      <c r="AC80">
        <v>895440</v>
      </c>
    </row>
    <row r="81" spans="1:29" x14ac:dyDescent="0.3">
      <c r="A81" t="s">
        <v>150</v>
      </c>
      <c r="C81">
        <v>8528</v>
      </c>
      <c r="D81">
        <v>8528</v>
      </c>
      <c r="E81">
        <v>8528</v>
      </c>
      <c r="F81">
        <v>8528</v>
      </c>
      <c r="G81">
        <v>8528</v>
      </c>
      <c r="H81">
        <v>8528</v>
      </c>
      <c r="I81">
        <v>8528</v>
      </c>
      <c r="J81">
        <v>8528</v>
      </c>
      <c r="K81">
        <v>8528</v>
      </c>
      <c r="L81">
        <v>8528</v>
      </c>
      <c r="M81">
        <v>8528</v>
      </c>
      <c r="N81">
        <v>8528</v>
      </c>
      <c r="O81">
        <v>8528</v>
      </c>
      <c r="P81">
        <v>8528</v>
      </c>
      <c r="Q81">
        <v>8528</v>
      </c>
      <c r="AB81">
        <v>127920</v>
      </c>
      <c r="AC81">
        <v>1023360</v>
      </c>
    </row>
    <row r="82" spans="1:29" x14ac:dyDescent="0.3">
      <c r="A82" t="s">
        <v>151</v>
      </c>
      <c r="C82">
        <v>8528</v>
      </c>
      <c r="D82">
        <v>8528</v>
      </c>
      <c r="E82">
        <v>8528</v>
      </c>
      <c r="F82">
        <v>8528</v>
      </c>
      <c r="G82">
        <v>8528</v>
      </c>
      <c r="H82">
        <v>8528</v>
      </c>
      <c r="I82">
        <v>8528</v>
      </c>
      <c r="J82">
        <v>8528</v>
      </c>
      <c r="K82">
        <v>8528</v>
      </c>
      <c r="L82">
        <v>8528</v>
      </c>
      <c r="M82">
        <v>8528</v>
      </c>
      <c r="N82">
        <v>8528</v>
      </c>
      <c r="O82">
        <v>8528</v>
      </c>
      <c r="P82">
        <v>8528</v>
      </c>
      <c r="Q82">
        <v>8528</v>
      </c>
      <c r="R82">
        <v>8528</v>
      </c>
      <c r="AB82">
        <v>136448</v>
      </c>
      <c r="AC82">
        <v>1159808</v>
      </c>
    </row>
    <row r="83" spans="1:29" x14ac:dyDescent="0.3">
      <c r="A83" t="s">
        <v>152</v>
      </c>
      <c r="C83">
        <v>8528</v>
      </c>
      <c r="D83">
        <v>8528</v>
      </c>
      <c r="E83">
        <v>8528</v>
      </c>
      <c r="F83">
        <v>8528</v>
      </c>
      <c r="G83">
        <v>8528</v>
      </c>
      <c r="H83">
        <v>8528</v>
      </c>
      <c r="I83">
        <v>8528</v>
      </c>
      <c r="J83">
        <v>8528</v>
      </c>
      <c r="K83">
        <v>8528</v>
      </c>
      <c r="L83">
        <v>8528</v>
      </c>
      <c r="M83">
        <v>8528</v>
      </c>
      <c r="N83">
        <v>8528</v>
      </c>
      <c r="O83">
        <v>8528</v>
      </c>
      <c r="P83">
        <v>8528</v>
      </c>
      <c r="Q83">
        <v>8528</v>
      </c>
      <c r="R83">
        <v>8528</v>
      </c>
      <c r="S83">
        <v>8528</v>
      </c>
      <c r="AB83">
        <v>144976</v>
      </c>
      <c r="AC83">
        <v>1304784</v>
      </c>
    </row>
    <row r="84" spans="1:29" x14ac:dyDescent="0.3">
      <c r="A84" t="s">
        <v>153</v>
      </c>
      <c r="C84">
        <v>8528</v>
      </c>
      <c r="D84">
        <v>8528</v>
      </c>
      <c r="E84">
        <v>8528</v>
      </c>
      <c r="F84">
        <v>8528</v>
      </c>
      <c r="G84">
        <v>8528</v>
      </c>
      <c r="H84">
        <v>8528</v>
      </c>
      <c r="I84">
        <v>8528</v>
      </c>
      <c r="J84">
        <v>8528</v>
      </c>
      <c r="K84">
        <v>8528</v>
      </c>
      <c r="L84">
        <v>8528</v>
      </c>
      <c r="M84">
        <v>8528</v>
      </c>
      <c r="N84">
        <v>8528</v>
      </c>
      <c r="O84">
        <v>8528</v>
      </c>
      <c r="P84">
        <v>8528</v>
      </c>
      <c r="Q84">
        <v>8528</v>
      </c>
      <c r="R84">
        <v>8528</v>
      </c>
      <c r="S84">
        <v>8528</v>
      </c>
      <c r="T84">
        <v>8528</v>
      </c>
      <c r="AB84">
        <v>153504</v>
      </c>
      <c r="AC84">
        <v>1458288</v>
      </c>
    </row>
    <row r="85" spans="1:29" x14ac:dyDescent="0.3">
      <c r="A85" t="s">
        <v>154</v>
      </c>
      <c r="C85">
        <v>8528</v>
      </c>
      <c r="D85">
        <v>8528</v>
      </c>
      <c r="E85">
        <v>8528</v>
      </c>
      <c r="F85">
        <v>8528</v>
      </c>
      <c r="G85">
        <v>8528</v>
      </c>
      <c r="H85">
        <v>8528</v>
      </c>
      <c r="I85">
        <v>8528</v>
      </c>
      <c r="J85">
        <v>8528</v>
      </c>
      <c r="K85">
        <v>8528</v>
      </c>
      <c r="L85">
        <v>8528</v>
      </c>
      <c r="M85">
        <v>8528</v>
      </c>
      <c r="N85">
        <v>8528</v>
      </c>
      <c r="O85">
        <v>8528</v>
      </c>
      <c r="P85">
        <v>8528</v>
      </c>
      <c r="Q85">
        <v>8528</v>
      </c>
      <c r="R85">
        <v>8528</v>
      </c>
      <c r="S85">
        <v>8528</v>
      </c>
      <c r="T85">
        <v>8528</v>
      </c>
      <c r="U85">
        <v>8528</v>
      </c>
      <c r="AB85">
        <v>162032</v>
      </c>
      <c r="AC85">
        <v>1620320</v>
      </c>
    </row>
    <row r="86" spans="1:29" x14ac:dyDescent="0.3">
      <c r="A86" t="s">
        <v>155</v>
      </c>
      <c r="C86">
        <v>8528</v>
      </c>
      <c r="D86">
        <v>8528</v>
      </c>
      <c r="E86">
        <v>8528</v>
      </c>
      <c r="F86">
        <v>8528</v>
      </c>
      <c r="G86">
        <v>8528</v>
      </c>
      <c r="H86">
        <v>8528</v>
      </c>
      <c r="I86">
        <v>8528</v>
      </c>
      <c r="J86">
        <v>8528</v>
      </c>
      <c r="K86">
        <v>8528</v>
      </c>
      <c r="L86">
        <v>8528</v>
      </c>
      <c r="M86">
        <v>8528</v>
      </c>
      <c r="N86">
        <v>8528</v>
      </c>
      <c r="O86">
        <v>8528</v>
      </c>
      <c r="P86">
        <v>8528</v>
      </c>
      <c r="Q86">
        <v>8528</v>
      </c>
      <c r="R86">
        <v>8528</v>
      </c>
      <c r="S86">
        <v>8528</v>
      </c>
      <c r="T86">
        <v>8528</v>
      </c>
      <c r="U86">
        <v>8528</v>
      </c>
      <c r="V86">
        <v>8528</v>
      </c>
      <c r="AB86">
        <v>170560</v>
      </c>
      <c r="AC86">
        <v>1790880</v>
      </c>
    </row>
    <row r="87" spans="1:29" x14ac:dyDescent="0.3">
      <c r="A87" t="s">
        <v>156</v>
      </c>
      <c r="C87">
        <v>8528</v>
      </c>
      <c r="D87">
        <v>8528</v>
      </c>
      <c r="E87">
        <v>8528</v>
      </c>
      <c r="F87">
        <v>8528</v>
      </c>
      <c r="G87">
        <v>8528</v>
      </c>
      <c r="H87">
        <v>8528</v>
      </c>
      <c r="I87">
        <v>8528</v>
      </c>
      <c r="J87">
        <v>8528</v>
      </c>
      <c r="K87">
        <v>8528</v>
      </c>
      <c r="L87">
        <v>8528</v>
      </c>
      <c r="M87">
        <v>8528</v>
      </c>
      <c r="N87">
        <v>8528</v>
      </c>
      <c r="O87">
        <v>8528</v>
      </c>
      <c r="P87">
        <v>8528</v>
      </c>
      <c r="Q87">
        <v>8528</v>
      </c>
      <c r="R87">
        <v>8528</v>
      </c>
      <c r="S87">
        <v>8528</v>
      </c>
      <c r="T87">
        <v>8528</v>
      </c>
      <c r="U87">
        <v>8528</v>
      </c>
      <c r="V87">
        <v>8528</v>
      </c>
      <c r="W87">
        <v>8528</v>
      </c>
      <c r="AB87">
        <v>179088</v>
      </c>
      <c r="AC87">
        <v>1969968</v>
      </c>
    </row>
    <row r="88" spans="1:29" x14ac:dyDescent="0.3">
      <c r="A88" t="s">
        <v>157</v>
      </c>
      <c r="C88">
        <v>8528</v>
      </c>
      <c r="D88">
        <v>8528</v>
      </c>
      <c r="E88">
        <v>8528</v>
      </c>
      <c r="F88">
        <v>8528</v>
      </c>
      <c r="G88">
        <v>8528</v>
      </c>
      <c r="H88">
        <v>8528</v>
      </c>
      <c r="I88">
        <v>8528</v>
      </c>
      <c r="J88">
        <v>8528</v>
      </c>
      <c r="K88">
        <v>8528</v>
      </c>
      <c r="L88">
        <v>8528</v>
      </c>
      <c r="M88">
        <v>8528</v>
      </c>
      <c r="N88">
        <v>8528</v>
      </c>
      <c r="O88">
        <v>8528</v>
      </c>
      <c r="P88">
        <v>8528</v>
      </c>
      <c r="Q88">
        <v>8528</v>
      </c>
      <c r="R88">
        <v>8528</v>
      </c>
      <c r="S88">
        <v>8528</v>
      </c>
      <c r="T88">
        <v>8528</v>
      </c>
      <c r="U88">
        <v>8528</v>
      </c>
      <c r="V88">
        <v>8528</v>
      </c>
      <c r="W88">
        <v>8528</v>
      </c>
      <c r="X88">
        <v>8528</v>
      </c>
      <c r="AB88">
        <v>187616</v>
      </c>
      <c r="AC88">
        <v>2157584</v>
      </c>
    </row>
    <row r="89" spans="1:29" x14ac:dyDescent="0.3">
      <c r="A89" t="s">
        <v>158</v>
      </c>
      <c r="C89">
        <v>8528</v>
      </c>
      <c r="D89">
        <v>8528</v>
      </c>
      <c r="E89">
        <v>8528</v>
      </c>
      <c r="F89">
        <v>8528</v>
      </c>
      <c r="G89">
        <v>8528</v>
      </c>
      <c r="H89">
        <v>8528</v>
      </c>
      <c r="I89">
        <v>8528</v>
      </c>
      <c r="J89">
        <v>8528</v>
      </c>
      <c r="K89">
        <v>8528</v>
      </c>
      <c r="L89">
        <v>8528</v>
      </c>
      <c r="M89">
        <v>8528</v>
      </c>
      <c r="N89">
        <v>8528</v>
      </c>
      <c r="O89">
        <v>8528</v>
      </c>
      <c r="P89">
        <v>8528</v>
      </c>
      <c r="Q89">
        <v>8528</v>
      </c>
      <c r="R89">
        <v>8528</v>
      </c>
      <c r="S89">
        <v>8528</v>
      </c>
      <c r="T89">
        <v>8528</v>
      </c>
      <c r="U89">
        <v>8528</v>
      </c>
      <c r="V89">
        <v>8528</v>
      </c>
      <c r="W89">
        <v>8528</v>
      </c>
      <c r="X89">
        <v>8528</v>
      </c>
      <c r="Y89">
        <v>8528</v>
      </c>
      <c r="AB89">
        <v>196144</v>
      </c>
      <c r="AC89">
        <v>2353728</v>
      </c>
    </row>
    <row r="90" spans="1:29" x14ac:dyDescent="0.3">
      <c r="A90" t="s">
        <v>159</v>
      </c>
      <c r="C90">
        <v>8528</v>
      </c>
      <c r="D90">
        <v>8528</v>
      </c>
      <c r="E90">
        <v>8528</v>
      </c>
      <c r="F90">
        <v>8528</v>
      </c>
      <c r="G90">
        <v>8528</v>
      </c>
      <c r="H90">
        <v>8528</v>
      </c>
      <c r="I90">
        <v>8528</v>
      </c>
      <c r="J90">
        <v>8528</v>
      </c>
      <c r="K90">
        <v>8528</v>
      </c>
      <c r="L90">
        <v>8528</v>
      </c>
      <c r="M90">
        <v>8528</v>
      </c>
      <c r="N90">
        <v>8528</v>
      </c>
      <c r="O90">
        <v>8528</v>
      </c>
      <c r="P90">
        <v>8528</v>
      </c>
      <c r="Q90">
        <v>8528</v>
      </c>
      <c r="R90">
        <v>8528</v>
      </c>
      <c r="S90">
        <v>8528</v>
      </c>
      <c r="T90">
        <v>8528</v>
      </c>
      <c r="U90">
        <v>8528</v>
      </c>
      <c r="V90">
        <v>8528</v>
      </c>
      <c r="W90">
        <v>8528</v>
      </c>
      <c r="X90">
        <v>8528</v>
      </c>
      <c r="Y90">
        <v>8528</v>
      </c>
      <c r="Z90">
        <v>8528</v>
      </c>
      <c r="AB90">
        <v>204672</v>
      </c>
      <c r="AC90">
        <v>2558400</v>
      </c>
    </row>
    <row r="91" spans="1:29" x14ac:dyDescent="0.3">
      <c r="A91" t="s">
        <v>160</v>
      </c>
      <c r="C91">
        <v>8528</v>
      </c>
      <c r="D91">
        <v>8528</v>
      </c>
      <c r="E91">
        <v>8528</v>
      </c>
      <c r="F91">
        <v>8528</v>
      </c>
      <c r="G91">
        <v>8528</v>
      </c>
      <c r="H91">
        <v>8528</v>
      </c>
      <c r="I91">
        <v>8528</v>
      </c>
      <c r="J91">
        <v>8528</v>
      </c>
      <c r="K91">
        <v>8528</v>
      </c>
      <c r="L91">
        <v>8528</v>
      </c>
      <c r="M91">
        <v>8528</v>
      </c>
      <c r="N91">
        <v>8528</v>
      </c>
      <c r="O91">
        <v>8528</v>
      </c>
      <c r="P91">
        <v>8528</v>
      </c>
      <c r="Q91">
        <v>8528</v>
      </c>
      <c r="R91">
        <v>8528</v>
      </c>
      <c r="S91">
        <v>8528</v>
      </c>
      <c r="T91">
        <v>8528</v>
      </c>
      <c r="U91">
        <v>8528</v>
      </c>
      <c r="V91">
        <v>8528</v>
      </c>
      <c r="W91">
        <v>8528</v>
      </c>
      <c r="X91">
        <v>8528</v>
      </c>
      <c r="Y91">
        <v>8528</v>
      </c>
      <c r="Z91">
        <v>8528</v>
      </c>
      <c r="AA91">
        <v>8528</v>
      </c>
      <c r="AB91">
        <v>213200</v>
      </c>
      <c r="AC91">
        <v>2771600</v>
      </c>
    </row>
    <row r="92" spans="1:29" x14ac:dyDescent="0.3">
      <c r="AB92">
        <v>2771600</v>
      </c>
      <c r="AC92">
        <v>10171772</v>
      </c>
    </row>
    <row r="93" spans="1:29" x14ac:dyDescent="0.3">
      <c r="AB93">
        <v>4.056</v>
      </c>
    </row>
    <row r="98" spans="1:29" x14ac:dyDescent="0.3">
      <c r="A98" t="s">
        <v>168</v>
      </c>
      <c r="B98">
        <v>1993</v>
      </c>
      <c r="C98">
        <v>1994</v>
      </c>
      <c r="D98">
        <v>1995</v>
      </c>
      <c r="E98">
        <v>1996</v>
      </c>
      <c r="F98">
        <v>1997</v>
      </c>
      <c r="G98">
        <v>1998</v>
      </c>
      <c r="H98">
        <v>1999</v>
      </c>
      <c r="I98">
        <v>2000</v>
      </c>
      <c r="J98">
        <v>2001</v>
      </c>
      <c r="K98">
        <v>2002</v>
      </c>
      <c r="L98">
        <v>2003</v>
      </c>
      <c r="M98">
        <v>2004</v>
      </c>
      <c r="N98">
        <v>2005</v>
      </c>
      <c r="O98">
        <v>2006</v>
      </c>
      <c r="P98">
        <v>2007</v>
      </c>
      <c r="Q98">
        <v>2008</v>
      </c>
      <c r="R98">
        <v>2009</v>
      </c>
      <c r="S98">
        <v>2010</v>
      </c>
      <c r="T98">
        <v>2011</v>
      </c>
      <c r="U98">
        <v>2012</v>
      </c>
      <c r="V98">
        <v>2013</v>
      </c>
      <c r="W98">
        <v>2014</v>
      </c>
      <c r="X98">
        <v>2015</v>
      </c>
      <c r="Y98">
        <v>2016</v>
      </c>
      <c r="Z98">
        <v>2017</v>
      </c>
      <c r="AA98">
        <v>2018</v>
      </c>
    </row>
    <row r="99" spans="1:29" x14ac:dyDescent="0.3">
      <c r="A99" t="s">
        <v>169</v>
      </c>
      <c r="B99">
        <v>0</v>
      </c>
      <c r="C99">
        <v>0.13</v>
      </c>
      <c r="D99">
        <v>0.41</v>
      </c>
      <c r="E99">
        <v>0.85</v>
      </c>
      <c r="F99">
        <v>1.37</v>
      </c>
      <c r="G99">
        <v>2.42</v>
      </c>
      <c r="H99">
        <v>2.42</v>
      </c>
      <c r="I99">
        <v>2.42</v>
      </c>
      <c r="J99">
        <v>0.78</v>
      </c>
      <c r="K99">
        <v>1.64</v>
      </c>
      <c r="L99">
        <v>1.64</v>
      </c>
      <c r="M99">
        <v>1.64</v>
      </c>
      <c r="N99">
        <v>1.98</v>
      </c>
      <c r="O99">
        <v>1.1200000000000001</v>
      </c>
      <c r="P99">
        <v>1.41</v>
      </c>
      <c r="Q99">
        <v>1.91</v>
      </c>
      <c r="R99">
        <v>1.83</v>
      </c>
      <c r="S99">
        <v>1.0900000000000001</v>
      </c>
      <c r="T99">
        <v>0.96</v>
      </c>
      <c r="U99">
        <v>0.76</v>
      </c>
      <c r="V99">
        <v>1.28</v>
      </c>
      <c r="W99">
        <v>0.88</v>
      </c>
      <c r="X99">
        <v>0.75</v>
      </c>
      <c r="Y99">
        <v>0.23</v>
      </c>
      <c r="Z99">
        <v>0.2</v>
      </c>
      <c r="AA99">
        <v>0.57999999999999996</v>
      </c>
    </row>
    <row r="100" spans="1:29" x14ac:dyDescent="0.3">
      <c r="A100" t="s">
        <v>163</v>
      </c>
      <c r="B100">
        <v>0</v>
      </c>
      <c r="C100">
        <v>2132</v>
      </c>
      <c r="AB100">
        <v>2132</v>
      </c>
      <c r="AC100">
        <v>2132</v>
      </c>
    </row>
    <row r="101" spans="1:29" x14ac:dyDescent="0.3">
      <c r="A101" t="s">
        <v>164</v>
      </c>
      <c r="B101">
        <v>0</v>
      </c>
      <c r="C101">
        <v>2132</v>
      </c>
      <c r="D101">
        <v>6724</v>
      </c>
      <c r="AB101">
        <v>8856</v>
      </c>
      <c r="AC101">
        <v>10988</v>
      </c>
    </row>
    <row r="102" spans="1:29" x14ac:dyDescent="0.3">
      <c r="A102" t="s">
        <v>138</v>
      </c>
      <c r="B102">
        <v>0</v>
      </c>
      <c r="C102">
        <v>2132</v>
      </c>
      <c r="D102">
        <v>6724</v>
      </c>
      <c r="E102">
        <v>13940</v>
      </c>
      <c r="AB102">
        <v>22796</v>
      </c>
      <c r="AC102">
        <v>33784</v>
      </c>
    </row>
    <row r="103" spans="1:29" x14ac:dyDescent="0.3">
      <c r="A103" t="s">
        <v>139</v>
      </c>
      <c r="B103">
        <v>0</v>
      </c>
      <c r="C103">
        <v>2132</v>
      </c>
      <c r="D103">
        <v>6724</v>
      </c>
      <c r="E103">
        <v>13940</v>
      </c>
      <c r="F103">
        <v>22468</v>
      </c>
      <c r="AB103">
        <v>45264</v>
      </c>
      <c r="AC103">
        <v>79048</v>
      </c>
    </row>
    <row r="104" spans="1:29" x14ac:dyDescent="0.3">
      <c r="A104" t="s">
        <v>140</v>
      </c>
      <c r="B104">
        <v>0</v>
      </c>
      <c r="C104">
        <v>2132</v>
      </c>
      <c r="D104">
        <v>6724</v>
      </c>
      <c r="E104">
        <v>13940</v>
      </c>
      <c r="F104">
        <v>22468</v>
      </c>
      <c r="G104">
        <v>39688</v>
      </c>
      <c r="AB104">
        <v>84952</v>
      </c>
      <c r="AC104">
        <v>164000</v>
      </c>
    </row>
    <row r="105" spans="1:29" x14ac:dyDescent="0.3">
      <c r="A105" t="s">
        <v>141</v>
      </c>
      <c r="B105">
        <v>0</v>
      </c>
      <c r="C105">
        <v>2132</v>
      </c>
      <c r="D105">
        <v>6724</v>
      </c>
      <c r="E105">
        <v>13940</v>
      </c>
      <c r="F105">
        <v>22468</v>
      </c>
      <c r="G105">
        <v>39688</v>
      </c>
      <c r="H105">
        <v>39688</v>
      </c>
      <c r="AB105">
        <v>124640</v>
      </c>
      <c r="AC105">
        <v>288640</v>
      </c>
    </row>
    <row r="106" spans="1:29" x14ac:dyDescent="0.3">
      <c r="A106" t="s">
        <v>142</v>
      </c>
      <c r="B106">
        <v>0</v>
      </c>
      <c r="C106">
        <v>2132</v>
      </c>
      <c r="D106">
        <v>6724</v>
      </c>
      <c r="E106">
        <v>13940</v>
      </c>
      <c r="F106">
        <v>22468</v>
      </c>
      <c r="G106">
        <v>39688</v>
      </c>
      <c r="H106">
        <v>39688</v>
      </c>
      <c r="I106">
        <v>39688</v>
      </c>
      <c r="AB106">
        <v>164328</v>
      </c>
      <c r="AC106">
        <v>452968</v>
      </c>
    </row>
    <row r="107" spans="1:29" x14ac:dyDescent="0.3">
      <c r="A107" t="s">
        <v>143</v>
      </c>
      <c r="B107">
        <v>0</v>
      </c>
      <c r="C107">
        <v>2132</v>
      </c>
      <c r="D107">
        <v>6724</v>
      </c>
      <c r="E107">
        <v>13940</v>
      </c>
      <c r="F107">
        <v>22468</v>
      </c>
      <c r="G107">
        <v>39688</v>
      </c>
      <c r="H107">
        <v>39688</v>
      </c>
      <c r="I107">
        <v>39688</v>
      </c>
      <c r="J107">
        <v>12792</v>
      </c>
      <c r="AB107">
        <v>177120</v>
      </c>
      <c r="AC107">
        <v>630088</v>
      </c>
    </row>
    <row r="108" spans="1:29" x14ac:dyDescent="0.3">
      <c r="A108" t="s">
        <v>144</v>
      </c>
      <c r="B108">
        <v>0</v>
      </c>
      <c r="C108">
        <v>2132</v>
      </c>
      <c r="D108">
        <v>6724</v>
      </c>
      <c r="E108">
        <v>13940</v>
      </c>
      <c r="F108">
        <v>22468</v>
      </c>
      <c r="G108">
        <v>39688</v>
      </c>
      <c r="H108">
        <v>39688</v>
      </c>
      <c r="I108">
        <v>39688</v>
      </c>
      <c r="J108">
        <v>12792</v>
      </c>
      <c r="K108">
        <v>26896</v>
      </c>
      <c r="AB108">
        <v>204016</v>
      </c>
      <c r="AC108">
        <v>834104</v>
      </c>
    </row>
    <row r="109" spans="1:29" x14ac:dyDescent="0.3">
      <c r="A109" t="s">
        <v>145</v>
      </c>
      <c r="B109">
        <v>0</v>
      </c>
      <c r="C109">
        <v>2132</v>
      </c>
      <c r="D109">
        <v>6724</v>
      </c>
      <c r="E109">
        <v>13940</v>
      </c>
      <c r="F109">
        <v>22468</v>
      </c>
      <c r="G109">
        <v>39688</v>
      </c>
      <c r="H109">
        <v>39688</v>
      </c>
      <c r="I109">
        <v>39688</v>
      </c>
      <c r="J109">
        <v>12792</v>
      </c>
      <c r="K109">
        <v>26896</v>
      </c>
      <c r="L109">
        <v>26896</v>
      </c>
      <c r="AB109">
        <v>230912</v>
      </c>
      <c r="AC109">
        <v>1065016</v>
      </c>
    </row>
    <row r="110" spans="1:29" x14ac:dyDescent="0.3">
      <c r="A110" t="s">
        <v>146</v>
      </c>
      <c r="B110">
        <v>0</v>
      </c>
      <c r="C110">
        <v>2132</v>
      </c>
      <c r="D110">
        <v>6724</v>
      </c>
      <c r="E110">
        <v>13940</v>
      </c>
      <c r="F110">
        <v>22468</v>
      </c>
      <c r="G110">
        <v>39688</v>
      </c>
      <c r="H110">
        <v>39688</v>
      </c>
      <c r="I110">
        <v>39688</v>
      </c>
      <c r="J110">
        <v>12792</v>
      </c>
      <c r="K110">
        <v>26896</v>
      </c>
      <c r="L110">
        <v>26896</v>
      </c>
      <c r="M110">
        <v>26896</v>
      </c>
      <c r="AB110">
        <v>257808</v>
      </c>
      <c r="AC110">
        <v>1322824</v>
      </c>
    </row>
    <row r="111" spans="1:29" x14ac:dyDescent="0.3">
      <c r="A111" t="s">
        <v>147</v>
      </c>
      <c r="B111">
        <v>0</v>
      </c>
      <c r="C111">
        <v>2132</v>
      </c>
      <c r="D111">
        <v>6724</v>
      </c>
      <c r="E111">
        <v>13940</v>
      </c>
      <c r="F111">
        <v>22468</v>
      </c>
      <c r="G111">
        <v>39688</v>
      </c>
      <c r="H111">
        <v>39688</v>
      </c>
      <c r="I111">
        <v>39688</v>
      </c>
      <c r="J111">
        <v>12792</v>
      </c>
      <c r="K111">
        <v>26896</v>
      </c>
      <c r="L111">
        <v>26896</v>
      </c>
      <c r="M111">
        <v>26896</v>
      </c>
      <c r="N111">
        <v>32472</v>
      </c>
      <c r="AB111">
        <v>290280</v>
      </c>
      <c r="AC111">
        <v>1613104</v>
      </c>
    </row>
    <row r="112" spans="1:29" x14ac:dyDescent="0.3">
      <c r="A112" t="s">
        <v>148</v>
      </c>
      <c r="B112">
        <v>0</v>
      </c>
      <c r="C112">
        <v>2132</v>
      </c>
      <c r="D112">
        <v>6724</v>
      </c>
      <c r="E112">
        <v>13940</v>
      </c>
      <c r="F112">
        <v>22468</v>
      </c>
      <c r="G112">
        <v>39688</v>
      </c>
      <c r="H112">
        <v>39688</v>
      </c>
      <c r="I112">
        <v>39688</v>
      </c>
      <c r="J112">
        <v>12792</v>
      </c>
      <c r="K112">
        <v>26896</v>
      </c>
      <c r="L112">
        <v>26896</v>
      </c>
      <c r="M112">
        <v>26896</v>
      </c>
      <c r="N112">
        <v>32472</v>
      </c>
      <c r="O112">
        <v>18368</v>
      </c>
      <c r="AB112">
        <v>308648</v>
      </c>
      <c r="AC112">
        <v>1921752</v>
      </c>
    </row>
    <row r="113" spans="1:29" x14ac:dyDescent="0.3">
      <c r="A113" t="s">
        <v>149</v>
      </c>
      <c r="B113">
        <v>0</v>
      </c>
      <c r="C113">
        <v>2132</v>
      </c>
      <c r="D113">
        <v>6724</v>
      </c>
      <c r="E113">
        <v>13940</v>
      </c>
      <c r="F113">
        <v>22468</v>
      </c>
      <c r="G113">
        <v>39688</v>
      </c>
      <c r="H113">
        <v>39688</v>
      </c>
      <c r="I113">
        <v>39688</v>
      </c>
      <c r="J113">
        <v>12792</v>
      </c>
      <c r="K113">
        <v>26896</v>
      </c>
      <c r="L113">
        <v>26896</v>
      </c>
      <c r="M113">
        <v>26896</v>
      </c>
      <c r="N113">
        <v>32472</v>
      </c>
      <c r="O113">
        <v>18368</v>
      </c>
      <c r="P113">
        <v>23124</v>
      </c>
      <c r="AB113">
        <v>331772</v>
      </c>
      <c r="AC113">
        <v>2253524</v>
      </c>
    </row>
    <row r="114" spans="1:29" x14ac:dyDescent="0.3">
      <c r="A114" t="s">
        <v>150</v>
      </c>
      <c r="B114">
        <v>0</v>
      </c>
      <c r="C114">
        <v>2132</v>
      </c>
      <c r="D114">
        <v>6724</v>
      </c>
      <c r="E114">
        <v>13940</v>
      </c>
      <c r="F114">
        <v>22468</v>
      </c>
      <c r="G114">
        <v>39688</v>
      </c>
      <c r="H114">
        <v>39688</v>
      </c>
      <c r="I114">
        <v>39688</v>
      </c>
      <c r="J114">
        <v>12792</v>
      </c>
      <c r="K114">
        <v>26896</v>
      </c>
      <c r="L114">
        <v>26896</v>
      </c>
      <c r="M114">
        <v>26896</v>
      </c>
      <c r="N114">
        <v>32472</v>
      </c>
      <c r="O114">
        <v>18368</v>
      </c>
      <c r="P114">
        <v>23124</v>
      </c>
      <c r="Q114">
        <v>31324</v>
      </c>
      <c r="AB114">
        <v>363096</v>
      </c>
      <c r="AC114">
        <v>2616620</v>
      </c>
    </row>
    <row r="115" spans="1:29" x14ac:dyDescent="0.3">
      <c r="A115" t="s">
        <v>151</v>
      </c>
      <c r="B115">
        <v>0</v>
      </c>
      <c r="C115">
        <v>2132</v>
      </c>
      <c r="D115">
        <v>6724</v>
      </c>
      <c r="E115">
        <v>13940</v>
      </c>
      <c r="F115">
        <v>22468</v>
      </c>
      <c r="G115">
        <v>39688</v>
      </c>
      <c r="H115">
        <v>39688</v>
      </c>
      <c r="I115">
        <v>39688</v>
      </c>
      <c r="J115">
        <v>12792</v>
      </c>
      <c r="K115">
        <v>26896</v>
      </c>
      <c r="L115">
        <v>26896</v>
      </c>
      <c r="M115">
        <v>26896</v>
      </c>
      <c r="N115">
        <v>32472</v>
      </c>
      <c r="O115">
        <v>18368</v>
      </c>
      <c r="P115">
        <v>23124</v>
      </c>
      <c r="Q115">
        <v>31324</v>
      </c>
      <c r="R115">
        <v>30012</v>
      </c>
      <c r="AB115">
        <v>393108</v>
      </c>
      <c r="AC115">
        <v>3009728</v>
      </c>
    </row>
    <row r="116" spans="1:29" x14ac:dyDescent="0.3">
      <c r="A116" t="s">
        <v>152</v>
      </c>
      <c r="B116">
        <v>0</v>
      </c>
      <c r="C116">
        <v>2132</v>
      </c>
      <c r="D116">
        <v>6724</v>
      </c>
      <c r="E116">
        <v>13940</v>
      </c>
      <c r="F116">
        <v>22468</v>
      </c>
      <c r="G116">
        <v>39688</v>
      </c>
      <c r="H116">
        <v>39688</v>
      </c>
      <c r="I116">
        <v>39688</v>
      </c>
      <c r="J116">
        <v>12792</v>
      </c>
      <c r="K116">
        <v>26896</v>
      </c>
      <c r="L116">
        <v>26896</v>
      </c>
      <c r="M116">
        <v>26896</v>
      </c>
      <c r="N116">
        <v>32472</v>
      </c>
      <c r="O116">
        <v>18368</v>
      </c>
      <c r="P116">
        <v>23124</v>
      </c>
      <c r="Q116">
        <v>31324</v>
      </c>
      <c r="R116">
        <v>30012</v>
      </c>
      <c r="S116">
        <v>17876</v>
      </c>
      <c r="AB116">
        <v>410984</v>
      </c>
      <c r="AC116">
        <v>3420712</v>
      </c>
    </row>
    <row r="117" spans="1:29" x14ac:dyDescent="0.3">
      <c r="A117" t="s">
        <v>153</v>
      </c>
      <c r="B117">
        <v>0</v>
      </c>
      <c r="C117">
        <v>2132</v>
      </c>
      <c r="D117">
        <v>6724</v>
      </c>
      <c r="E117">
        <v>13940</v>
      </c>
      <c r="F117">
        <v>22468</v>
      </c>
      <c r="G117">
        <v>39688</v>
      </c>
      <c r="H117">
        <v>39688</v>
      </c>
      <c r="I117">
        <v>39688</v>
      </c>
      <c r="J117">
        <v>12792</v>
      </c>
      <c r="K117">
        <v>26896</v>
      </c>
      <c r="L117">
        <v>26896</v>
      </c>
      <c r="M117">
        <v>26896</v>
      </c>
      <c r="N117">
        <v>32472</v>
      </c>
      <c r="O117">
        <v>18368</v>
      </c>
      <c r="P117">
        <v>23124</v>
      </c>
      <c r="Q117">
        <v>31324</v>
      </c>
      <c r="R117">
        <v>30012</v>
      </c>
      <c r="S117">
        <v>17876</v>
      </c>
      <c r="T117">
        <v>15744</v>
      </c>
      <c r="AB117">
        <v>426728</v>
      </c>
      <c r="AC117">
        <v>3847440</v>
      </c>
    </row>
    <row r="118" spans="1:29" x14ac:dyDescent="0.3">
      <c r="A118" t="s">
        <v>154</v>
      </c>
      <c r="B118">
        <v>0</v>
      </c>
      <c r="C118">
        <v>2132</v>
      </c>
      <c r="D118">
        <v>6724</v>
      </c>
      <c r="E118">
        <v>13940</v>
      </c>
      <c r="F118">
        <v>22468</v>
      </c>
      <c r="G118">
        <v>39688</v>
      </c>
      <c r="H118">
        <v>39688</v>
      </c>
      <c r="I118">
        <v>39688</v>
      </c>
      <c r="J118">
        <v>12792</v>
      </c>
      <c r="K118">
        <v>26896</v>
      </c>
      <c r="L118">
        <v>26896</v>
      </c>
      <c r="M118">
        <v>26896</v>
      </c>
      <c r="N118">
        <v>32472</v>
      </c>
      <c r="O118">
        <v>18368</v>
      </c>
      <c r="P118">
        <v>23124</v>
      </c>
      <c r="Q118">
        <v>31324</v>
      </c>
      <c r="R118">
        <v>30012</v>
      </c>
      <c r="S118">
        <v>17876</v>
      </c>
      <c r="T118">
        <v>15744</v>
      </c>
      <c r="U118">
        <v>12464</v>
      </c>
      <c r="AB118">
        <v>439192</v>
      </c>
      <c r="AC118">
        <v>4286632</v>
      </c>
    </row>
    <row r="119" spans="1:29" x14ac:dyDescent="0.3">
      <c r="A119" t="s">
        <v>155</v>
      </c>
      <c r="B119">
        <v>0</v>
      </c>
      <c r="C119">
        <v>2132</v>
      </c>
      <c r="D119">
        <v>6724</v>
      </c>
      <c r="E119">
        <v>13940</v>
      </c>
      <c r="F119">
        <v>22468</v>
      </c>
      <c r="G119">
        <v>39688</v>
      </c>
      <c r="H119">
        <v>39688</v>
      </c>
      <c r="I119">
        <v>39688</v>
      </c>
      <c r="J119">
        <v>12792</v>
      </c>
      <c r="K119">
        <v>26896</v>
      </c>
      <c r="L119">
        <v>26896</v>
      </c>
      <c r="M119">
        <v>26896</v>
      </c>
      <c r="N119">
        <v>32472</v>
      </c>
      <c r="O119">
        <v>18368</v>
      </c>
      <c r="P119">
        <v>23124</v>
      </c>
      <c r="Q119">
        <v>31324</v>
      </c>
      <c r="R119">
        <v>30012</v>
      </c>
      <c r="S119">
        <v>17876</v>
      </c>
      <c r="T119">
        <v>15744</v>
      </c>
      <c r="U119">
        <v>12464</v>
      </c>
      <c r="V119">
        <v>20992</v>
      </c>
      <c r="AB119">
        <v>460184</v>
      </c>
      <c r="AC119">
        <v>4746816</v>
      </c>
    </row>
    <row r="120" spans="1:29" x14ac:dyDescent="0.3">
      <c r="A120" t="s">
        <v>156</v>
      </c>
      <c r="B120">
        <v>0</v>
      </c>
      <c r="C120">
        <v>2132</v>
      </c>
      <c r="D120">
        <v>6724</v>
      </c>
      <c r="E120">
        <v>13940</v>
      </c>
      <c r="F120">
        <v>22468</v>
      </c>
      <c r="G120">
        <v>39688</v>
      </c>
      <c r="H120">
        <v>39688</v>
      </c>
      <c r="I120">
        <v>39688</v>
      </c>
      <c r="J120">
        <v>12792</v>
      </c>
      <c r="K120">
        <v>26896</v>
      </c>
      <c r="L120">
        <v>26896</v>
      </c>
      <c r="M120">
        <v>26896</v>
      </c>
      <c r="N120">
        <v>32472</v>
      </c>
      <c r="O120">
        <v>18368</v>
      </c>
      <c r="P120">
        <v>23124</v>
      </c>
      <c r="Q120">
        <v>31324</v>
      </c>
      <c r="R120">
        <v>30012</v>
      </c>
      <c r="S120">
        <v>17876</v>
      </c>
      <c r="T120">
        <v>15744</v>
      </c>
      <c r="U120">
        <v>12464</v>
      </c>
      <c r="V120">
        <v>20992</v>
      </c>
      <c r="W120">
        <v>14432</v>
      </c>
      <c r="AB120">
        <v>474616</v>
      </c>
      <c r="AC120">
        <v>5221432</v>
      </c>
    </row>
    <row r="121" spans="1:29" x14ac:dyDescent="0.3">
      <c r="A121" t="s">
        <v>157</v>
      </c>
      <c r="B121">
        <v>0</v>
      </c>
      <c r="C121">
        <v>2132</v>
      </c>
      <c r="D121">
        <v>6724</v>
      </c>
      <c r="E121">
        <v>13940</v>
      </c>
      <c r="F121">
        <v>22468</v>
      </c>
      <c r="G121">
        <v>39688</v>
      </c>
      <c r="H121">
        <v>39688</v>
      </c>
      <c r="I121">
        <v>39688</v>
      </c>
      <c r="J121">
        <v>12792</v>
      </c>
      <c r="K121">
        <v>26896</v>
      </c>
      <c r="L121">
        <v>26896</v>
      </c>
      <c r="M121">
        <v>26896</v>
      </c>
      <c r="N121">
        <v>32472</v>
      </c>
      <c r="O121">
        <v>18368</v>
      </c>
      <c r="P121">
        <v>23124</v>
      </c>
      <c r="Q121">
        <v>31324</v>
      </c>
      <c r="R121">
        <v>30012</v>
      </c>
      <c r="S121">
        <v>17876</v>
      </c>
      <c r="T121">
        <v>15744</v>
      </c>
      <c r="U121">
        <v>12464</v>
      </c>
      <c r="V121">
        <v>20992</v>
      </c>
      <c r="W121">
        <v>14432</v>
      </c>
      <c r="X121">
        <v>12300</v>
      </c>
      <c r="AB121">
        <v>486916</v>
      </c>
      <c r="AC121">
        <v>5708348</v>
      </c>
    </row>
    <row r="122" spans="1:29" x14ac:dyDescent="0.3">
      <c r="A122" t="s">
        <v>158</v>
      </c>
      <c r="B122">
        <v>0</v>
      </c>
      <c r="C122">
        <v>2132</v>
      </c>
      <c r="D122">
        <v>6724</v>
      </c>
      <c r="E122">
        <v>13940</v>
      </c>
      <c r="F122">
        <v>22468</v>
      </c>
      <c r="G122">
        <v>39688</v>
      </c>
      <c r="H122">
        <v>39688</v>
      </c>
      <c r="I122">
        <v>39688</v>
      </c>
      <c r="J122">
        <v>12792</v>
      </c>
      <c r="K122">
        <v>26896</v>
      </c>
      <c r="L122">
        <v>26896</v>
      </c>
      <c r="M122">
        <v>26896</v>
      </c>
      <c r="N122">
        <v>32472</v>
      </c>
      <c r="O122">
        <v>18368</v>
      </c>
      <c r="P122">
        <v>23124</v>
      </c>
      <c r="Q122">
        <v>31324</v>
      </c>
      <c r="R122">
        <v>30012</v>
      </c>
      <c r="S122">
        <v>17876</v>
      </c>
      <c r="T122">
        <v>15744</v>
      </c>
      <c r="U122">
        <v>12464</v>
      </c>
      <c r="V122">
        <v>20992</v>
      </c>
      <c r="W122">
        <v>14432</v>
      </c>
      <c r="X122">
        <v>12300</v>
      </c>
      <c r="Y122">
        <v>3772</v>
      </c>
      <c r="AB122">
        <v>490688</v>
      </c>
      <c r="AC122">
        <v>6199036</v>
      </c>
    </row>
    <row r="123" spans="1:29" x14ac:dyDescent="0.3">
      <c r="A123" t="s">
        <v>159</v>
      </c>
      <c r="B123">
        <v>0</v>
      </c>
      <c r="C123">
        <v>2132</v>
      </c>
      <c r="D123">
        <v>6724</v>
      </c>
      <c r="E123">
        <v>13940</v>
      </c>
      <c r="F123">
        <v>22468</v>
      </c>
      <c r="G123">
        <v>39688</v>
      </c>
      <c r="H123">
        <v>39688</v>
      </c>
      <c r="I123">
        <v>39688</v>
      </c>
      <c r="J123">
        <v>12792</v>
      </c>
      <c r="K123">
        <v>26896</v>
      </c>
      <c r="L123">
        <v>26896</v>
      </c>
      <c r="M123">
        <v>26896</v>
      </c>
      <c r="N123">
        <v>32472</v>
      </c>
      <c r="O123">
        <v>18368</v>
      </c>
      <c r="P123">
        <v>23124</v>
      </c>
      <c r="Q123">
        <v>31324</v>
      </c>
      <c r="R123">
        <v>30012</v>
      </c>
      <c r="S123">
        <v>17876</v>
      </c>
      <c r="T123">
        <v>15744</v>
      </c>
      <c r="U123">
        <v>12464</v>
      </c>
      <c r="V123">
        <v>20992</v>
      </c>
      <c r="W123">
        <v>14432</v>
      </c>
      <c r="X123">
        <v>12300</v>
      </c>
      <c r="Y123">
        <v>3772</v>
      </c>
      <c r="Z123">
        <v>3280</v>
      </c>
      <c r="AB123">
        <v>493968</v>
      </c>
      <c r="AC123">
        <v>6693004</v>
      </c>
    </row>
    <row r="124" spans="1:29" x14ac:dyDescent="0.3">
      <c r="A124" t="s">
        <v>160</v>
      </c>
      <c r="B124">
        <v>0</v>
      </c>
      <c r="C124">
        <v>2132</v>
      </c>
      <c r="D124">
        <v>6724</v>
      </c>
      <c r="E124">
        <v>13940</v>
      </c>
      <c r="F124">
        <v>22468</v>
      </c>
      <c r="G124">
        <v>39688</v>
      </c>
      <c r="H124">
        <v>39688</v>
      </c>
      <c r="I124">
        <v>39688</v>
      </c>
      <c r="J124">
        <v>12792</v>
      </c>
      <c r="K124">
        <v>26896</v>
      </c>
      <c r="L124">
        <v>26896</v>
      </c>
      <c r="M124">
        <v>26896</v>
      </c>
      <c r="N124">
        <v>32472</v>
      </c>
      <c r="O124">
        <v>18368</v>
      </c>
      <c r="P124">
        <v>23124</v>
      </c>
      <c r="Q124">
        <v>31324</v>
      </c>
      <c r="R124">
        <v>30012</v>
      </c>
      <c r="S124">
        <v>17876</v>
      </c>
      <c r="T124">
        <v>15744</v>
      </c>
      <c r="U124">
        <v>12464</v>
      </c>
      <c r="V124">
        <v>20992</v>
      </c>
      <c r="W124">
        <v>14432</v>
      </c>
      <c r="X124">
        <v>12300</v>
      </c>
      <c r="Y124">
        <v>3772</v>
      </c>
      <c r="Z124">
        <v>3280</v>
      </c>
      <c r="AA124">
        <v>9512</v>
      </c>
      <c r="AB124">
        <v>503480</v>
      </c>
      <c r="AC124">
        <v>7196484</v>
      </c>
    </row>
    <row r="125" spans="1:29" x14ac:dyDescent="0.3">
      <c r="AB125">
        <v>7196484</v>
      </c>
      <c r="AC125">
        <v>26411096.280000001</v>
      </c>
    </row>
    <row r="126" spans="1:29" x14ac:dyDescent="0.3">
      <c r="AB126">
        <v>7.1964839999999999</v>
      </c>
    </row>
    <row r="128" spans="1:29" x14ac:dyDescent="0.3">
      <c r="A128" t="s">
        <v>170</v>
      </c>
      <c r="B128">
        <v>0</v>
      </c>
      <c r="C128">
        <v>554.32000000000005</v>
      </c>
      <c r="AB128">
        <v>554.32000000000005</v>
      </c>
      <c r="AC128">
        <v>811.2</v>
      </c>
    </row>
    <row r="129" spans="1:29" x14ac:dyDescent="0.3">
      <c r="A129" t="s">
        <v>164</v>
      </c>
      <c r="B129">
        <v>0</v>
      </c>
      <c r="C129">
        <v>554.32000000000005</v>
      </c>
      <c r="D129">
        <v>1748.24</v>
      </c>
      <c r="AB129">
        <v>2302.56</v>
      </c>
      <c r="AC129">
        <v>4180.8</v>
      </c>
    </row>
    <row r="130" spans="1:29" x14ac:dyDescent="0.3">
      <c r="A130" t="s">
        <v>138</v>
      </c>
      <c r="B130">
        <v>0</v>
      </c>
      <c r="C130">
        <v>554.32000000000005</v>
      </c>
      <c r="D130">
        <v>1748.24</v>
      </c>
      <c r="E130">
        <v>3624.4</v>
      </c>
      <c r="AB130">
        <v>5926.96</v>
      </c>
      <c r="AC130">
        <v>12854.400000000001</v>
      </c>
    </row>
    <row r="131" spans="1:29" x14ac:dyDescent="0.3">
      <c r="A131" t="s">
        <v>139</v>
      </c>
      <c r="B131">
        <v>0</v>
      </c>
      <c r="C131">
        <v>554.32000000000005</v>
      </c>
      <c r="D131">
        <v>1748.24</v>
      </c>
      <c r="E131">
        <v>3624.4</v>
      </c>
      <c r="F131">
        <v>5841.68</v>
      </c>
      <c r="AB131">
        <v>11768.64</v>
      </c>
      <c r="AC131">
        <v>30076.800000000003</v>
      </c>
    </row>
    <row r="132" spans="1:29" x14ac:dyDescent="0.3">
      <c r="A132" t="s">
        <v>140</v>
      </c>
      <c r="B132">
        <v>0</v>
      </c>
      <c r="C132">
        <v>554.32000000000005</v>
      </c>
      <c r="D132">
        <v>1748.24</v>
      </c>
      <c r="E132">
        <v>3624.4</v>
      </c>
      <c r="F132">
        <v>5841.68</v>
      </c>
      <c r="G132">
        <v>10318.879999999999</v>
      </c>
      <c r="AB132">
        <v>22087.519999999997</v>
      </c>
      <c r="AC132">
        <v>62400</v>
      </c>
    </row>
    <row r="133" spans="1:29" x14ac:dyDescent="0.3">
      <c r="A133" t="s">
        <v>141</v>
      </c>
      <c r="B133">
        <v>0</v>
      </c>
      <c r="C133">
        <v>554.32000000000005</v>
      </c>
      <c r="D133">
        <v>1748.24</v>
      </c>
      <c r="E133">
        <v>3624.4</v>
      </c>
      <c r="F133">
        <v>5841.68</v>
      </c>
      <c r="G133">
        <v>10318.879999999999</v>
      </c>
      <c r="H133">
        <v>10318.879999999999</v>
      </c>
      <c r="AB133">
        <v>32406.399999999994</v>
      </c>
      <c r="AC133">
        <v>109824</v>
      </c>
    </row>
    <row r="134" spans="1:29" x14ac:dyDescent="0.3">
      <c r="A134" t="s">
        <v>142</v>
      </c>
      <c r="B134">
        <v>0</v>
      </c>
      <c r="C134">
        <v>554.32000000000005</v>
      </c>
      <c r="D134">
        <v>1748.24</v>
      </c>
      <c r="E134">
        <v>3624.4</v>
      </c>
      <c r="F134">
        <v>5841.68</v>
      </c>
      <c r="G134">
        <v>10318.879999999999</v>
      </c>
      <c r="H134">
        <v>10318.879999999999</v>
      </c>
      <c r="I134">
        <v>10318.879999999999</v>
      </c>
      <c r="AB134">
        <v>42725.279999999992</v>
      </c>
      <c r="AC134">
        <v>172348.79999999999</v>
      </c>
    </row>
    <row r="135" spans="1:29" x14ac:dyDescent="0.3">
      <c r="A135" t="s">
        <v>143</v>
      </c>
      <c r="B135">
        <v>0</v>
      </c>
      <c r="C135">
        <v>554.32000000000005</v>
      </c>
      <c r="D135">
        <v>1748.24</v>
      </c>
      <c r="E135">
        <v>3624.4</v>
      </c>
      <c r="F135">
        <v>5841.68</v>
      </c>
      <c r="G135">
        <v>10318.879999999999</v>
      </c>
      <c r="H135">
        <v>10318.879999999999</v>
      </c>
      <c r="I135">
        <v>10318.879999999999</v>
      </c>
      <c r="J135">
        <v>3325.92</v>
      </c>
      <c r="AB135">
        <v>46051.19999999999</v>
      </c>
      <c r="AC135">
        <v>239740.79999999999</v>
      </c>
    </row>
    <row r="136" spans="1:29" x14ac:dyDescent="0.3">
      <c r="A136" t="s">
        <v>144</v>
      </c>
      <c r="B136">
        <v>0</v>
      </c>
      <c r="C136">
        <v>554.32000000000005</v>
      </c>
      <c r="D136">
        <v>1748.24</v>
      </c>
      <c r="E136">
        <v>3624.4</v>
      </c>
      <c r="F136">
        <v>5841.68</v>
      </c>
      <c r="G136">
        <v>10318.879999999999</v>
      </c>
      <c r="H136">
        <v>10318.879999999999</v>
      </c>
      <c r="I136">
        <v>10318.879999999999</v>
      </c>
      <c r="J136">
        <v>3325.92</v>
      </c>
      <c r="K136">
        <v>6992.96</v>
      </c>
      <c r="AB136">
        <v>53044.159999999989</v>
      </c>
      <c r="AC136">
        <v>317366.40000000002</v>
      </c>
    </row>
    <row r="137" spans="1:29" x14ac:dyDescent="0.3">
      <c r="A137" t="s">
        <v>145</v>
      </c>
      <c r="B137">
        <v>0</v>
      </c>
      <c r="C137">
        <v>554.32000000000005</v>
      </c>
      <c r="D137">
        <v>1748.24</v>
      </c>
      <c r="E137">
        <v>3624.4</v>
      </c>
      <c r="F137">
        <v>5841.68</v>
      </c>
      <c r="G137">
        <v>10318.879999999999</v>
      </c>
      <c r="H137">
        <v>10318.879999999999</v>
      </c>
      <c r="I137">
        <v>10318.879999999999</v>
      </c>
      <c r="J137">
        <v>3325.92</v>
      </c>
      <c r="K137">
        <v>6992.96</v>
      </c>
      <c r="L137">
        <v>6992.96</v>
      </c>
      <c r="AB137">
        <v>60037.119999999988</v>
      </c>
      <c r="AC137">
        <v>405225.60000000003</v>
      </c>
    </row>
    <row r="138" spans="1:29" x14ac:dyDescent="0.3">
      <c r="A138" t="s">
        <v>146</v>
      </c>
      <c r="B138">
        <v>0</v>
      </c>
      <c r="C138">
        <v>554.32000000000005</v>
      </c>
      <c r="D138">
        <v>1748.24</v>
      </c>
      <c r="E138">
        <v>3624.4</v>
      </c>
      <c r="F138">
        <v>5841.68</v>
      </c>
      <c r="G138">
        <v>10318.879999999999</v>
      </c>
      <c r="H138">
        <v>10318.879999999999</v>
      </c>
      <c r="I138">
        <v>10318.879999999999</v>
      </c>
      <c r="J138">
        <v>3325.92</v>
      </c>
      <c r="K138">
        <v>6992.96</v>
      </c>
      <c r="L138">
        <v>6992.96</v>
      </c>
      <c r="M138">
        <v>6992.96</v>
      </c>
      <c r="AB138">
        <v>67030.079999999987</v>
      </c>
      <c r="AC138">
        <v>503318.4</v>
      </c>
    </row>
    <row r="139" spans="1:29" x14ac:dyDescent="0.3">
      <c r="A139" t="s">
        <v>147</v>
      </c>
      <c r="B139">
        <v>0</v>
      </c>
      <c r="C139">
        <v>554.32000000000005</v>
      </c>
      <c r="D139">
        <v>1748.24</v>
      </c>
      <c r="E139">
        <v>3624.4</v>
      </c>
      <c r="F139">
        <v>5841.68</v>
      </c>
      <c r="G139">
        <v>10318.879999999999</v>
      </c>
      <c r="H139">
        <v>10318.879999999999</v>
      </c>
      <c r="I139">
        <v>10318.879999999999</v>
      </c>
      <c r="J139">
        <v>3325.92</v>
      </c>
      <c r="K139">
        <v>6992.96</v>
      </c>
      <c r="L139">
        <v>6992.96</v>
      </c>
      <c r="M139">
        <v>6992.96</v>
      </c>
      <c r="N139">
        <v>8442.7200000000012</v>
      </c>
      <c r="AB139">
        <v>75472.799999999988</v>
      </c>
      <c r="AC139">
        <v>613766.40000000002</v>
      </c>
    </row>
    <row r="140" spans="1:29" x14ac:dyDescent="0.3">
      <c r="A140" t="s">
        <v>148</v>
      </c>
      <c r="B140">
        <v>0</v>
      </c>
      <c r="C140">
        <v>554.32000000000005</v>
      </c>
      <c r="D140">
        <v>1748.24</v>
      </c>
      <c r="E140">
        <v>3624.4</v>
      </c>
      <c r="F140">
        <v>5841.68</v>
      </c>
      <c r="G140">
        <v>10318.879999999999</v>
      </c>
      <c r="H140">
        <v>10318.879999999999</v>
      </c>
      <c r="I140">
        <v>10318.879999999999</v>
      </c>
      <c r="J140">
        <v>3325.92</v>
      </c>
      <c r="K140">
        <v>6992.96</v>
      </c>
      <c r="L140">
        <v>6992.96</v>
      </c>
      <c r="M140">
        <v>6992.96</v>
      </c>
      <c r="N140">
        <v>8442.7200000000012</v>
      </c>
      <c r="O140">
        <v>4775.68</v>
      </c>
      <c r="AB140">
        <v>80248.479999999981</v>
      </c>
      <c r="AC140">
        <v>731203.20000000007</v>
      </c>
    </row>
    <row r="141" spans="1:29" x14ac:dyDescent="0.3">
      <c r="A141" t="s">
        <v>149</v>
      </c>
      <c r="B141">
        <v>0</v>
      </c>
      <c r="C141">
        <v>554.32000000000005</v>
      </c>
      <c r="D141">
        <v>1748.24</v>
      </c>
      <c r="E141">
        <v>3624.4</v>
      </c>
      <c r="F141">
        <v>5841.68</v>
      </c>
      <c r="G141">
        <v>10318.879999999999</v>
      </c>
      <c r="H141">
        <v>10318.879999999999</v>
      </c>
      <c r="I141">
        <v>10318.879999999999</v>
      </c>
      <c r="J141">
        <v>3325.92</v>
      </c>
      <c r="K141">
        <v>6992.96</v>
      </c>
      <c r="L141">
        <v>6992.96</v>
      </c>
      <c r="M141">
        <v>6992.96</v>
      </c>
      <c r="N141">
        <v>8442.7200000000012</v>
      </c>
      <c r="O141">
        <v>4775.68</v>
      </c>
      <c r="P141">
        <v>6012.24</v>
      </c>
      <c r="AB141">
        <v>86260.719999999987</v>
      </c>
      <c r="AC141">
        <v>857438.40000000014</v>
      </c>
    </row>
    <row r="142" spans="1:29" x14ac:dyDescent="0.3">
      <c r="A142" t="s">
        <v>150</v>
      </c>
      <c r="B142">
        <v>0</v>
      </c>
      <c r="C142">
        <v>554.32000000000005</v>
      </c>
      <c r="D142">
        <v>1748.24</v>
      </c>
      <c r="E142">
        <v>3624.4</v>
      </c>
      <c r="F142">
        <v>5841.68</v>
      </c>
      <c r="G142">
        <v>10318.879999999999</v>
      </c>
      <c r="H142">
        <v>10318.879999999999</v>
      </c>
      <c r="I142">
        <v>10318.879999999999</v>
      </c>
      <c r="J142">
        <v>3325.92</v>
      </c>
      <c r="K142">
        <v>6992.96</v>
      </c>
      <c r="L142">
        <v>6992.96</v>
      </c>
      <c r="M142">
        <v>6992.96</v>
      </c>
      <c r="N142">
        <v>8442.7200000000012</v>
      </c>
      <c r="O142">
        <v>4775.68</v>
      </c>
      <c r="P142">
        <v>6012.24</v>
      </c>
      <c r="Q142">
        <v>8144.24</v>
      </c>
      <c r="AB142">
        <v>94404.959999999992</v>
      </c>
      <c r="AC142">
        <v>995592.00000000012</v>
      </c>
    </row>
    <row r="143" spans="1:29" x14ac:dyDescent="0.3">
      <c r="A143" t="s">
        <v>151</v>
      </c>
      <c r="B143">
        <v>0</v>
      </c>
      <c r="C143">
        <v>554.32000000000005</v>
      </c>
      <c r="D143">
        <v>1748.24</v>
      </c>
      <c r="E143">
        <v>3624.4</v>
      </c>
      <c r="F143">
        <v>5841.68</v>
      </c>
      <c r="G143">
        <v>10318.879999999999</v>
      </c>
      <c r="H143">
        <v>10318.879999999999</v>
      </c>
      <c r="I143">
        <v>10318.879999999999</v>
      </c>
      <c r="J143">
        <v>3325.92</v>
      </c>
      <c r="K143">
        <v>6992.96</v>
      </c>
      <c r="L143">
        <v>6992.96</v>
      </c>
      <c r="M143">
        <v>6992.96</v>
      </c>
      <c r="N143">
        <v>8442.7200000000012</v>
      </c>
      <c r="O143">
        <v>4775.68</v>
      </c>
      <c r="P143">
        <v>6012.24</v>
      </c>
      <c r="Q143">
        <v>8144.24</v>
      </c>
      <c r="R143">
        <v>7803.1200000000008</v>
      </c>
      <c r="AB143">
        <v>102208.07999999999</v>
      </c>
      <c r="AC143">
        <v>1145164.8</v>
      </c>
    </row>
    <row r="144" spans="1:29" x14ac:dyDescent="0.3">
      <c r="A144" t="s">
        <v>152</v>
      </c>
      <c r="B144">
        <v>0</v>
      </c>
      <c r="C144">
        <v>554.32000000000005</v>
      </c>
      <c r="D144">
        <v>1748.24</v>
      </c>
      <c r="E144">
        <v>3624.4</v>
      </c>
      <c r="F144">
        <v>5841.68</v>
      </c>
      <c r="G144">
        <v>10318.879999999999</v>
      </c>
      <c r="H144">
        <v>10318.879999999999</v>
      </c>
      <c r="I144">
        <v>10318.879999999999</v>
      </c>
      <c r="J144">
        <v>3325.92</v>
      </c>
      <c r="K144">
        <v>6992.96</v>
      </c>
      <c r="L144">
        <v>6992.96</v>
      </c>
      <c r="M144">
        <v>6992.96</v>
      </c>
      <c r="N144">
        <v>8442.7200000000012</v>
      </c>
      <c r="O144">
        <v>4775.68</v>
      </c>
      <c r="P144">
        <v>6012.24</v>
      </c>
      <c r="Q144">
        <v>8144.24</v>
      </c>
      <c r="R144">
        <v>7803.1200000000008</v>
      </c>
      <c r="S144">
        <v>4647.76</v>
      </c>
      <c r="AB144">
        <v>106855.83999999998</v>
      </c>
      <c r="AC144">
        <v>1301539.2000000002</v>
      </c>
    </row>
    <row r="145" spans="1:29" x14ac:dyDescent="0.3">
      <c r="A145" t="s">
        <v>153</v>
      </c>
      <c r="B145">
        <v>0</v>
      </c>
      <c r="C145">
        <v>554.32000000000005</v>
      </c>
      <c r="D145">
        <v>1748.24</v>
      </c>
      <c r="E145">
        <v>3624.4</v>
      </c>
      <c r="F145">
        <v>5841.68</v>
      </c>
      <c r="G145">
        <v>10318.879999999999</v>
      </c>
      <c r="H145">
        <v>10318.879999999999</v>
      </c>
      <c r="I145">
        <v>10318.879999999999</v>
      </c>
      <c r="J145">
        <v>3325.92</v>
      </c>
      <c r="K145">
        <v>6992.96</v>
      </c>
      <c r="L145">
        <v>6992.96</v>
      </c>
      <c r="M145">
        <v>6992.96</v>
      </c>
      <c r="N145">
        <v>8442.7200000000012</v>
      </c>
      <c r="O145">
        <v>4775.68</v>
      </c>
      <c r="P145">
        <v>6012.24</v>
      </c>
      <c r="Q145">
        <v>8144.24</v>
      </c>
      <c r="R145">
        <v>7803.1200000000008</v>
      </c>
      <c r="S145">
        <v>4647.76</v>
      </c>
      <c r="T145">
        <v>4093.4399999999996</v>
      </c>
      <c r="AB145">
        <v>110949.27999999998</v>
      </c>
      <c r="AC145">
        <v>1463904.0000000002</v>
      </c>
    </row>
    <row r="146" spans="1:29" x14ac:dyDescent="0.3">
      <c r="A146" t="s">
        <v>154</v>
      </c>
      <c r="B146">
        <v>0</v>
      </c>
      <c r="C146">
        <v>554.32000000000005</v>
      </c>
      <c r="D146">
        <v>1748.24</v>
      </c>
      <c r="E146">
        <v>3624.4</v>
      </c>
      <c r="F146">
        <v>5841.68</v>
      </c>
      <c r="G146">
        <v>10318.879999999999</v>
      </c>
      <c r="H146">
        <v>10318.879999999999</v>
      </c>
      <c r="I146">
        <v>10318.879999999999</v>
      </c>
      <c r="J146">
        <v>3325.92</v>
      </c>
      <c r="K146">
        <v>6992.96</v>
      </c>
      <c r="L146">
        <v>6992.96</v>
      </c>
      <c r="M146">
        <v>6992.96</v>
      </c>
      <c r="N146">
        <v>8442.7200000000012</v>
      </c>
      <c r="O146">
        <v>4775.68</v>
      </c>
      <c r="P146">
        <v>6012.24</v>
      </c>
      <c r="Q146">
        <v>8144.24</v>
      </c>
      <c r="R146">
        <v>7803.1200000000008</v>
      </c>
      <c r="S146">
        <v>4647.76</v>
      </c>
      <c r="T146">
        <v>4093.4399999999996</v>
      </c>
      <c r="U146">
        <v>3240.64</v>
      </c>
      <c r="AB146">
        <v>114189.91999999998</v>
      </c>
      <c r="AC146">
        <v>1631011.2000000002</v>
      </c>
    </row>
    <row r="147" spans="1:29" x14ac:dyDescent="0.3">
      <c r="A147" t="s">
        <v>155</v>
      </c>
      <c r="B147">
        <v>0</v>
      </c>
      <c r="C147">
        <v>554.32000000000005</v>
      </c>
      <c r="D147">
        <v>1748.24</v>
      </c>
      <c r="E147">
        <v>3624.4</v>
      </c>
      <c r="F147">
        <v>5841.68</v>
      </c>
      <c r="G147">
        <v>10318.879999999999</v>
      </c>
      <c r="H147">
        <v>10318.879999999999</v>
      </c>
      <c r="I147">
        <v>10318.879999999999</v>
      </c>
      <c r="J147">
        <v>3325.92</v>
      </c>
      <c r="K147">
        <v>6992.96</v>
      </c>
      <c r="L147">
        <v>6992.96</v>
      </c>
      <c r="M147">
        <v>6992.96</v>
      </c>
      <c r="N147">
        <v>8442.7200000000012</v>
      </c>
      <c r="O147">
        <v>4775.68</v>
      </c>
      <c r="P147">
        <v>6012.24</v>
      </c>
      <c r="Q147">
        <v>8144.24</v>
      </c>
      <c r="R147">
        <v>7803.1200000000008</v>
      </c>
      <c r="S147">
        <v>4647.76</v>
      </c>
      <c r="T147">
        <v>4093.4399999999996</v>
      </c>
      <c r="U147">
        <v>3240.64</v>
      </c>
      <c r="V147">
        <v>5457.920000000001</v>
      </c>
      <c r="AB147">
        <v>119647.83999999998</v>
      </c>
      <c r="AC147">
        <v>1806105.6000000001</v>
      </c>
    </row>
    <row r="148" spans="1:29" x14ac:dyDescent="0.3">
      <c r="A148" t="s">
        <v>156</v>
      </c>
      <c r="B148">
        <v>0</v>
      </c>
      <c r="C148">
        <v>554.32000000000005</v>
      </c>
      <c r="D148">
        <v>1748.24</v>
      </c>
      <c r="E148">
        <v>3624.4</v>
      </c>
      <c r="F148">
        <v>5841.68</v>
      </c>
      <c r="G148">
        <v>10318.879999999999</v>
      </c>
      <c r="H148">
        <v>10318.879999999999</v>
      </c>
      <c r="I148">
        <v>10318.879999999999</v>
      </c>
      <c r="J148">
        <v>3325.92</v>
      </c>
      <c r="K148">
        <v>6992.96</v>
      </c>
      <c r="L148">
        <v>6992.96</v>
      </c>
      <c r="M148">
        <v>6992.96</v>
      </c>
      <c r="N148">
        <v>8442.7200000000012</v>
      </c>
      <c r="O148">
        <v>4775.68</v>
      </c>
      <c r="P148">
        <v>6012.24</v>
      </c>
      <c r="Q148">
        <v>8144.24</v>
      </c>
      <c r="R148">
        <v>7803.1200000000008</v>
      </c>
      <c r="S148">
        <v>4647.76</v>
      </c>
      <c r="T148">
        <v>4093.4399999999996</v>
      </c>
      <c r="U148">
        <v>3240.64</v>
      </c>
      <c r="V148">
        <v>5457.920000000001</v>
      </c>
      <c r="W148">
        <v>3752.32</v>
      </c>
      <c r="AB148">
        <v>123400.15999999999</v>
      </c>
      <c r="AC148">
        <v>1986691.2000000002</v>
      </c>
    </row>
    <row r="149" spans="1:29" x14ac:dyDescent="0.3">
      <c r="A149" t="s">
        <v>157</v>
      </c>
      <c r="B149">
        <v>0</v>
      </c>
      <c r="C149">
        <v>554.32000000000005</v>
      </c>
      <c r="D149">
        <v>1748.24</v>
      </c>
      <c r="E149">
        <v>3624.4</v>
      </c>
      <c r="F149">
        <v>5841.68</v>
      </c>
      <c r="G149">
        <v>10318.879999999999</v>
      </c>
      <c r="H149">
        <v>10318.879999999999</v>
      </c>
      <c r="I149">
        <v>10318.879999999999</v>
      </c>
      <c r="J149">
        <v>3325.92</v>
      </c>
      <c r="K149">
        <v>6992.96</v>
      </c>
      <c r="L149">
        <v>6992.96</v>
      </c>
      <c r="M149">
        <v>6992.96</v>
      </c>
      <c r="N149">
        <v>8442.7200000000012</v>
      </c>
      <c r="O149">
        <v>4775.68</v>
      </c>
      <c r="P149">
        <v>6012.24</v>
      </c>
      <c r="Q149">
        <v>8144.24</v>
      </c>
      <c r="R149">
        <v>7803.1200000000008</v>
      </c>
      <c r="S149">
        <v>4647.76</v>
      </c>
      <c r="T149">
        <v>4093.4399999999996</v>
      </c>
      <c r="U149">
        <v>3240.64</v>
      </c>
      <c r="V149">
        <v>5457.920000000001</v>
      </c>
      <c r="W149">
        <v>3752.32</v>
      </c>
      <c r="X149">
        <v>3198</v>
      </c>
      <c r="AB149">
        <v>126598.15999999999</v>
      </c>
      <c r="AC149">
        <v>2171956.8000000003</v>
      </c>
    </row>
    <row r="150" spans="1:29" x14ac:dyDescent="0.3">
      <c r="A150" t="s">
        <v>158</v>
      </c>
      <c r="B150">
        <v>0</v>
      </c>
      <c r="C150">
        <v>554.32000000000005</v>
      </c>
      <c r="D150">
        <v>1748.24</v>
      </c>
      <c r="E150">
        <v>3624.4</v>
      </c>
      <c r="F150">
        <v>5841.68</v>
      </c>
      <c r="G150">
        <v>10318.879999999999</v>
      </c>
      <c r="H150">
        <v>10318.879999999999</v>
      </c>
      <c r="I150">
        <v>10318.879999999999</v>
      </c>
      <c r="J150">
        <v>3325.92</v>
      </c>
      <c r="K150">
        <v>6992.96</v>
      </c>
      <c r="L150">
        <v>6992.96</v>
      </c>
      <c r="M150">
        <v>6992.96</v>
      </c>
      <c r="N150">
        <v>8442.7200000000012</v>
      </c>
      <c r="O150">
        <v>4775.68</v>
      </c>
      <c r="P150">
        <v>6012.24</v>
      </c>
      <c r="Q150">
        <v>8144.24</v>
      </c>
      <c r="R150">
        <v>7803.1200000000008</v>
      </c>
      <c r="S150">
        <v>4647.76</v>
      </c>
      <c r="T150">
        <v>4093.4399999999996</v>
      </c>
      <c r="U150">
        <v>3240.64</v>
      </c>
      <c r="V150">
        <v>5457.920000000001</v>
      </c>
      <c r="W150">
        <v>3752.32</v>
      </c>
      <c r="X150">
        <v>3198</v>
      </c>
      <c r="Y150">
        <v>980.72000000000014</v>
      </c>
      <c r="AB150">
        <v>127578.87999999999</v>
      </c>
      <c r="AC150">
        <v>2358657.6000000006</v>
      </c>
    </row>
    <row r="151" spans="1:29" x14ac:dyDescent="0.3">
      <c r="A151" t="s">
        <v>159</v>
      </c>
      <c r="B151">
        <v>0</v>
      </c>
      <c r="C151">
        <v>554.32000000000005</v>
      </c>
      <c r="D151">
        <v>1748.24</v>
      </c>
      <c r="E151">
        <v>3624.4</v>
      </c>
      <c r="F151">
        <v>5841.68</v>
      </c>
      <c r="G151">
        <v>10318.879999999999</v>
      </c>
      <c r="H151">
        <v>10318.879999999999</v>
      </c>
      <c r="I151">
        <v>10318.879999999999</v>
      </c>
      <c r="J151">
        <v>3325.92</v>
      </c>
      <c r="K151">
        <v>6992.96</v>
      </c>
      <c r="L151">
        <v>6992.96</v>
      </c>
      <c r="M151">
        <v>6992.96</v>
      </c>
      <c r="N151">
        <v>8442.7200000000012</v>
      </c>
      <c r="O151">
        <v>4775.68</v>
      </c>
      <c r="P151">
        <v>6012.24</v>
      </c>
      <c r="Q151">
        <v>8144.24</v>
      </c>
      <c r="R151">
        <v>7803.1200000000008</v>
      </c>
      <c r="S151">
        <v>4647.76</v>
      </c>
      <c r="T151">
        <v>4093.4399999999996</v>
      </c>
      <c r="U151">
        <v>3240.64</v>
      </c>
      <c r="V151">
        <v>5457.920000000001</v>
      </c>
      <c r="W151">
        <v>3752.32</v>
      </c>
      <c r="X151">
        <v>3198</v>
      </c>
      <c r="Y151">
        <v>980.72000000000014</v>
      </c>
      <c r="Z151">
        <v>852.80000000000007</v>
      </c>
      <c r="AB151">
        <v>128431.67999999999</v>
      </c>
      <c r="AC151">
        <v>2546606.4000000004</v>
      </c>
    </row>
    <row r="152" spans="1:29" x14ac:dyDescent="0.3">
      <c r="A152" t="s">
        <v>160</v>
      </c>
      <c r="B152">
        <v>0</v>
      </c>
      <c r="C152">
        <v>554.32000000000005</v>
      </c>
      <c r="D152">
        <v>1748.24</v>
      </c>
      <c r="E152">
        <v>3624.4</v>
      </c>
      <c r="F152">
        <v>5841.68</v>
      </c>
      <c r="G152">
        <v>10318.879999999999</v>
      </c>
      <c r="H152">
        <v>10318.879999999999</v>
      </c>
      <c r="I152">
        <v>10318.879999999999</v>
      </c>
      <c r="J152">
        <v>3325.92</v>
      </c>
      <c r="K152">
        <v>6992.96</v>
      </c>
      <c r="L152">
        <v>6992.96</v>
      </c>
      <c r="M152">
        <v>6992.96</v>
      </c>
      <c r="N152">
        <v>8442.7200000000012</v>
      </c>
      <c r="O152">
        <v>4775.68</v>
      </c>
      <c r="P152">
        <v>6012.24</v>
      </c>
      <c r="Q152">
        <v>8144.24</v>
      </c>
      <c r="R152">
        <v>7803.1200000000008</v>
      </c>
      <c r="S152">
        <v>4647.76</v>
      </c>
      <c r="T152">
        <v>4093.4399999999996</v>
      </c>
      <c r="U152">
        <v>3240.64</v>
      </c>
      <c r="V152">
        <v>5457.920000000001</v>
      </c>
      <c r="W152">
        <v>3752.32</v>
      </c>
      <c r="X152">
        <v>3198</v>
      </c>
      <c r="Y152">
        <v>980.72000000000014</v>
      </c>
      <c r="Z152">
        <v>852.80000000000007</v>
      </c>
      <c r="AA152">
        <v>2473.12</v>
      </c>
      <c r="AB152">
        <v>130904.79999999999</v>
      </c>
      <c r="AC152">
        <v>2738174.4000000004</v>
      </c>
    </row>
    <row r="153" spans="1:29" x14ac:dyDescent="0.3">
      <c r="AB153">
        <v>1871085.8399999996</v>
      </c>
      <c r="AC153">
        <v>6866885.0327999983</v>
      </c>
    </row>
    <row r="154" spans="1:29" x14ac:dyDescent="0.3">
      <c r="AB154">
        <v>1.8710858399999997</v>
      </c>
    </row>
    <row r="156" spans="1:29" x14ac:dyDescent="0.3">
      <c r="A156" t="s">
        <v>171</v>
      </c>
      <c r="B156">
        <v>1993</v>
      </c>
      <c r="C156">
        <v>1994</v>
      </c>
      <c r="D156">
        <v>1995</v>
      </c>
      <c r="E156">
        <v>1996</v>
      </c>
      <c r="F156">
        <v>1997</v>
      </c>
      <c r="G156">
        <v>1998</v>
      </c>
      <c r="H156">
        <v>1999</v>
      </c>
      <c r="I156">
        <v>2000</v>
      </c>
      <c r="J156">
        <v>2001</v>
      </c>
      <c r="K156">
        <v>2002</v>
      </c>
      <c r="L156">
        <v>2003</v>
      </c>
      <c r="M156">
        <v>2004</v>
      </c>
      <c r="N156">
        <v>2005</v>
      </c>
      <c r="O156">
        <v>2006</v>
      </c>
      <c r="P156">
        <v>2007</v>
      </c>
      <c r="Q156">
        <v>2008</v>
      </c>
      <c r="R156">
        <v>2009</v>
      </c>
      <c r="S156">
        <v>2010</v>
      </c>
      <c r="T156">
        <v>2011</v>
      </c>
      <c r="U156">
        <v>2012</v>
      </c>
      <c r="V156">
        <v>2013</v>
      </c>
      <c r="W156">
        <v>2014</v>
      </c>
      <c r="X156">
        <v>2015</v>
      </c>
      <c r="Y156">
        <v>2016</v>
      </c>
      <c r="Z156">
        <v>2017</v>
      </c>
      <c r="AA156">
        <v>2018</v>
      </c>
    </row>
    <row r="157" spans="1:29" x14ac:dyDescent="0.3">
      <c r="A157" t="s">
        <v>172</v>
      </c>
      <c r="B157">
        <v>0</v>
      </c>
      <c r="C157">
        <v>0.18</v>
      </c>
      <c r="D157">
        <v>0.57999999999999996</v>
      </c>
      <c r="E157">
        <v>1.04</v>
      </c>
      <c r="F157">
        <v>1.62</v>
      </c>
      <c r="G157">
        <v>2.27</v>
      </c>
      <c r="H157">
        <v>2.27</v>
      </c>
      <c r="I157">
        <v>2.27</v>
      </c>
      <c r="J157">
        <v>0.7</v>
      </c>
      <c r="K157">
        <v>1.51</v>
      </c>
      <c r="L157">
        <v>1.51</v>
      </c>
      <c r="M157">
        <v>1.51</v>
      </c>
      <c r="N157">
        <v>2.0699999999999998</v>
      </c>
      <c r="O157">
        <v>1.28</v>
      </c>
      <c r="P157">
        <v>2.0699999999999998</v>
      </c>
      <c r="Q157">
        <v>2.46</v>
      </c>
      <c r="R157">
        <v>2.0699999999999998</v>
      </c>
      <c r="S157">
        <v>1.44</v>
      </c>
      <c r="T157">
        <v>1.38</v>
      </c>
      <c r="U157">
        <v>0.91</v>
      </c>
      <c r="V157">
        <v>1.26</v>
      </c>
      <c r="W157">
        <v>1.19</v>
      </c>
      <c r="X157">
        <v>0.38</v>
      </c>
      <c r="Y157">
        <v>0.67</v>
      </c>
      <c r="Z157">
        <v>0.64</v>
      </c>
      <c r="AA157">
        <v>0.94</v>
      </c>
    </row>
    <row r="158" spans="1:29" x14ac:dyDescent="0.3">
      <c r="A158" t="s">
        <v>173</v>
      </c>
      <c r="B158">
        <v>0</v>
      </c>
      <c r="C158">
        <v>2952</v>
      </c>
      <c r="AB158">
        <v>2952</v>
      </c>
      <c r="AC158">
        <v>2952</v>
      </c>
    </row>
    <row r="159" spans="1:29" x14ac:dyDescent="0.3">
      <c r="A159" t="s">
        <v>164</v>
      </c>
      <c r="B159">
        <v>0</v>
      </c>
      <c r="C159">
        <v>2952</v>
      </c>
      <c r="D159">
        <v>9512</v>
      </c>
      <c r="AB159">
        <v>12464</v>
      </c>
      <c r="AC159">
        <v>15416</v>
      </c>
    </row>
    <row r="160" spans="1:29" x14ac:dyDescent="0.3">
      <c r="A160" t="s">
        <v>138</v>
      </c>
      <c r="B160">
        <v>0</v>
      </c>
      <c r="C160">
        <v>2952</v>
      </c>
      <c r="D160">
        <v>9512</v>
      </c>
      <c r="E160">
        <v>17056</v>
      </c>
      <c r="AB160">
        <v>29520</v>
      </c>
      <c r="AC160">
        <v>44936</v>
      </c>
    </row>
    <row r="161" spans="1:29" x14ac:dyDescent="0.3">
      <c r="A161" t="s">
        <v>139</v>
      </c>
      <c r="B161">
        <v>0</v>
      </c>
      <c r="C161">
        <v>2952</v>
      </c>
      <c r="D161">
        <v>9512</v>
      </c>
      <c r="E161">
        <v>17056</v>
      </c>
      <c r="F161">
        <v>26568</v>
      </c>
      <c r="AB161">
        <v>56088</v>
      </c>
      <c r="AC161">
        <v>101024</v>
      </c>
    </row>
    <row r="162" spans="1:29" x14ac:dyDescent="0.3">
      <c r="A162" t="s">
        <v>140</v>
      </c>
      <c r="B162">
        <v>0</v>
      </c>
      <c r="C162">
        <v>2952</v>
      </c>
      <c r="D162">
        <v>9512</v>
      </c>
      <c r="E162">
        <v>17056</v>
      </c>
      <c r="F162">
        <v>26568</v>
      </c>
      <c r="G162">
        <v>37228</v>
      </c>
      <c r="AB162">
        <v>93316</v>
      </c>
      <c r="AC162">
        <v>194340</v>
      </c>
    </row>
    <row r="163" spans="1:29" x14ac:dyDescent="0.3">
      <c r="A163" t="s">
        <v>141</v>
      </c>
      <c r="B163">
        <v>0</v>
      </c>
      <c r="C163">
        <v>2952</v>
      </c>
      <c r="D163">
        <v>9512</v>
      </c>
      <c r="E163">
        <v>17056</v>
      </c>
      <c r="F163">
        <v>26568</v>
      </c>
      <c r="G163">
        <v>37228</v>
      </c>
      <c r="H163">
        <v>37228</v>
      </c>
      <c r="AB163">
        <v>130544</v>
      </c>
      <c r="AC163">
        <v>324884</v>
      </c>
    </row>
    <row r="164" spans="1:29" x14ac:dyDescent="0.3">
      <c r="A164" t="s">
        <v>142</v>
      </c>
      <c r="B164">
        <v>0</v>
      </c>
      <c r="C164">
        <v>2952</v>
      </c>
      <c r="D164">
        <v>9512</v>
      </c>
      <c r="E164">
        <v>17056</v>
      </c>
      <c r="F164">
        <v>26568</v>
      </c>
      <c r="G164">
        <v>37228</v>
      </c>
      <c r="H164">
        <v>37228</v>
      </c>
      <c r="I164">
        <v>37228</v>
      </c>
      <c r="AB164">
        <v>167772</v>
      </c>
      <c r="AC164">
        <v>492656</v>
      </c>
    </row>
    <row r="165" spans="1:29" x14ac:dyDescent="0.3">
      <c r="A165" t="s">
        <v>143</v>
      </c>
      <c r="B165">
        <v>0</v>
      </c>
      <c r="C165">
        <v>2952</v>
      </c>
      <c r="D165">
        <v>9512</v>
      </c>
      <c r="E165">
        <v>17056</v>
      </c>
      <c r="F165">
        <v>26568</v>
      </c>
      <c r="G165">
        <v>37228</v>
      </c>
      <c r="H165">
        <v>37228</v>
      </c>
      <c r="I165">
        <v>37228</v>
      </c>
      <c r="J165">
        <v>11480</v>
      </c>
      <c r="AB165">
        <v>179252</v>
      </c>
      <c r="AC165">
        <v>671908</v>
      </c>
    </row>
    <row r="166" spans="1:29" x14ac:dyDescent="0.3">
      <c r="A166" t="s">
        <v>144</v>
      </c>
      <c r="B166">
        <v>0</v>
      </c>
      <c r="C166">
        <v>2952</v>
      </c>
      <c r="D166">
        <v>9512</v>
      </c>
      <c r="E166">
        <v>17056</v>
      </c>
      <c r="F166">
        <v>26568</v>
      </c>
      <c r="G166">
        <v>37228</v>
      </c>
      <c r="H166">
        <v>37228</v>
      </c>
      <c r="I166">
        <v>37228</v>
      </c>
      <c r="J166">
        <v>11480</v>
      </c>
      <c r="K166">
        <v>24764</v>
      </c>
      <c r="AB166">
        <v>204016</v>
      </c>
      <c r="AC166">
        <v>875924</v>
      </c>
    </row>
    <row r="167" spans="1:29" x14ac:dyDescent="0.3">
      <c r="A167" t="s">
        <v>145</v>
      </c>
      <c r="B167">
        <v>0</v>
      </c>
      <c r="C167">
        <v>2952</v>
      </c>
      <c r="D167">
        <v>9512</v>
      </c>
      <c r="E167">
        <v>17056</v>
      </c>
      <c r="F167">
        <v>26568</v>
      </c>
      <c r="G167">
        <v>37228</v>
      </c>
      <c r="H167">
        <v>37228</v>
      </c>
      <c r="I167">
        <v>37228</v>
      </c>
      <c r="J167">
        <v>11480</v>
      </c>
      <c r="K167">
        <v>24764</v>
      </c>
      <c r="L167">
        <v>24764</v>
      </c>
      <c r="AB167">
        <v>228780</v>
      </c>
      <c r="AC167">
        <v>1104704</v>
      </c>
    </row>
    <row r="168" spans="1:29" x14ac:dyDescent="0.3">
      <c r="A168" t="s">
        <v>146</v>
      </c>
      <c r="B168">
        <v>0</v>
      </c>
      <c r="C168">
        <v>2952</v>
      </c>
      <c r="D168">
        <v>9512</v>
      </c>
      <c r="E168">
        <v>17056</v>
      </c>
      <c r="F168">
        <v>26568</v>
      </c>
      <c r="G168">
        <v>37228</v>
      </c>
      <c r="H168">
        <v>37228</v>
      </c>
      <c r="I168">
        <v>37228</v>
      </c>
      <c r="J168">
        <v>11480</v>
      </c>
      <c r="K168">
        <v>24764</v>
      </c>
      <c r="L168">
        <v>24764</v>
      </c>
      <c r="M168">
        <v>24764</v>
      </c>
      <c r="AB168">
        <v>253544</v>
      </c>
      <c r="AC168">
        <v>1358248</v>
      </c>
    </row>
    <row r="169" spans="1:29" x14ac:dyDescent="0.3">
      <c r="A169" t="s">
        <v>147</v>
      </c>
      <c r="B169">
        <v>0</v>
      </c>
      <c r="C169">
        <v>2952</v>
      </c>
      <c r="D169">
        <v>9512</v>
      </c>
      <c r="E169">
        <v>17056</v>
      </c>
      <c r="F169">
        <v>26568</v>
      </c>
      <c r="G169">
        <v>37228</v>
      </c>
      <c r="H169">
        <v>37228</v>
      </c>
      <c r="I169">
        <v>37228</v>
      </c>
      <c r="J169">
        <v>11480</v>
      </c>
      <c r="K169">
        <v>24764</v>
      </c>
      <c r="L169">
        <v>24764</v>
      </c>
      <c r="M169">
        <v>24764</v>
      </c>
      <c r="N169">
        <v>33948</v>
      </c>
      <c r="AB169">
        <v>287492</v>
      </c>
      <c r="AC169">
        <v>1645740</v>
      </c>
    </row>
    <row r="170" spans="1:29" x14ac:dyDescent="0.3">
      <c r="A170" t="s">
        <v>148</v>
      </c>
      <c r="B170">
        <v>0</v>
      </c>
      <c r="C170">
        <v>2952</v>
      </c>
      <c r="D170">
        <v>9512</v>
      </c>
      <c r="E170">
        <v>17056</v>
      </c>
      <c r="F170">
        <v>26568</v>
      </c>
      <c r="G170">
        <v>37228</v>
      </c>
      <c r="H170">
        <v>37228</v>
      </c>
      <c r="I170">
        <v>37228</v>
      </c>
      <c r="J170">
        <v>11480</v>
      </c>
      <c r="K170">
        <v>24764</v>
      </c>
      <c r="L170">
        <v>24764</v>
      </c>
      <c r="M170">
        <v>24764</v>
      </c>
      <c r="N170">
        <v>33948</v>
      </c>
      <c r="O170">
        <v>20992</v>
      </c>
      <c r="AB170">
        <v>308484</v>
      </c>
      <c r="AC170">
        <v>1954224</v>
      </c>
    </row>
    <row r="171" spans="1:29" x14ac:dyDescent="0.3">
      <c r="A171" t="s">
        <v>149</v>
      </c>
      <c r="B171">
        <v>0</v>
      </c>
      <c r="C171">
        <v>2952</v>
      </c>
      <c r="D171">
        <v>9512</v>
      </c>
      <c r="E171">
        <v>17056</v>
      </c>
      <c r="F171">
        <v>26568</v>
      </c>
      <c r="G171">
        <v>37228</v>
      </c>
      <c r="H171">
        <v>37228</v>
      </c>
      <c r="I171">
        <v>37228</v>
      </c>
      <c r="J171">
        <v>11480</v>
      </c>
      <c r="K171">
        <v>24764</v>
      </c>
      <c r="L171">
        <v>24764</v>
      </c>
      <c r="M171">
        <v>24764</v>
      </c>
      <c r="N171">
        <v>33948</v>
      </c>
      <c r="O171">
        <v>20992</v>
      </c>
      <c r="P171">
        <v>33948</v>
      </c>
      <c r="AB171">
        <v>342432</v>
      </c>
      <c r="AC171">
        <v>2296656</v>
      </c>
    </row>
    <row r="172" spans="1:29" x14ac:dyDescent="0.3">
      <c r="A172" t="s">
        <v>150</v>
      </c>
      <c r="B172">
        <v>0</v>
      </c>
      <c r="C172">
        <v>2952</v>
      </c>
      <c r="D172">
        <v>9512</v>
      </c>
      <c r="E172">
        <v>17056</v>
      </c>
      <c r="F172">
        <v>26568</v>
      </c>
      <c r="G172">
        <v>37228</v>
      </c>
      <c r="H172">
        <v>37228</v>
      </c>
      <c r="I172">
        <v>37228</v>
      </c>
      <c r="J172">
        <v>11480</v>
      </c>
      <c r="K172">
        <v>24764</v>
      </c>
      <c r="L172">
        <v>24764</v>
      </c>
      <c r="M172">
        <v>24764</v>
      </c>
      <c r="N172">
        <v>33948</v>
      </c>
      <c r="O172">
        <v>20992</v>
      </c>
      <c r="P172">
        <v>33948</v>
      </c>
      <c r="Q172">
        <v>40344</v>
      </c>
      <c r="AB172">
        <v>382776</v>
      </c>
      <c r="AC172">
        <v>2679432</v>
      </c>
    </row>
    <row r="173" spans="1:29" x14ac:dyDescent="0.3">
      <c r="A173" t="s">
        <v>151</v>
      </c>
      <c r="B173">
        <v>0</v>
      </c>
      <c r="C173">
        <v>2952</v>
      </c>
      <c r="D173">
        <v>9512</v>
      </c>
      <c r="E173">
        <v>17056</v>
      </c>
      <c r="F173">
        <v>26568</v>
      </c>
      <c r="G173">
        <v>37228</v>
      </c>
      <c r="H173">
        <v>37228</v>
      </c>
      <c r="I173">
        <v>37228</v>
      </c>
      <c r="J173">
        <v>11480</v>
      </c>
      <c r="K173">
        <v>24764</v>
      </c>
      <c r="L173">
        <v>24764</v>
      </c>
      <c r="M173">
        <v>24764</v>
      </c>
      <c r="N173">
        <v>33948</v>
      </c>
      <c r="O173">
        <v>20992</v>
      </c>
      <c r="P173">
        <v>33948</v>
      </c>
      <c r="Q173">
        <v>40344</v>
      </c>
      <c r="R173">
        <v>33948</v>
      </c>
      <c r="AB173">
        <v>416724</v>
      </c>
      <c r="AC173">
        <v>3096156</v>
      </c>
    </row>
    <row r="174" spans="1:29" x14ac:dyDescent="0.3">
      <c r="A174" t="s">
        <v>152</v>
      </c>
      <c r="B174">
        <v>0</v>
      </c>
      <c r="C174">
        <v>2952</v>
      </c>
      <c r="D174">
        <v>9512</v>
      </c>
      <c r="E174">
        <v>17056</v>
      </c>
      <c r="F174">
        <v>26568</v>
      </c>
      <c r="G174">
        <v>37228</v>
      </c>
      <c r="H174">
        <v>37228</v>
      </c>
      <c r="I174">
        <v>37228</v>
      </c>
      <c r="J174">
        <v>11480</v>
      </c>
      <c r="K174">
        <v>24764</v>
      </c>
      <c r="L174">
        <v>24764</v>
      </c>
      <c r="M174">
        <v>24764</v>
      </c>
      <c r="N174">
        <v>33948</v>
      </c>
      <c r="O174">
        <v>20992</v>
      </c>
      <c r="P174">
        <v>33948</v>
      </c>
      <c r="Q174">
        <v>40344</v>
      </c>
      <c r="R174">
        <v>33948</v>
      </c>
      <c r="S174">
        <v>23616</v>
      </c>
      <c r="AB174">
        <v>440340</v>
      </c>
      <c r="AC174">
        <v>3536496</v>
      </c>
    </row>
    <row r="175" spans="1:29" x14ac:dyDescent="0.3">
      <c r="A175" t="s">
        <v>153</v>
      </c>
      <c r="B175">
        <v>0</v>
      </c>
      <c r="C175">
        <v>2952</v>
      </c>
      <c r="D175">
        <v>9512</v>
      </c>
      <c r="E175">
        <v>17056</v>
      </c>
      <c r="F175">
        <v>26568</v>
      </c>
      <c r="G175">
        <v>37228</v>
      </c>
      <c r="H175">
        <v>37228</v>
      </c>
      <c r="I175">
        <v>37228</v>
      </c>
      <c r="J175">
        <v>11480</v>
      </c>
      <c r="K175">
        <v>24764</v>
      </c>
      <c r="L175">
        <v>24764</v>
      </c>
      <c r="M175">
        <v>24764</v>
      </c>
      <c r="N175">
        <v>33948</v>
      </c>
      <c r="O175">
        <v>20992</v>
      </c>
      <c r="P175">
        <v>33948</v>
      </c>
      <c r="Q175">
        <v>40344</v>
      </c>
      <c r="R175">
        <v>33948</v>
      </c>
      <c r="S175">
        <v>23616</v>
      </c>
      <c r="T175">
        <v>22632</v>
      </c>
      <c r="AB175">
        <v>462972</v>
      </c>
      <c r="AC175">
        <v>3999468</v>
      </c>
    </row>
    <row r="176" spans="1:29" x14ac:dyDescent="0.3">
      <c r="A176" t="s">
        <v>154</v>
      </c>
      <c r="B176">
        <v>0</v>
      </c>
      <c r="C176">
        <v>2952</v>
      </c>
      <c r="D176">
        <v>9512</v>
      </c>
      <c r="E176">
        <v>17056</v>
      </c>
      <c r="F176">
        <v>26568</v>
      </c>
      <c r="G176">
        <v>37228</v>
      </c>
      <c r="H176">
        <v>37228</v>
      </c>
      <c r="I176">
        <v>37228</v>
      </c>
      <c r="J176">
        <v>11480</v>
      </c>
      <c r="K176">
        <v>24764</v>
      </c>
      <c r="L176">
        <v>24764</v>
      </c>
      <c r="M176">
        <v>24764</v>
      </c>
      <c r="N176">
        <v>33948</v>
      </c>
      <c r="O176">
        <v>20992</v>
      </c>
      <c r="P176">
        <v>33948</v>
      </c>
      <c r="Q176">
        <v>40344</v>
      </c>
      <c r="R176">
        <v>33948</v>
      </c>
      <c r="S176">
        <v>23616</v>
      </c>
      <c r="T176">
        <v>22632</v>
      </c>
      <c r="U176">
        <v>14924</v>
      </c>
      <c r="AB176">
        <v>477896</v>
      </c>
      <c r="AC176">
        <v>4477364</v>
      </c>
    </row>
    <row r="177" spans="1:29" x14ac:dyDescent="0.3">
      <c r="A177" t="s">
        <v>155</v>
      </c>
      <c r="B177">
        <v>0</v>
      </c>
      <c r="C177">
        <v>2952</v>
      </c>
      <c r="D177">
        <v>9512</v>
      </c>
      <c r="E177">
        <v>17056</v>
      </c>
      <c r="F177">
        <v>26568</v>
      </c>
      <c r="G177">
        <v>37228</v>
      </c>
      <c r="H177">
        <v>37228</v>
      </c>
      <c r="I177">
        <v>37228</v>
      </c>
      <c r="J177">
        <v>11480</v>
      </c>
      <c r="K177">
        <v>24764</v>
      </c>
      <c r="L177">
        <v>24764</v>
      </c>
      <c r="M177">
        <v>24764</v>
      </c>
      <c r="N177">
        <v>33948</v>
      </c>
      <c r="O177">
        <v>20992</v>
      </c>
      <c r="P177">
        <v>33948</v>
      </c>
      <c r="Q177">
        <v>40344</v>
      </c>
      <c r="R177">
        <v>33948</v>
      </c>
      <c r="S177">
        <v>23616</v>
      </c>
      <c r="T177">
        <v>22632</v>
      </c>
      <c r="U177">
        <v>14924</v>
      </c>
      <c r="V177">
        <v>20664</v>
      </c>
      <c r="AB177">
        <v>498560</v>
      </c>
      <c r="AC177">
        <v>4975924</v>
      </c>
    </row>
    <row r="178" spans="1:29" x14ac:dyDescent="0.3">
      <c r="A178" t="s">
        <v>156</v>
      </c>
      <c r="B178">
        <v>0</v>
      </c>
      <c r="C178">
        <v>2952</v>
      </c>
      <c r="D178">
        <v>9512</v>
      </c>
      <c r="E178">
        <v>17056</v>
      </c>
      <c r="F178">
        <v>26568</v>
      </c>
      <c r="G178">
        <v>37228</v>
      </c>
      <c r="H178">
        <v>37228</v>
      </c>
      <c r="I178">
        <v>37228</v>
      </c>
      <c r="J178">
        <v>11480</v>
      </c>
      <c r="K178">
        <v>24764</v>
      </c>
      <c r="L178">
        <v>24764</v>
      </c>
      <c r="M178">
        <v>24764</v>
      </c>
      <c r="N178">
        <v>33948</v>
      </c>
      <c r="O178">
        <v>20992</v>
      </c>
      <c r="P178">
        <v>33948</v>
      </c>
      <c r="Q178">
        <v>40344</v>
      </c>
      <c r="R178">
        <v>33948</v>
      </c>
      <c r="S178">
        <v>23616</v>
      </c>
      <c r="T178">
        <v>22632</v>
      </c>
      <c r="U178">
        <v>14924</v>
      </c>
      <c r="V178">
        <v>20664</v>
      </c>
      <c r="W178">
        <v>19516</v>
      </c>
      <c r="AB178">
        <v>518076</v>
      </c>
      <c r="AC178">
        <v>5494000</v>
      </c>
    </row>
    <row r="179" spans="1:29" x14ac:dyDescent="0.3">
      <c r="A179" t="s">
        <v>157</v>
      </c>
      <c r="B179">
        <v>0</v>
      </c>
      <c r="C179">
        <v>2952</v>
      </c>
      <c r="D179">
        <v>9512</v>
      </c>
      <c r="E179">
        <v>17056</v>
      </c>
      <c r="F179">
        <v>26568</v>
      </c>
      <c r="G179">
        <v>37228</v>
      </c>
      <c r="H179">
        <v>37228</v>
      </c>
      <c r="I179">
        <v>37228</v>
      </c>
      <c r="J179">
        <v>11480</v>
      </c>
      <c r="K179">
        <v>24764</v>
      </c>
      <c r="L179">
        <v>24764</v>
      </c>
      <c r="M179">
        <v>24764</v>
      </c>
      <c r="N179">
        <v>33948</v>
      </c>
      <c r="O179">
        <v>20992</v>
      </c>
      <c r="P179">
        <v>33948</v>
      </c>
      <c r="Q179">
        <v>40344</v>
      </c>
      <c r="R179">
        <v>33948</v>
      </c>
      <c r="S179">
        <v>23616</v>
      </c>
      <c r="T179">
        <v>22632</v>
      </c>
      <c r="U179">
        <v>14924</v>
      </c>
      <c r="V179">
        <v>20664</v>
      </c>
      <c r="W179">
        <v>19516</v>
      </c>
      <c r="X179">
        <v>6232</v>
      </c>
      <c r="AB179">
        <v>524308</v>
      </c>
      <c r="AC179">
        <v>6018308</v>
      </c>
    </row>
    <row r="180" spans="1:29" x14ac:dyDescent="0.3">
      <c r="A180" t="s">
        <v>158</v>
      </c>
      <c r="B180">
        <v>0</v>
      </c>
      <c r="C180">
        <v>2952</v>
      </c>
      <c r="D180">
        <v>9512</v>
      </c>
      <c r="E180">
        <v>17056</v>
      </c>
      <c r="F180">
        <v>26568</v>
      </c>
      <c r="G180">
        <v>37228</v>
      </c>
      <c r="H180">
        <v>37228</v>
      </c>
      <c r="I180">
        <v>37228</v>
      </c>
      <c r="J180">
        <v>11480</v>
      </c>
      <c r="K180">
        <v>24764</v>
      </c>
      <c r="L180">
        <v>24764</v>
      </c>
      <c r="M180">
        <v>24764</v>
      </c>
      <c r="N180">
        <v>33948</v>
      </c>
      <c r="O180">
        <v>20992</v>
      </c>
      <c r="P180">
        <v>33948</v>
      </c>
      <c r="Q180">
        <v>40344</v>
      </c>
      <c r="R180">
        <v>33948</v>
      </c>
      <c r="S180">
        <v>23616</v>
      </c>
      <c r="T180">
        <v>22632</v>
      </c>
      <c r="U180">
        <v>14924</v>
      </c>
      <c r="V180">
        <v>20664</v>
      </c>
      <c r="W180">
        <v>19516</v>
      </c>
      <c r="X180">
        <v>6232</v>
      </c>
      <c r="Y180">
        <v>10988</v>
      </c>
      <c r="AB180">
        <v>535296</v>
      </c>
      <c r="AC180">
        <v>6553604</v>
      </c>
    </row>
    <row r="181" spans="1:29" x14ac:dyDescent="0.3">
      <c r="A181" t="s">
        <v>159</v>
      </c>
      <c r="B181">
        <v>0</v>
      </c>
      <c r="C181">
        <v>2952</v>
      </c>
      <c r="D181">
        <v>9512</v>
      </c>
      <c r="E181">
        <v>17056</v>
      </c>
      <c r="F181">
        <v>26568</v>
      </c>
      <c r="G181">
        <v>37228</v>
      </c>
      <c r="H181">
        <v>37228</v>
      </c>
      <c r="I181">
        <v>37228</v>
      </c>
      <c r="J181">
        <v>11480</v>
      </c>
      <c r="K181">
        <v>24764</v>
      </c>
      <c r="L181">
        <v>24764</v>
      </c>
      <c r="M181">
        <v>24764</v>
      </c>
      <c r="N181">
        <v>33948</v>
      </c>
      <c r="O181">
        <v>20992</v>
      </c>
      <c r="P181">
        <v>33948</v>
      </c>
      <c r="Q181">
        <v>40344</v>
      </c>
      <c r="R181">
        <v>33948</v>
      </c>
      <c r="S181">
        <v>23616</v>
      </c>
      <c r="T181">
        <v>22632</v>
      </c>
      <c r="U181">
        <v>14924</v>
      </c>
      <c r="V181">
        <v>20664</v>
      </c>
      <c r="W181">
        <v>19516</v>
      </c>
      <c r="X181">
        <v>6232</v>
      </c>
      <c r="Y181">
        <v>10988</v>
      </c>
      <c r="Z181">
        <v>10496</v>
      </c>
      <c r="AB181">
        <v>545792</v>
      </c>
      <c r="AC181">
        <v>7099396</v>
      </c>
    </row>
    <row r="182" spans="1:29" x14ac:dyDescent="0.3">
      <c r="A182" t="s">
        <v>160</v>
      </c>
      <c r="B182">
        <v>0</v>
      </c>
      <c r="C182">
        <v>2952</v>
      </c>
      <c r="D182">
        <v>9512</v>
      </c>
      <c r="E182">
        <v>17056</v>
      </c>
      <c r="F182">
        <v>26568</v>
      </c>
      <c r="G182">
        <v>37228</v>
      </c>
      <c r="H182">
        <v>37228</v>
      </c>
      <c r="I182">
        <v>37228</v>
      </c>
      <c r="J182">
        <v>11480</v>
      </c>
      <c r="K182">
        <v>24764</v>
      </c>
      <c r="L182">
        <v>24764</v>
      </c>
      <c r="M182">
        <v>24764</v>
      </c>
      <c r="N182">
        <v>33948</v>
      </c>
      <c r="O182">
        <v>20992</v>
      </c>
      <c r="P182">
        <v>33948</v>
      </c>
      <c r="Q182">
        <v>40344</v>
      </c>
      <c r="R182">
        <v>33948</v>
      </c>
      <c r="S182">
        <v>23616</v>
      </c>
      <c r="T182">
        <v>22632</v>
      </c>
      <c r="U182">
        <v>14924</v>
      </c>
      <c r="V182">
        <v>20664</v>
      </c>
      <c r="W182">
        <v>19516</v>
      </c>
      <c r="X182">
        <v>6232</v>
      </c>
      <c r="Y182">
        <v>10988</v>
      </c>
      <c r="Z182">
        <v>10496</v>
      </c>
      <c r="AA182">
        <v>15416</v>
      </c>
      <c r="AB182">
        <v>561208</v>
      </c>
      <c r="AC182">
        <v>7660604</v>
      </c>
    </row>
    <row r="183" spans="1:29" x14ac:dyDescent="0.3">
      <c r="AB183">
        <v>7660604</v>
      </c>
      <c r="AC183">
        <v>28114416.68</v>
      </c>
    </row>
    <row r="184" spans="1:29" x14ac:dyDescent="0.3">
      <c r="AB184">
        <v>7.6606040000000002</v>
      </c>
    </row>
    <row r="186" spans="1:29" x14ac:dyDescent="0.3">
      <c r="A186" t="s">
        <v>174</v>
      </c>
      <c r="B186">
        <v>0</v>
      </c>
      <c r="C186">
        <v>767.52</v>
      </c>
      <c r="AB186">
        <v>767.52</v>
      </c>
      <c r="AC186">
        <v>767.52</v>
      </c>
    </row>
    <row r="187" spans="1:29" x14ac:dyDescent="0.3">
      <c r="A187" t="s">
        <v>164</v>
      </c>
      <c r="B187">
        <v>0</v>
      </c>
      <c r="C187">
        <v>767.52</v>
      </c>
      <c r="D187">
        <v>2473.12</v>
      </c>
      <c r="AB187">
        <v>3240.64</v>
      </c>
      <c r="AC187">
        <v>4008.16</v>
      </c>
    </row>
    <row r="188" spans="1:29" x14ac:dyDescent="0.3">
      <c r="A188" t="s">
        <v>138</v>
      </c>
      <c r="B188">
        <v>0</v>
      </c>
      <c r="C188">
        <v>767.52</v>
      </c>
      <c r="D188">
        <v>2473.12</v>
      </c>
      <c r="E188">
        <v>4434.5600000000004</v>
      </c>
      <c r="AB188">
        <v>7675.2000000000007</v>
      </c>
      <c r="AC188">
        <v>11683.36</v>
      </c>
    </row>
    <row r="189" spans="1:29" x14ac:dyDescent="0.3">
      <c r="A189" t="s">
        <v>139</v>
      </c>
      <c r="B189">
        <v>0</v>
      </c>
      <c r="C189">
        <v>767.52</v>
      </c>
      <c r="D189">
        <v>2473.12</v>
      </c>
      <c r="E189">
        <v>4434.5600000000004</v>
      </c>
      <c r="F189">
        <v>6907.68</v>
      </c>
      <c r="AB189">
        <v>14582.880000000001</v>
      </c>
      <c r="AC189">
        <v>26266.240000000002</v>
      </c>
    </row>
    <row r="190" spans="1:29" x14ac:dyDescent="0.3">
      <c r="A190" t="s">
        <v>140</v>
      </c>
      <c r="B190">
        <v>0</v>
      </c>
      <c r="C190">
        <v>767.52</v>
      </c>
      <c r="D190">
        <v>2473.12</v>
      </c>
      <c r="E190">
        <v>4434.5600000000004</v>
      </c>
      <c r="F190">
        <v>6907.68</v>
      </c>
      <c r="G190">
        <v>9679.2800000000007</v>
      </c>
      <c r="AB190">
        <v>24262.160000000003</v>
      </c>
      <c r="AC190">
        <v>50528.400000000009</v>
      </c>
    </row>
    <row r="191" spans="1:29" x14ac:dyDescent="0.3">
      <c r="A191" t="s">
        <v>141</v>
      </c>
      <c r="B191">
        <v>0</v>
      </c>
      <c r="C191">
        <v>767.52</v>
      </c>
      <c r="D191">
        <v>2473.12</v>
      </c>
      <c r="E191">
        <v>4434.5600000000004</v>
      </c>
      <c r="F191">
        <v>6907.68</v>
      </c>
      <c r="G191">
        <v>9679.2800000000007</v>
      </c>
      <c r="H191">
        <v>9679.2800000000007</v>
      </c>
      <c r="AB191">
        <v>33941.440000000002</v>
      </c>
      <c r="AC191">
        <v>84469.840000000011</v>
      </c>
    </row>
    <row r="192" spans="1:29" x14ac:dyDescent="0.3">
      <c r="A192" t="s">
        <v>142</v>
      </c>
      <c r="B192">
        <v>0</v>
      </c>
      <c r="C192">
        <v>767.52</v>
      </c>
      <c r="D192">
        <v>2473.12</v>
      </c>
      <c r="E192">
        <v>4434.5600000000004</v>
      </c>
      <c r="F192">
        <v>6907.68</v>
      </c>
      <c r="G192">
        <v>9679.2800000000007</v>
      </c>
      <c r="H192">
        <v>9679.2800000000007</v>
      </c>
      <c r="I192">
        <v>9679.2800000000007</v>
      </c>
      <c r="AB192">
        <v>43620.72</v>
      </c>
      <c r="AC192">
        <v>128090.56000000001</v>
      </c>
    </row>
    <row r="193" spans="1:29" x14ac:dyDescent="0.3">
      <c r="A193" t="s">
        <v>143</v>
      </c>
      <c r="B193">
        <v>0</v>
      </c>
      <c r="C193">
        <v>767.52</v>
      </c>
      <c r="D193">
        <v>2473.12</v>
      </c>
      <c r="E193">
        <v>4434.5600000000004</v>
      </c>
      <c r="F193">
        <v>6907.68</v>
      </c>
      <c r="G193">
        <v>9679.2800000000007</v>
      </c>
      <c r="H193">
        <v>9679.2800000000007</v>
      </c>
      <c r="I193">
        <v>9679.2800000000007</v>
      </c>
      <c r="J193">
        <v>2984.7999999999997</v>
      </c>
      <c r="AB193">
        <v>46605.520000000004</v>
      </c>
      <c r="AC193">
        <v>174696.08000000002</v>
      </c>
    </row>
    <row r="194" spans="1:29" x14ac:dyDescent="0.3">
      <c r="A194" t="s">
        <v>144</v>
      </c>
      <c r="B194">
        <v>0</v>
      </c>
      <c r="C194">
        <v>767.52</v>
      </c>
      <c r="D194">
        <v>2473.12</v>
      </c>
      <c r="E194">
        <v>4434.5600000000004</v>
      </c>
      <c r="F194">
        <v>6907.68</v>
      </c>
      <c r="G194">
        <v>9679.2800000000007</v>
      </c>
      <c r="H194">
        <v>9679.2800000000007</v>
      </c>
      <c r="I194">
        <v>9679.2800000000007</v>
      </c>
      <c r="J194">
        <v>2984.7999999999997</v>
      </c>
      <c r="K194">
        <v>6438.64</v>
      </c>
      <c r="AB194">
        <v>53044.160000000003</v>
      </c>
      <c r="AC194">
        <v>227740.24000000002</v>
      </c>
    </row>
    <row r="195" spans="1:29" x14ac:dyDescent="0.3">
      <c r="A195" t="s">
        <v>145</v>
      </c>
      <c r="B195">
        <v>0</v>
      </c>
      <c r="C195">
        <v>767.52</v>
      </c>
      <c r="D195">
        <v>2473.12</v>
      </c>
      <c r="E195">
        <v>4434.5600000000004</v>
      </c>
      <c r="F195">
        <v>6907.68</v>
      </c>
      <c r="G195">
        <v>9679.2800000000007</v>
      </c>
      <c r="H195">
        <v>9679.2800000000007</v>
      </c>
      <c r="I195">
        <v>9679.2800000000007</v>
      </c>
      <c r="J195">
        <v>2984.7999999999997</v>
      </c>
      <c r="K195">
        <v>6438.64</v>
      </c>
      <c r="L195">
        <v>6438.64</v>
      </c>
      <c r="AB195">
        <v>59482.8</v>
      </c>
      <c r="AC195">
        <v>287223.04000000004</v>
      </c>
    </row>
    <row r="196" spans="1:29" x14ac:dyDescent="0.3">
      <c r="A196" t="s">
        <v>146</v>
      </c>
      <c r="B196">
        <v>0</v>
      </c>
      <c r="C196">
        <v>767.52</v>
      </c>
      <c r="D196">
        <v>2473.12</v>
      </c>
      <c r="E196">
        <v>4434.5600000000004</v>
      </c>
      <c r="F196">
        <v>6907.68</v>
      </c>
      <c r="G196">
        <v>9679.2800000000007</v>
      </c>
      <c r="H196">
        <v>9679.2800000000007</v>
      </c>
      <c r="I196">
        <v>9679.2800000000007</v>
      </c>
      <c r="J196">
        <v>2984.7999999999997</v>
      </c>
      <c r="K196">
        <v>6438.64</v>
      </c>
      <c r="L196">
        <v>6438.64</v>
      </c>
      <c r="M196">
        <v>6438.64</v>
      </c>
      <c r="AB196">
        <v>65921.440000000002</v>
      </c>
      <c r="AC196">
        <v>353144.48000000004</v>
      </c>
    </row>
    <row r="197" spans="1:29" x14ac:dyDescent="0.3">
      <c r="A197" t="s">
        <v>147</v>
      </c>
      <c r="B197">
        <v>0</v>
      </c>
      <c r="C197">
        <v>767.52</v>
      </c>
      <c r="D197">
        <v>2473.12</v>
      </c>
      <c r="E197">
        <v>4434.5600000000004</v>
      </c>
      <c r="F197">
        <v>6907.68</v>
      </c>
      <c r="G197">
        <v>9679.2800000000007</v>
      </c>
      <c r="H197">
        <v>9679.2800000000007</v>
      </c>
      <c r="I197">
        <v>9679.2800000000007</v>
      </c>
      <c r="J197">
        <v>2984.7999999999997</v>
      </c>
      <c r="K197">
        <v>6438.64</v>
      </c>
      <c r="L197">
        <v>6438.64</v>
      </c>
      <c r="M197">
        <v>6438.64</v>
      </c>
      <c r="N197">
        <v>8826.48</v>
      </c>
      <c r="AB197">
        <v>74747.92</v>
      </c>
      <c r="AC197">
        <v>427892.4</v>
      </c>
    </row>
    <row r="198" spans="1:29" x14ac:dyDescent="0.3">
      <c r="A198" t="s">
        <v>148</v>
      </c>
      <c r="B198">
        <v>0</v>
      </c>
      <c r="C198">
        <v>767.52</v>
      </c>
      <c r="D198">
        <v>2473.12</v>
      </c>
      <c r="E198">
        <v>4434.5600000000004</v>
      </c>
      <c r="F198">
        <v>6907.68</v>
      </c>
      <c r="G198">
        <v>9679.2800000000007</v>
      </c>
      <c r="H198">
        <v>9679.2800000000007</v>
      </c>
      <c r="I198">
        <v>9679.2800000000007</v>
      </c>
      <c r="J198">
        <v>2984.7999999999997</v>
      </c>
      <c r="K198">
        <v>6438.64</v>
      </c>
      <c r="L198">
        <v>6438.64</v>
      </c>
      <c r="M198">
        <v>6438.64</v>
      </c>
      <c r="N198">
        <v>8826.48</v>
      </c>
      <c r="O198">
        <v>5457.920000000001</v>
      </c>
      <c r="AB198">
        <v>80205.84</v>
      </c>
      <c r="AC198">
        <v>508098.24</v>
      </c>
    </row>
    <row r="199" spans="1:29" x14ac:dyDescent="0.3">
      <c r="A199" t="s">
        <v>149</v>
      </c>
      <c r="B199">
        <v>0</v>
      </c>
      <c r="C199">
        <v>767.52</v>
      </c>
      <c r="D199">
        <v>2473.12</v>
      </c>
      <c r="E199">
        <v>4434.5600000000004</v>
      </c>
      <c r="F199">
        <v>6907.68</v>
      </c>
      <c r="G199">
        <v>9679.2800000000007</v>
      </c>
      <c r="H199">
        <v>9679.2800000000007</v>
      </c>
      <c r="I199">
        <v>9679.2800000000007</v>
      </c>
      <c r="J199">
        <v>2984.7999999999997</v>
      </c>
      <c r="K199">
        <v>6438.64</v>
      </c>
      <c r="L199">
        <v>6438.64</v>
      </c>
      <c r="M199">
        <v>6438.64</v>
      </c>
      <c r="N199">
        <v>8826.48</v>
      </c>
      <c r="O199">
        <v>5457.920000000001</v>
      </c>
      <c r="P199">
        <v>8826.48</v>
      </c>
      <c r="AB199">
        <v>89032.319999999992</v>
      </c>
      <c r="AC199">
        <v>597130.55999999994</v>
      </c>
    </row>
    <row r="200" spans="1:29" x14ac:dyDescent="0.3">
      <c r="A200" t="s">
        <v>150</v>
      </c>
      <c r="B200">
        <v>0</v>
      </c>
      <c r="C200">
        <v>767.52</v>
      </c>
      <c r="D200">
        <v>2473.12</v>
      </c>
      <c r="E200">
        <v>4434.5600000000004</v>
      </c>
      <c r="F200">
        <v>6907.68</v>
      </c>
      <c r="G200">
        <v>9679.2800000000007</v>
      </c>
      <c r="H200">
        <v>9679.2800000000007</v>
      </c>
      <c r="I200">
        <v>9679.2800000000007</v>
      </c>
      <c r="J200">
        <v>2984.7999999999997</v>
      </c>
      <c r="K200">
        <v>6438.64</v>
      </c>
      <c r="L200">
        <v>6438.64</v>
      </c>
      <c r="M200">
        <v>6438.64</v>
      </c>
      <c r="N200">
        <v>8826.48</v>
      </c>
      <c r="O200">
        <v>5457.920000000001</v>
      </c>
      <c r="P200">
        <v>8826.48</v>
      </c>
      <c r="Q200">
        <v>10489.44</v>
      </c>
      <c r="AB200">
        <v>99521.76</v>
      </c>
      <c r="AC200">
        <v>696652.32</v>
      </c>
    </row>
    <row r="201" spans="1:29" x14ac:dyDescent="0.3">
      <c r="A201" t="s">
        <v>151</v>
      </c>
      <c r="B201">
        <v>0</v>
      </c>
      <c r="C201">
        <v>767.52</v>
      </c>
      <c r="D201">
        <v>2473.12</v>
      </c>
      <c r="E201">
        <v>4434.5600000000004</v>
      </c>
      <c r="F201">
        <v>6907.68</v>
      </c>
      <c r="G201">
        <v>9679.2800000000007</v>
      </c>
      <c r="H201">
        <v>9679.2800000000007</v>
      </c>
      <c r="I201">
        <v>9679.2800000000007</v>
      </c>
      <c r="J201">
        <v>2984.7999999999997</v>
      </c>
      <c r="K201">
        <v>6438.64</v>
      </c>
      <c r="L201">
        <v>6438.64</v>
      </c>
      <c r="M201">
        <v>6438.64</v>
      </c>
      <c r="N201">
        <v>8826.48</v>
      </c>
      <c r="O201">
        <v>5457.920000000001</v>
      </c>
      <c r="P201">
        <v>8826.48</v>
      </c>
      <c r="Q201">
        <v>10489.44</v>
      </c>
      <c r="R201">
        <v>8826.48</v>
      </c>
      <c r="AB201">
        <v>108348.23999999999</v>
      </c>
      <c r="AC201">
        <v>805000.55999999994</v>
      </c>
    </row>
    <row r="202" spans="1:29" x14ac:dyDescent="0.3">
      <c r="A202" t="s">
        <v>152</v>
      </c>
      <c r="B202">
        <v>0</v>
      </c>
      <c r="C202">
        <v>767.52</v>
      </c>
      <c r="D202">
        <v>2473.12</v>
      </c>
      <c r="E202">
        <v>4434.5600000000004</v>
      </c>
      <c r="F202">
        <v>6907.68</v>
      </c>
      <c r="G202">
        <v>9679.2800000000007</v>
      </c>
      <c r="H202">
        <v>9679.2800000000007</v>
      </c>
      <c r="I202">
        <v>9679.2800000000007</v>
      </c>
      <c r="J202">
        <v>2984.7999999999997</v>
      </c>
      <c r="K202">
        <v>6438.64</v>
      </c>
      <c r="L202">
        <v>6438.64</v>
      </c>
      <c r="M202">
        <v>6438.64</v>
      </c>
      <c r="N202">
        <v>8826.48</v>
      </c>
      <c r="O202">
        <v>5457.920000000001</v>
      </c>
      <c r="P202">
        <v>8826.48</v>
      </c>
      <c r="Q202">
        <v>10489.44</v>
      </c>
      <c r="R202">
        <v>8826.48</v>
      </c>
      <c r="S202">
        <v>6140.16</v>
      </c>
      <c r="AB202">
        <v>114488.4</v>
      </c>
      <c r="AC202">
        <v>919488.96</v>
      </c>
    </row>
    <row r="203" spans="1:29" x14ac:dyDescent="0.3">
      <c r="A203" t="s">
        <v>153</v>
      </c>
      <c r="B203">
        <v>0</v>
      </c>
      <c r="C203">
        <v>767.52</v>
      </c>
      <c r="D203">
        <v>2473.12</v>
      </c>
      <c r="E203">
        <v>4434.5600000000004</v>
      </c>
      <c r="F203">
        <v>6907.68</v>
      </c>
      <c r="G203">
        <v>9679.2800000000007</v>
      </c>
      <c r="H203">
        <v>9679.2800000000007</v>
      </c>
      <c r="I203">
        <v>9679.2800000000007</v>
      </c>
      <c r="J203">
        <v>2984.7999999999997</v>
      </c>
      <c r="K203">
        <v>6438.64</v>
      </c>
      <c r="L203">
        <v>6438.64</v>
      </c>
      <c r="M203">
        <v>6438.64</v>
      </c>
      <c r="N203">
        <v>8826.48</v>
      </c>
      <c r="O203">
        <v>5457.920000000001</v>
      </c>
      <c r="P203">
        <v>8826.48</v>
      </c>
      <c r="Q203">
        <v>10489.44</v>
      </c>
      <c r="R203">
        <v>8826.48</v>
      </c>
      <c r="S203">
        <v>6140.16</v>
      </c>
      <c r="T203">
        <v>5884.32</v>
      </c>
      <c r="AB203">
        <v>120372.72</v>
      </c>
      <c r="AC203">
        <v>1039861.6799999999</v>
      </c>
    </row>
    <row r="204" spans="1:29" x14ac:dyDescent="0.3">
      <c r="A204" t="s">
        <v>154</v>
      </c>
      <c r="B204">
        <v>0</v>
      </c>
      <c r="C204">
        <v>767.52</v>
      </c>
      <c r="D204">
        <v>2473.12</v>
      </c>
      <c r="E204">
        <v>4434.5600000000004</v>
      </c>
      <c r="F204">
        <v>6907.68</v>
      </c>
      <c r="G204">
        <v>9679.2800000000007</v>
      </c>
      <c r="H204">
        <v>9679.2800000000007</v>
      </c>
      <c r="I204">
        <v>9679.2800000000007</v>
      </c>
      <c r="J204">
        <v>2984.7999999999997</v>
      </c>
      <c r="K204">
        <v>6438.64</v>
      </c>
      <c r="L204">
        <v>6438.64</v>
      </c>
      <c r="M204">
        <v>6438.64</v>
      </c>
      <c r="N204">
        <v>8826.48</v>
      </c>
      <c r="O204">
        <v>5457.920000000001</v>
      </c>
      <c r="P204">
        <v>8826.48</v>
      </c>
      <c r="Q204">
        <v>10489.44</v>
      </c>
      <c r="R204">
        <v>8826.48</v>
      </c>
      <c r="S204">
        <v>6140.16</v>
      </c>
      <c r="T204">
        <v>5884.32</v>
      </c>
      <c r="U204">
        <v>3880.2400000000002</v>
      </c>
      <c r="AB204">
        <v>124252.96</v>
      </c>
      <c r="AC204">
        <v>1164114.6399999999</v>
      </c>
    </row>
    <row r="205" spans="1:29" x14ac:dyDescent="0.3">
      <c r="A205" t="s">
        <v>155</v>
      </c>
      <c r="B205">
        <v>0</v>
      </c>
      <c r="C205">
        <v>767.52</v>
      </c>
      <c r="D205">
        <v>2473.12</v>
      </c>
      <c r="E205">
        <v>4434.5600000000004</v>
      </c>
      <c r="F205">
        <v>6907.68</v>
      </c>
      <c r="G205">
        <v>9679.2800000000007</v>
      </c>
      <c r="H205">
        <v>9679.2800000000007</v>
      </c>
      <c r="I205">
        <v>9679.2800000000007</v>
      </c>
      <c r="J205">
        <v>2984.7999999999997</v>
      </c>
      <c r="K205">
        <v>6438.64</v>
      </c>
      <c r="L205">
        <v>6438.64</v>
      </c>
      <c r="M205">
        <v>6438.64</v>
      </c>
      <c r="N205">
        <v>8826.48</v>
      </c>
      <c r="O205">
        <v>5457.920000000001</v>
      </c>
      <c r="P205">
        <v>8826.48</v>
      </c>
      <c r="Q205">
        <v>10489.44</v>
      </c>
      <c r="R205">
        <v>8826.48</v>
      </c>
      <c r="S205">
        <v>6140.16</v>
      </c>
      <c r="T205">
        <v>5884.32</v>
      </c>
      <c r="U205">
        <v>3880.2400000000002</v>
      </c>
      <c r="V205">
        <v>5372.64</v>
      </c>
      <c r="AB205">
        <v>129625.60000000001</v>
      </c>
      <c r="AC205">
        <v>1293740.24</v>
      </c>
    </row>
    <row r="206" spans="1:29" x14ac:dyDescent="0.3">
      <c r="A206" t="s">
        <v>156</v>
      </c>
      <c r="B206">
        <v>0</v>
      </c>
      <c r="C206">
        <v>767.52</v>
      </c>
      <c r="D206">
        <v>2473.12</v>
      </c>
      <c r="E206">
        <v>4434.5600000000004</v>
      </c>
      <c r="F206">
        <v>6907.68</v>
      </c>
      <c r="G206">
        <v>9679.2800000000007</v>
      </c>
      <c r="H206">
        <v>9679.2800000000007</v>
      </c>
      <c r="I206">
        <v>9679.2800000000007</v>
      </c>
      <c r="J206">
        <v>2984.7999999999997</v>
      </c>
      <c r="K206">
        <v>6438.64</v>
      </c>
      <c r="L206">
        <v>6438.64</v>
      </c>
      <c r="M206">
        <v>6438.64</v>
      </c>
      <c r="N206">
        <v>8826.48</v>
      </c>
      <c r="O206">
        <v>5457.920000000001</v>
      </c>
      <c r="P206">
        <v>8826.48</v>
      </c>
      <c r="Q206">
        <v>10489.44</v>
      </c>
      <c r="R206">
        <v>8826.48</v>
      </c>
      <c r="S206">
        <v>6140.16</v>
      </c>
      <c r="T206">
        <v>5884.32</v>
      </c>
      <c r="U206">
        <v>3880.2400000000002</v>
      </c>
      <c r="V206">
        <v>5372.64</v>
      </c>
      <c r="W206">
        <v>5074.16</v>
      </c>
      <c r="AB206">
        <v>134699.76</v>
      </c>
      <c r="AC206">
        <v>1428440</v>
      </c>
    </row>
    <row r="207" spans="1:29" x14ac:dyDescent="0.3">
      <c r="A207" t="s">
        <v>157</v>
      </c>
      <c r="B207">
        <v>0</v>
      </c>
      <c r="C207">
        <v>767.52</v>
      </c>
      <c r="D207">
        <v>2473.12</v>
      </c>
      <c r="E207">
        <v>4434.5600000000004</v>
      </c>
      <c r="F207">
        <v>6907.68</v>
      </c>
      <c r="G207">
        <v>9679.2800000000007</v>
      </c>
      <c r="H207">
        <v>9679.2800000000007</v>
      </c>
      <c r="I207">
        <v>9679.2800000000007</v>
      </c>
      <c r="J207">
        <v>2984.7999999999997</v>
      </c>
      <c r="K207">
        <v>6438.64</v>
      </c>
      <c r="L207">
        <v>6438.64</v>
      </c>
      <c r="M207">
        <v>6438.64</v>
      </c>
      <c r="N207">
        <v>8826.48</v>
      </c>
      <c r="O207">
        <v>5457.920000000001</v>
      </c>
      <c r="P207">
        <v>8826.48</v>
      </c>
      <c r="Q207">
        <v>10489.44</v>
      </c>
      <c r="R207">
        <v>8826.48</v>
      </c>
      <c r="S207">
        <v>6140.16</v>
      </c>
      <c r="T207">
        <v>5884.32</v>
      </c>
      <c r="U207">
        <v>3880.2400000000002</v>
      </c>
      <c r="V207">
        <v>5372.64</v>
      </c>
      <c r="W207">
        <v>5074.16</v>
      </c>
      <c r="X207">
        <v>1620.32</v>
      </c>
      <c r="AB207">
        <v>136320.08000000002</v>
      </c>
      <c r="AC207">
        <v>1564760.08</v>
      </c>
    </row>
    <row r="208" spans="1:29" x14ac:dyDescent="0.3">
      <c r="A208" t="s">
        <v>158</v>
      </c>
      <c r="B208">
        <v>0</v>
      </c>
      <c r="C208">
        <v>767.52</v>
      </c>
      <c r="D208">
        <v>2473.12</v>
      </c>
      <c r="E208">
        <v>4434.5600000000004</v>
      </c>
      <c r="F208">
        <v>6907.68</v>
      </c>
      <c r="G208">
        <v>9679.2800000000007</v>
      </c>
      <c r="H208">
        <v>9679.2800000000007</v>
      </c>
      <c r="I208">
        <v>9679.2800000000007</v>
      </c>
      <c r="J208">
        <v>2984.7999999999997</v>
      </c>
      <c r="K208">
        <v>6438.64</v>
      </c>
      <c r="L208">
        <v>6438.64</v>
      </c>
      <c r="M208">
        <v>6438.64</v>
      </c>
      <c r="N208">
        <v>8826.48</v>
      </c>
      <c r="O208">
        <v>5457.920000000001</v>
      </c>
      <c r="P208">
        <v>8826.48</v>
      </c>
      <c r="Q208">
        <v>10489.44</v>
      </c>
      <c r="R208">
        <v>8826.48</v>
      </c>
      <c r="S208">
        <v>6140.16</v>
      </c>
      <c r="T208">
        <v>5884.32</v>
      </c>
      <c r="U208">
        <v>3880.2400000000002</v>
      </c>
      <c r="V208">
        <v>5372.64</v>
      </c>
      <c r="W208">
        <v>5074.16</v>
      </c>
      <c r="X208">
        <v>1620.32</v>
      </c>
      <c r="Y208">
        <v>2856.8800000000006</v>
      </c>
      <c r="AB208">
        <v>139176.96000000002</v>
      </c>
      <c r="AC208">
        <v>1703937.04</v>
      </c>
    </row>
    <row r="209" spans="1:29" x14ac:dyDescent="0.3">
      <c r="A209" t="s">
        <v>159</v>
      </c>
      <c r="B209">
        <v>0</v>
      </c>
      <c r="C209">
        <v>767.52</v>
      </c>
      <c r="D209">
        <v>2473.12</v>
      </c>
      <c r="E209">
        <v>4434.5600000000004</v>
      </c>
      <c r="F209">
        <v>6907.68</v>
      </c>
      <c r="G209">
        <v>9679.2800000000007</v>
      </c>
      <c r="H209">
        <v>9679.2800000000007</v>
      </c>
      <c r="I209">
        <v>9679.2800000000007</v>
      </c>
      <c r="J209">
        <v>2984.7999999999997</v>
      </c>
      <c r="K209">
        <v>6438.64</v>
      </c>
      <c r="L209">
        <v>6438.64</v>
      </c>
      <c r="M209">
        <v>6438.64</v>
      </c>
      <c r="N209">
        <v>8826.48</v>
      </c>
      <c r="O209">
        <v>5457.920000000001</v>
      </c>
      <c r="P209">
        <v>8826.48</v>
      </c>
      <c r="Q209">
        <v>10489.44</v>
      </c>
      <c r="R209">
        <v>8826.48</v>
      </c>
      <c r="S209">
        <v>6140.16</v>
      </c>
      <c r="T209">
        <v>5884.32</v>
      </c>
      <c r="U209">
        <v>3880.2400000000002</v>
      </c>
      <c r="V209">
        <v>5372.64</v>
      </c>
      <c r="W209">
        <v>5074.16</v>
      </c>
      <c r="X209">
        <v>1620.32</v>
      </c>
      <c r="Y209">
        <v>2856.8800000000006</v>
      </c>
      <c r="Z209">
        <v>2728.9600000000005</v>
      </c>
      <c r="AB209">
        <v>141905.92000000001</v>
      </c>
      <c r="AC209">
        <v>1845842.96</v>
      </c>
    </row>
    <row r="210" spans="1:29" x14ac:dyDescent="0.3">
      <c r="A210" t="s">
        <v>160</v>
      </c>
      <c r="B210">
        <v>0</v>
      </c>
      <c r="C210">
        <v>767.52</v>
      </c>
      <c r="D210">
        <v>2473.12</v>
      </c>
      <c r="E210">
        <v>4434.5600000000004</v>
      </c>
      <c r="F210">
        <v>6907.68</v>
      </c>
      <c r="G210">
        <v>9679.2800000000007</v>
      </c>
      <c r="H210">
        <v>9679.2800000000007</v>
      </c>
      <c r="I210">
        <v>9679.2800000000007</v>
      </c>
      <c r="J210">
        <v>2984.7999999999997</v>
      </c>
      <c r="K210">
        <v>6438.64</v>
      </c>
      <c r="L210">
        <v>6438.64</v>
      </c>
      <c r="M210">
        <v>6438.64</v>
      </c>
      <c r="N210">
        <v>8826.48</v>
      </c>
      <c r="O210">
        <v>5457.920000000001</v>
      </c>
      <c r="P210">
        <v>8826.48</v>
      </c>
      <c r="Q210">
        <v>10489.44</v>
      </c>
      <c r="R210">
        <v>8826.48</v>
      </c>
      <c r="S210">
        <v>6140.16</v>
      </c>
      <c r="T210">
        <v>5884.32</v>
      </c>
      <c r="U210">
        <v>3880.2400000000002</v>
      </c>
      <c r="V210">
        <v>5372.64</v>
      </c>
      <c r="W210">
        <v>5074.16</v>
      </c>
      <c r="X210">
        <v>1620.32</v>
      </c>
      <c r="Y210">
        <v>2856.8800000000006</v>
      </c>
      <c r="Z210">
        <v>2728.9600000000005</v>
      </c>
      <c r="AA210">
        <v>4008.1600000000003</v>
      </c>
      <c r="AB210">
        <v>145914.08000000002</v>
      </c>
      <c r="AC210">
        <v>1991757.04</v>
      </c>
    </row>
    <row r="211" spans="1:29" x14ac:dyDescent="0.3">
      <c r="AB211">
        <v>1991757.04</v>
      </c>
      <c r="AC211">
        <v>7309748.3367999997</v>
      </c>
    </row>
    <row r="212" spans="1:29" x14ac:dyDescent="0.3">
      <c r="AB212">
        <v>1.99175704</v>
      </c>
    </row>
    <row r="214" spans="1:29" x14ac:dyDescent="0.3">
      <c r="A214" t="s">
        <v>175</v>
      </c>
      <c r="B214">
        <v>1993</v>
      </c>
      <c r="C214">
        <v>1994</v>
      </c>
      <c r="D214">
        <v>1995</v>
      </c>
      <c r="E214">
        <v>1996</v>
      </c>
      <c r="F214">
        <v>1997</v>
      </c>
      <c r="G214">
        <v>1998</v>
      </c>
      <c r="H214">
        <v>1999</v>
      </c>
      <c r="I214">
        <v>2000</v>
      </c>
      <c r="J214">
        <v>2001</v>
      </c>
      <c r="K214">
        <v>2002</v>
      </c>
      <c r="L214">
        <v>2003</v>
      </c>
      <c r="M214">
        <v>2004</v>
      </c>
      <c r="N214">
        <v>2005</v>
      </c>
      <c r="O214">
        <v>2006</v>
      </c>
      <c r="P214">
        <v>2007</v>
      </c>
      <c r="Q214">
        <v>2008</v>
      </c>
      <c r="R214">
        <v>2009</v>
      </c>
      <c r="S214">
        <v>2010</v>
      </c>
      <c r="T214">
        <v>2011</v>
      </c>
      <c r="U214">
        <v>2012</v>
      </c>
      <c r="V214">
        <v>2013</v>
      </c>
      <c r="W214">
        <v>2014</v>
      </c>
      <c r="X214">
        <v>2015</v>
      </c>
      <c r="Y214">
        <v>2016</v>
      </c>
      <c r="Z214">
        <v>2017</v>
      </c>
      <c r="AA214">
        <v>2018</v>
      </c>
    </row>
    <row r="215" spans="1:29" x14ac:dyDescent="0.3">
      <c r="A215" t="s">
        <v>176</v>
      </c>
      <c r="B215">
        <v>0</v>
      </c>
      <c r="C215">
        <v>0.23</v>
      </c>
      <c r="D215">
        <v>0.64</v>
      </c>
      <c r="E215">
        <v>0.93</v>
      </c>
      <c r="F215">
        <v>1.73</v>
      </c>
      <c r="G215">
        <v>2.75</v>
      </c>
      <c r="H215">
        <v>2.75</v>
      </c>
      <c r="I215">
        <v>2.75</v>
      </c>
      <c r="J215">
        <v>1.18</v>
      </c>
      <c r="K215">
        <v>2.0030000000000001</v>
      </c>
      <c r="L215">
        <v>2.0030000000000001</v>
      </c>
      <c r="M215">
        <v>2.0030000000000001</v>
      </c>
      <c r="N215">
        <v>2.94</v>
      </c>
      <c r="O215">
        <v>1.88</v>
      </c>
      <c r="P215">
        <v>3.008</v>
      </c>
      <c r="Q215">
        <v>3.35</v>
      </c>
      <c r="R215">
        <v>3.03</v>
      </c>
      <c r="S215">
        <v>3.33</v>
      </c>
      <c r="T215">
        <v>2.36</v>
      </c>
      <c r="U215">
        <v>1.39</v>
      </c>
      <c r="V215">
        <v>2.2400000000000002</v>
      </c>
      <c r="W215">
        <v>2.52</v>
      </c>
      <c r="X215">
        <v>2.73</v>
      </c>
      <c r="Y215">
        <v>2.2599999999999998</v>
      </c>
      <c r="Z215">
        <v>2.12</v>
      </c>
      <c r="AA215">
        <v>2.74</v>
      </c>
    </row>
    <row r="216" spans="1:29" x14ac:dyDescent="0.3">
      <c r="A216" t="s">
        <v>173</v>
      </c>
      <c r="B216">
        <v>0</v>
      </c>
      <c r="C216">
        <v>3772</v>
      </c>
      <c r="AB216">
        <v>3772</v>
      </c>
      <c r="AC216">
        <v>3772</v>
      </c>
    </row>
    <row r="217" spans="1:29" x14ac:dyDescent="0.3">
      <c r="A217" t="s">
        <v>164</v>
      </c>
      <c r="B217">
        <v>0</v>
      </c>
      <c r="C217">
        <v>3772</v>
      </c>
      <c r="D217">
        <v>10496</v>
      </c>
      <c r="AB217">
        <v>14268</v>
      </c>
      <c r="AC217">
        <v>18040</v>
      </c>
    </row>
    <row r="218" spans="1:29" x14ac:dyDescent="0.3">
      <c r="A218" t="s">
        <v>138</v>
      </c>
      <c r="B218">
        <v>0</v>
      </c>
      <c r="C218">
        <v>3772</v>
      </c>
      <c r="D218">
        <v>10496</v>
      </c>
      <c r="E218">
        <v>15252</v>
      </c>
      <c r="AB218">
        <v>29520</v>
      </c>
      <c r="AC218">
        <v>47560</v>
      </c>
    </row>
    <row r="219" spans="1:29" x14ac:dyDescent="0.3">
      <c r="A219" t="s">
        <v>139</v>
      </c>
      <c r="B219">
        <v>0</v>
      </c>
      <c r="C219">
        <v>3772</v>
      </c>
      <c r="D219">
        <v>10496</v>
      </c>
      <c r="E219">
        <v>15252</v>
      </c>
      <c r="F219">
        <v>28372</v>
      </c>
      <c r="AB219">
        <v>57892</v>
      </c>
      <c r="AC219">
        <v>105452</v>
      </c>
    </row>
    <row r="220" spans="1:29" x14ac:dyDescent="0.3">
      <c r="A220" t="s">
        <v>140</v>
      </c>
      <c r="B220">
        <v>0</v>
      </c>
      <c r="C220">
        <v>3772</v>
      </c>
      <c r="D220">
        <v>10496</v>
      </c>
      <c r="E220">
        <v>15252</v>
      </c>
      <c r="F220">
        <v>28372</v>
      </c>
      <c r="G220">
        <v>45100</v>
      </c>
      <c r="AB220">
        <v>102992</v>
      </c>
      <c r="AC220">
        <v>208444</v>
      </c>
    </row>
    <row r="221" spans="1:29" x14ac:dyDescent="0.3">
      <c r="A221" t="s">
        <v>141</v>
      </c>
      <c r="B221">
        <v>0</v>
      </c>
      <c r="C221">
        <v>3772</v>
      </c>
      <c r="D221">
        <v>10496</v>
      </c>
      <c r="E221">
        <v>15252</v>
      </c>
      <c r="F221">
        <v>28372</v>
      </c>
      <c r="G221">
        <v>45100</v>
      </c>
      <c r="H221">
        <v>45100</v>
      </c>
      <c r="AB221">
        <v>148092</v>
      </c>
      <c r="AC221">
        <v>356536</v>
      </c>
    </row>
    <row r="222" spans="1:29" x14ac:dyDescent="0.3">
      <c r="A222" t="s">
        <v>142</v>
      </c>
      <c r="B222">
        <v>0</v>
      </c>
      <c r="C222">
        <v>3772</v>
      </c>
      <c r="D222">
        <v>10496</v>
      </c>
      <c r="E222">
        <v>15252</v>
      </c>
      <c r="F222">
        <v>28372</v>
      </c>
      <c r="G222">
        <v>45100</v>
      </c>
      <c r="H222">
        <v>45100</v>
      </c>
      <c r="I222">
        <v>45100</v>
      </c>
      <c r="AB222">
        <v>193192</v>
      </c>
      <c r="AC222">
        <v>549728</v>
      </c>
    </row>
    <row r="223" spans="1:29" x14ac:dyDescent="0.3">
      <c r="A223" t="s">
        <v>143</v>
      </c>
      <c r="B223">
        <v>0</v>
      </c>
      <c r="C223">
        <v>3772</v>
      </c>
      <c r="D223">
        <v>10496</v>
      </c>
      <c r="E223">
        <v>15252</v>
      </c>
      <c r="F223">
        <v>28372</v>
      </c>
      <c r="G223">
        <v>45100</v>
      </c>
      <c r="H223">
        <v>45100</v>
      </c>
      <c r="I223">
        <v>45100</v>
      </c>
      <c r="J223">
        <v>19352</v>
      </c>
      <c r="AB223">
        <v>212544</v>
      </c>
      <c r="AC223">
        <v>762272</v>
      </c>
    </row>
    <row r="224" spans="1:29" x14ac:dyDescent="0.3">
      <c r="A224" t="s">
        <v>144</v>
      </c>
      <c r="B224">
        <v>0</v>
      </c>
      <c r="C224">
        <v>3772</v>
      </c>
      <c r="D224">
        <v>10496</v>
      </c>
      <c r="E224">
        <v>15252</v>
      </c>
      <c r="F224">
        <v>28372</v>
      </c>
      <c r="G224">
        <v>45100</v>
      </c>
      <c r="H224">
        <v>45100</v>
      </c>
      <c r="I224">
        <v>45100</v>
      </c>
      <c r="J224">
        <v>19352</v>
      </c>
      <c r="K224">
        <v>32849.200000000004</v>
      </c>
      <c r="AB224">
        <v>245393.2</v>
      </c>
      <c r="AC224">
        <v>1007665.2</v>
      </c>
    </row>
    <row r="225" spans="1:29" x14ac:dyDescent="0.3">
      <c r="A225" t="s">
        <v>145</v>
      </c>
      <c r="B225">
        <v>0</v>
      </c>
      <c r="C225">
        <v>3772</v>
      </c>
      <c r="D225">
        <v>10496</v>
      </c>
      <c r="E225">
        <v>15252</v>
      </c>
      <c r="F225">
        <v>28372</v>
      </c>
      <c r="G225">
        <v>45100</v>
      </c>
      <c r="H225">
        <v>45100</v>
      </c>
      <c r="I225">
        <v>45100</v>
      </c>
      <c r="J225">
        <v>19352</v>
      </c>
      <c r="K225">
        <v>32849.200000000004</v>
      </c>
      <c r="L225">
        <v>32849.200000000004</v>
      </c>
      <c r="AB225">
        <v>278242.40000000002</v>
      </c>
      <c r="AC225">
        <v>1285907.6000000001</v>
      </c>
    </row>
    <row r="226" spans="1:29" x14ac:dyDescent="0.3">
      <c r="A226" t="s">
        <v>146</v>
      </c>
      <c r="B226">
        <v>0</v>
      </c>
      <c r="C226">
        <v>3772</v>
      </c>
      <c r="D226">
        <v>10496</v>
      </c>
      <c r="E226">
        <v>15252</v>
      </c>
      <c r="F226">
        <v>28372</v>
      </c>
      <c r="G226">
        <v>45100</v>
      </c>
      <c r="H226">
        <v>45100</v>
      </c>
      <c r="I226">
        <v>45100</v>
      </c>
      <c r="J226">
        <v>19352</v>
      </c>
      <c r="K226">
        <v>32849.200000000004</v>
      </c>
      <c r="L226">
        <v>32849.200000000004</v>
      </c>
      <c r="M226">
        <v>32849.200000000004</v>
      </c>
      <c r="AB226">
        <v>311091.60000000003</v>
      </c>
      <c r="AC226">
        <v>1596999.2000000002</v>
      </c>
    </row>
    <row r="227" spans="1:29" x14ac:dyDescent="0.3">
      <c r="A227" t="s">
        <v>147</v>
      </c>
      <c r="B227">
        <v>0</v>
      </c>
      <c r="C227">
        <v>3772</v>
      </c>
      <c r="D227">
        <v>10496</v>
      </c>
      <c r="E227">
        <v>15252</v>
      </c>
      <c r="F227">
        <v>28372</v>
      </c>
      <c r="G227">
        <v>45100</v>
      </c>
      <c r="H227">
        <v>45100</v>
      </c>
      <c r="I227">
        <v>45100</v>
      </c>
      <c r="J227">
        <v>19352</v>
      </c>
      <c r="K227">
        <v>32849.200000000004</v>
      </c>
      <c r="L227">
        <v>32849.200000000004</v>
      </c>
      <c r="M227">
        <v>32849.200000000004</v>
      </c>
      <c r="N227">
        <v>48216</v>
      </c>
      <c r="AB227">
        <v>359307.60000000003</v>
      </c>
      <c r="AC227">
        <v>1956306.8000000003</v>
      </c>
    </row>
    <row r="228" spans="1:29" x14ac:dyDescent="0.3">
      <c r="A228" t="s">
        <v>148</v>
      </c>
      <c r="B228">
        <v>0</v>
      </c>
      <c r="C228">
        <v>3772</v>
      </c>
      <c r="D228">
        <v>10496</v>
      </c>
      <c r="E228">
        <v>15252</v>
      </c>
      <c r="F228">
        <v>28372</v>
      </c>
      <c r="G228">
        <v>45100</v>
      </c>
      <c r="H228">
        <v>45100</v>
      </c>
      <c r="I228">
        <v>45100</v>
      </c>
      <c r="J228">
        <v>19352</v>
      </c>
      <c r="K228">
        <v>32849.200000000004</v>
      </c>
      <c r="L228">
        <v>32849.200000000004</v>
      </c>
      <c r="M228">
        <v>32849.200000000004</v>
      </c>
      <c r="N228">
        <v>48216</v>
      </c>
      <c r="O228">
        <v>30832</v>
      </c>
      <c r="AB228">
        <v>390139.60000000003</v>
      </c>
      <c r="AC228">
        <v>2346446.4000000004</v>
      </c>
    </row>
    <row r="229" spans="1:29" x14ac:dyDescent="0.3">
      <c r="A229" t="s">
        <v>149</v>
      </c>
      <c r="B229">
        <v>0</v>
      </c>
      <c r="C229">
        <v>3772</v>
      </c>
      <c r="D229">
        <v>10496</v>
      </c>
      <c r="E229">
        <v>15252</v>
      </c>
      <c r="F229">
        <v>28372</v>
      </c>
      <c r="G229">
        <v>45100</v>
      </c>
      <c r="H229">
        <v>45100</v>
      </c>
      <c r="I229">
        <v>45100</v>
      </c>
      <c r="J229">
        <v>19352</v>
      </c>
      <c r="K229">
        <v>32849.200000000004</v>
      </c>
      <c r="L229">
        <v>32849.200000000004</v>
      </c>
      <c r="M229">
        <v>32849.200000000004</v>
      </c>
      <c r="N229">
        <v>48216</v>
      </c>
      <c r="O229">
        <v>30832</v>
      </c>
      <c r="P229">
        <v>49331.199999999997</v>
      </c>
      <c r="AB229">
        <v>439470.80000000005</v>
      </c>
      <c r="AC229">
        <v>2785917.2</v>
      </c>
    </row>
    <row r="230" spans="1:29" x14ac:dyDescent="0.3">
      <c r="A230" t="s">
        <v>150</v>
      </c>
      <c r="B230">
        <v>0</v>
      </c>
      <c r="C230">
        <v>3772</v>
      </c>
      <c r="D230">
        <v>10496</v>
      </c>
      <c r="E230">
        <v>15252</v>
      </c>
      <c r="F230">
        <v>28372</v>
      </c>
      <c r="G230">
        <v>45100</v>
      </c>
      <c r="H230">
        <v>45100</v>
      </c>
      <c r="I230">
        <v>45100</v>
      </c>
      <c r="J230">
        <v>19352</v>
      </c>
      <c r="K230">
        <v>32849.200000000004</v>
      </c>
      <c r="L230">
        <v>32849.200000000004</v>
      </c>
      <c r="M230">
        <v>32849.200000000004</v>
      </c>
      <c r="N230">
        <v>48216</v>
      </c>
      <c r="O230">
        <v>30832</v>
      </c>
      <c r="P230">
        <v>49331.199999999997</v>
      </c>
      <c r="Q230">
        <v>54940</v>
      </c>
      <c r="AB230">
        <v>494410.80000000005</v>
      </c>
      <c r="AC230">
        <v>3280328</v>
      </c>
    </row>
    <row r="231" spans="1:29" x14ac:dyDescent="0.3">
      <c r="A231" t="s">
        <v>151</v>
      </c>
      <c r="B231">
        <v>0</v>
      </c>
      <c r="C231">
        <v>3772</v>
      </c>
      <c r="D231">
        <v>10496</v>
      </c>
      <c r="E231">
        <v>15252</v>
      </c>
      <c r="F231">
        <v>28372</v>
      </c>
      <c r="G231">
        <v>45100</v>
      </c>
      <c r="H231">
        <v>45100</v>
      </c>
      <c r="I231">
        <v>45100</v>
      </c>
      <c r="J231">
        <v>19352</v>
      </c>
      <c r="K231">
        <v>32849.200000000004</v>
      </c>
      <c r="L231">
        <v>32849.200000000004</v>
      </c>
      <c r="M231">
        <v>32849.200000000004</v>
      </c>
      <c r="N231">
        <v>48216</v>
      </c>
      <c r="O231">
        <v>30832</v>
      </c>
      <c r="P231">
        <v>49331.199999999997</v>
      </c>
      <c r="Q231">
        <v>54940</v>
      </c>
      <c r="R231">
        <v>49692</v>
      </c>
      <c r="AB231">
        <v>544102.80000000005</v>
      </c>
      <c r="AC231">
        <v>3824430.8</v>
      </c>
    </row>
    <row r="232" spans="1:29" x14ac:dyDescent="0.3">
      <c r="A232" t="s">
        <v>152</v>
      </c>
      <c r="B232">
        <v>0</v>
      </c>
      <c r="C232">
        <v>3772</v>
      </c>
      <c r="D232">
        <v>10496</v>
      </c>
      <c r="E232">
        <v>15252</v>
      </c>
      <c r="F232">
        <v>28372</v>
      </c>
      <c r="G232">
        <v>45100</v>
      </c>
      <c r="H232">
        <v>45100</v>
      </c>
      <c r="I232">
        <v>45100</v>
      </c>
      <c r="J232">
        <v>19352</v>
      </c>
      <c r="K232">
        <v>32849.200000000004</v>
      </c>
      <c r="L232">
        <v>32849.200000000004</v>
      </c>
      <c r="M232">
        <v>32849.200000000004</v>
      </c>
      <c r="N232">
        <v>48216</v>
      </c>
      <c r="O232">
        <v>30832</v>
      </c>
      <c r="P232">
        <v>49331.199999999997</v>
      </c>
      <c r="Q232">
        <v>54940</v>
      </c>
      <c r="R232">
        <v>49692</v>
      </c>
      <c r="S232">
        <v>54612</v>
      </c>
      <c r="AB232">
        <v>598714.80000000005</v>
      </c>
      <c r="AC232">
        <v>4423145.5999999996</v>
      </c>
    </row>
    <row r="233" spans="1:29" x14ac:dyDescent="0.3">
      <c r="A233" t="s">
        <v>153</v>
      </c>
      <c r="B233">
        <v>0</v>
      </c>
      <c r="C233">
        <v>3772</v>
      </c>
      <c r="D233">
        <v>10496</v>
      </c>
      <c r="E233">
        <v>15252</v>
      </c>
      <c r="F233">
        <v>28372</v>
      </c>
      <c r="G233">
        <v>45100</v>
      </c>
      <c r="H233">
        <v>45100</v>
      </c>
      <c r="I233">
        <v>45100</v>
      </c>
      <c r="J233">
        <v>19352</v>
      </c>
      <c r="K233">
        <v>32849.200000000004</v>
      </c>
      <c r="L233">
        <v>32849.200000000004</v>
      </c>
      <c r="M233">
        <v>32849.200000000004</v>
      </c>
      <c r="N233">
        <v>48216</v>
      </c>
      <c r="O233">
        <v>30832</v>
      </c>
      <c r="P233">
        <v>49331.199999999997</v>
      </c>
      <c r="Q233">
        <v>54940</v>
      </c>
      <c r="R233">
        <v>49692</v>
      </c>
      <c r="S233">
        <v>54612</v>
      </c>
      <c r="T233">
        <v>38704</v>
      </c>
      <c r="AB233">
        <v>637418.80000000005</v>
      </c>
      <c r="AC233">
        <v>5060564.3999999994</v>
      </c>
    </row>
    <row r="234" spans="1:29" x14ac:dyDescent="0.3">
      <c r="A234" t="s">
        <v>154</v>
      </c>
      <c r="B234">
        <v>0</v>
      </c>
      <c r="C234">
        <v>3772</v>
      </c>
      <c r="D234">
        <v>10496</v>
      </c>
      <c r="E234">
        <v>15252</v>
      </c>
      <c r="F234">
        <v>28372</v>
      </c>
      <c r="G234">
        <v>45100</v>
      </c>
      <c r="H234">
        <v>45100</v>
      </c>
      <c r="I234">
        <v>45100</v>
      </c>
      <c r="J234">
        <v>19352</v>
      </c>
      <c r="K234">
        <v>32849.200000000004</v>
      </c>
      <c r="L234">
        <v>32849.200000000004</v>
      </c>
      <c r="M234">
        <v>32849.200000000004</v>
      </c>
      <c r="N234">
        <v>48216</v>
      </c>
      <c r="O234">
        <v>30832</v>
      </c>
      <c r="P234">
        <v>49331.199999999997</v>
      </c>
      <c r="Q234">
        <v>54940</v>
      </c>
      <c r="R234">
        <v>49692</v>
      </c>
      <c r="S234">
        <v>54612</v>
      </c>
      <c r="T234">
        <v>38704</v>
      </c>
      <c r="U234">
        <v>22796</v>
      </c>
      <c r="AB234">
        <v>660214.80000000005</v>
      </c>
      <c r="AC234">
        <v>5720779.1999999993</v>
      </c>
    </row>
    <row r="235" spans="1:29" x14ac:dyDescent="0.3">
      <c r="A235" t="s">
        <v>155</v>
      </c>
      <c r="B235">
        <v>0</v>
      </c>
      <c r="C235">
        <v>3772</v>
      </c>
      <c r="D235">
        <v>10496</v>
      </c>
      <c r="E235">
        <v>15252</v>
      </c>
      <c r="F235">
        <v>28372</v>
      </c>
      <c r="G235">
        <v>45100</v>
      </c>
      <c r="H235">
        <v>45100</v>
      </c>
      <c r="I235">
        <v>45100</v>
      </c>
      <c r="J235">
        <v>19352</v>
      </c>
      <c r="K235">
        <v>32849.200000000004</v>
      </c>
      <c r="L235">
        <v>32849.200000000004</v>
      </c>
      <c r="M235">
        <v>32849.200000000004</v>
      </c>
      <c r="N235">
        <v>48216</v>
      </c>
      <c r="O235">
        <v>30832</v>
      </c>
      <c r="P235">
        <v>49331.199999999997</v>
      </c>
      <c r="Q235">
        <v>54940</v>
      </c>
      <c r="R235">
        <v>49692</v>
      </c>
      <c r="S235">
        <v>54612</v>
      </c>
      <c r="T235">
        <v>38704</v>
      </c>
      <c r="U235">
        <v>22796</v>
      </c>
      <c r="V235">
        <v>36736</v>
      </c>
      <c r="AB235">
        <v>696950.8</v>
      </c>
      <c r="AC235">
        <v>6417729.9999999991</v>
      </c>
    </row>
    <row r="236" spans="1:29" x14ac:dyDescent="0.3">
      <c r="A236" t="s">
        <v>156</v>
      </c>
      <c r="B236">
        <v>0</v>
      </c>
      <c r="C236">
        <v>3772</v>
      </c>
      <c r="D236">
        <v>10496</v>
      </c>
      <c r="E236">
        <v>15252</v>
      </c>
      <c r="F236">
        <v>28372</v>
      </c>
      <c r="G236">
        <v>45100</v>
      </c>
      <c r="H236">
        <v>45100</v>
      </c>
      <c r="I236">
        <v>45100</v>
      </c>
      <c r="J236">
        <v>19352</v>
      </c>
      <c r="K236">
        <v>32849.200000000004</v>
      </c>
      <c r="L236">
        <v>32849.200000000004</v>
      </c>
      <c r="M236">
        <v>32849.200000000004</v>
      </c>
      <c r="N236">
        <v>48216</v>
      </c>
      <c r="O236">
        <v>30832</v>
      </c>
      <c r="P236">
        <v>49331.199999999997</v>
      </c>
      <c r="Q236">
        <v>54940</v>
      </c>
      <c r="R236">
        <v>49692</v>
      </c>
      <c r="S236">
        <v>54612</v>
      </c>
      <c r="T236">
        <v>38704</v>
      </c>
      <c r="U236">
        <v>22796</v>
      </c>
      <c r="V236">
        <v>36736</v>
      </c>
      <c r="W236">
        <v>41328</v>
      </c>
      <c r="AB236">
        <v>738278.8</v>
      </c>
      <c r="AC236">
        <v>7156008.7999999989</v>
      </c>
    </row>
    <row r="237" spans="1:29" x14ac:dyDescent="0.3">
      <c r="A237" t="s">
        <v>157</v>
      </c>
      <c r="B237">
        <v>0</v>
      </c>
      <c r="C237">
        <v>3772</v>
      </c>
      <c r="D237">
        <v>10496</v>
      </c>
      <c r="E237">
        <v>15252</v>
      </c>
      <c r="F237">
        <v>28372</v>
      </c>
      <c r="G237">
        <v>45100</v>
      </c>
      <c r="H237">
        <v>45100</v>
      </c>
      <c r="I237">
        <v>45100</v>
      </c>
      <c r="J237">
        <v>19352</v>
      </c>
      <c r="K237">
        <v>32849.200000000004</v>
      </c>
      <c r="L237">
        <v>32849.200000000004</v>
      </c>
      <c r="M237">
        <v>32849.200000000004</v>
      </c>
      <c r="N237">
        <v>48216</v>
      </c>
      <c r="O237">
        <v>30832</v>
      </c>
      <c r="P237">
        <v>49331.199999999997</v>
      </c>
      <c r="Q237">
        <v>54940</v>
      </c>
      <c r="R237">
        <v>49692</v>
      </c>
      <c r="S237">
        <v>54612</v>
      </c>
      <c r="T237">
        <v>38704</v>
      </c>
      <c r="U237">
        <v>22796</v>
      </c>
      <c r="V237">
        <v>36736</v>
      </c>
      <c r="W237">
        <v>41328</v>
      </c>
      <c r="X237">
        <v>44772</v>
      </c>
      <c r="AB237">
        <v>783050.8</v>
      </c>
      <c r="AC237">
        <v>7939059.5999999987</v>
      </c>
    </row>
    <row r="238" spans="1:29" x14ac:dyDescent="0.3">
      <c r="A238" t="s">
        <v>158</v>
      </c>
      <c r="B238">
        <v>0</v>
      </c>
      <c r="C238">
        <v>3772</v>
      </c>
      <c r="D238">
        <v>10496</v>
      </c>
      <c r="E238">
        <v>15252</v>
      </c>
      <c r="F238">
        <v>28372</v>
      </c>
      <c r="G238">
        <v>45100</v>
      </c>
      <c r="H238">
        <v>45100</v>
      </c>
      <c r="I238">
        <v>45100</v>
      </c>
      <c r="J238">
        <v>19352</v>
      </c>
      <c r="K238">
        <v>32849.200000000004</v>
      </c>
      <c r="L238">
        <v>32849.200000000004</v>
      </c>
      <c r="M238">
        <v>32849.200000000004</v>
      </c>
      <c r="N238">
        <v>48216</v>
      </c>
      <c r="O238">
        <v>30832</v>
      </c>
      <c r="P238">
        <v>49331.199999999997</v>
      </c>
      <c r="Q238">
        <v>54940</v>
      </c>
      <c r="R238">
        <v>49692</v>
      </c>
      <c r="S238">
        <v>54612</v>
      </c>
      <c r="T238">
        <v>38704</v>
      </c>
      <c r="U238">
        <v>22796</v>
      </c>
      <c r="V238">
        <v>36736</v>
      </c>
      <c r="W238">
        <v>41328</v>
      </c>
      <c r="X238">
        <v>44772</v>
      </c>
      <c r="Y238">
        <v>37064</v>
      </c>
      <c r="AB238">
        <v>820114.8</v>
      </c>
      <c r="AC238">
        <v>8759174.3999999985</v>
      </c>
    </row>
    <row r="239" spans="1:29" x14ac:dyDescent="0.3">
      <c r="A239" t="s">
        <v>159</v>
      </c>
      <c r="B239">
        <v>0</v>
      </c>
      <c r="C239">
        <v>3772</v>
      </c>
      <c r="D239">
        <v>10496</v>
      </c>
      <c r="E239">
        <v>15252</v>
      </c>
      <c r="F239">
        <v>28372</v>
      </c>
      <c r="G239">
        <v>45100</v>
      </c>
      <c r="H239">
        <v>45100</v>
      </c>
      <c r="I239">
        <v>45100</v>
      </c>
      <c r="J239">
        <v>19352</v>
      </c>
      <c r="K239">
        <v>32849.200000000004</v>
      </c>
      <c r="L239">
        <v>32849.200000000004</v>
      </c>
      <c r="M239">
        <v>32849.200000000004</v>
      </c>
      <c r="N239">
        <v>48216</v>
      </c>
      <c r="O239">
        <v>30832</v>
      </c>
      <c r="P239">
        <v>49331.199999999997</v>
      </c>
      <c r="Q239">
        <v>54940</v>
      </c>
      <c r="R239">
        <v>49692</v>
      </c>
      <c r="S239">
        <v>54612</v>
      </c>
      <c r="T239">
        <v>38704</v>
      </c>
      <c r="U239">
        <v>22796</v>
      </c>
      <c r="V239">
        <v>36736</v>
      </c>
      <c r="W239">
        <v>41328</v>
      </c>
      <c r="X239">
        <v>44772</v>
      </c>
      <c r="Y239">
        <v>37064</v>
      </c>
      <c r="Z239">
        <v>34768</v>
      </c>
      <c r="AB239">
        <v>854882.8</v>
      </c>
      <c r="AC239">
        <v>9614057.1999999993</v>
      </c>
    </row>
    <row r="240" spans="1:29" x14ac:dyDescent="0.3">
      <c r="A240" t="s">
        <v>160</v>
      </c>
      <c r="B240">
        <v>0</v>
      </c>
      <c r="C240">
        <v>3772</v>
      </c>
      <c r="D240">
        <v>10496</v>
      </c>
      <c r="E240">
        <v>15252</v>
      </c>
      <c r="F240">
        <v>28372</v>
      </c>
      <c r="G240">
        <v>45100</v>
      </c>
      <c r="H240">
        <v>45100</v>
      </c>
      <c r="I240">
        <v>45100</v>
      </c>
      <c r="J240">
        <v>19352</v>
      </c>
      <c r="K240">
        <v>32849.200000000004</v>
      </c>
      <c r="L240">
        <v>32849.200000000004</v>
      </c>
      <c r="M240">
        <v>32849.200000000004</v>
      </c>
      <c r="N240">
        <v>48216</v>
      </c>
      <c r="O240">
        <v>30832</v>
      </c>
      <c r="P240">
        <v>49331.199999999997</v>
      </c>
      <c r="Q240">
        <v>54940</v>
      </c>
      <c r="R240">
        <v>49692</v>
      </c>
      <c r="S240">
        <v>54612</v>
      </c>
      <c r="T240">
        <v>38704</v>
      </c>
      <c r="U240">
        <v>22796</v>
      </c>
      <c r="V240">
        <v>36736</v>
      </c>
      <c r="W240">
        <v>41328</v>
      </c>
      <c r="X240">
        <v>44772</v>
      </c>
      <c r="Y240">
        <v>37064</v>
      </c>
      <c r="Z240">
        <v>34768</v>
      </c>
      <c r="AA240">
        <v>44936</v>
      </c>
      <c r="AB240">
        <v>899818.8</v>
      </c>
      <c r="AC240">
        <v>10513876</v>
      </c>
    </row>
    <row r="241" spans="1:29" x14ac:dyDescent="0.3">
      <c r="AB241">
        <v>10513876</v>
      </c>
      <c r="AC241">
        <v>38585924.920000002</v>
      </c>
    </row>
    <row r="242" spans="1:29" x14ac:dyDescent="0.3">
      <c r="AB242">
        <v>10.513876</v>
      </c>
      <c r="AC242">
        <v>38.585924920000004</v>
      </c>
    </row>
    <row r="244" spans="1:29" x14ac:dyDescent="0.3">
      <c r="A244" t="s">
        <v>177</v>
      </c>
      <c r="B244">
        <v>0</v>
      </c>
      <c r="C244">
        <v>980.72000000000014</v>
      </c>
      <c r="AB244">
        <v>980.72000000000014</v>
      </c>
      <c r="AC244">
        <v>980.72000000000014</v>
      </c>
    </row>
    <row r="245" spans="1:29" x14ac:dyDescent="0.3">
      <c r="A245" t="s">
        <v>164</v>
      </c>
      <c r="B245">
        <v>0</v>
      </c>
      <c r="C245">
        <v>980.72000000000014</v>
      </c>
      <c r="D245">
        <v>2728.9600000000005</v>
      </c>
      <c r="AB245">
        <v>3709.6800000000007</v>
      </c>
      <c r="AC245">
        <v>4690.4000000000005</v>
      </c>
    </row>
    <row r="246" spans="1:29" x14ac:dyDescent="0.3">
      <c r="A246" t="s">
        <v>138</v>
      </c>
      <c r="B246">
        <v>0</v>
      </c>
      <c r="C246">
        <v>980.72000000000014</v>
      </c>
      <c r="D246">
        <v>2728.9600000000005</v>
      </c>
      <c r="E246">
        <v>3965.5200000000004</v>
      </c>
      <c r="AB246">
        <v>7675.2000000000007</v>
      </c>
      <c r="AC246">
        <v>12365.600000000002</v>
      </c>
    </row>
    <row r="247" spans="1:29" x14ac:dyDescent="0.3">
      <c r="A247" t="s">
        <v>139</v>
      </c>
      <c r="B247">
        <v>0</v>
      </c>
      <c r="C247">
        <v>980.72000000000014</v>
      </c>
      <c r="D247">
        <v>2728.9600000000005</v>
      </c>
      <c r="E247">
        <v>3965.5200000000004</v>
      </c>
      <c r="F247">
        <v>7376.72</v>
      </c>
      <c r="AB247">
        <v>15051.920000000002</v>
      </c>
      <c r="AC247">
        <v>27417.520000000004</v>
      </c>
    </row>
    <row r="248" spans="1:29" x14ac:dyDescent="0.3">
      <c r="A248" t="s">
        <v>140</v>
      </c>
      <c r="B248">
        <v>0</v>
      </c>
      <c r="C248">
        <v>980.72000000000014</v>
      </c>
      <c r="D248">
        <v>2728.9600000000005</v>
      </c>
      <c r="E248">
        <v>3965.5200000000004</v>
      </c>
      <c r="F248">
        <v>7376.72</v>
      </c>
      <c r="G248">
        <v>11726.000000000002</v>
      </c>
      <c r="AB248">
        <v>26777.920000000006</v>
      </c>
      <c r="AC248">
        <v>54195.44000000001</v>
      </c>
    </row>
    <row r="249" spans="1:29" x14ac:dyDescent="0.3">
      <c r="A249" t="s">
        <v>141</v>
      </c>
      <c r="B249">
        <v>0</v>
      </c>
      <c r="C249">
        <v>980.72000000000014</v>
      </c>
      <c r="D249">
        <v>2728.9600000000005</v>
      </c>
      <c r="E249">
        <v>3965.5200000000004</v>
      </c>
      <c r="F249">
        <v>7376.72</v>
      </c>
      <c r="G249">
        <v>11726.000000000002</v>
      </c>
      <c r="H249">
        <v>11726.000000000002</v>
      </c>
      <c r="AB249">
        <v>38503.920000000006</v>
      </c>
      <c r="AC249">
        <v>92699.360000000015</v>
      </c>
    </row>
    <row r="250" spans="1:29" x14ac:dyDescent="0.3">
      <c r="A250" t="s">
        <v>142</v>
      </c>
      <c r="B250">
        <v>0</v>
      </c>
      <c r="C250">
        <v>980.72000000000014</v>
      </c>
      <c r="D250">
        <v>2728.9600000000005</v>
      </c>
      <c r="E250">
        <v>3965.5200000000004</v>
      </c>
      <c r="F250">
        <v>7376.72</v>
      </c>
      <c r="G250">
        <v>11726.000000000002</v>
      </c>
      <c r="H250">
        <v>11726.000000000002</v>
      </c>
      <c r="I250">
        <v>11726.000000000002</v>
      </c>
      <c r="AB250">
        <v>50229.920000000006</v>
      </c>
      <c r="AC250">
        <v>142929.28000000003</v>
      </c>
    </row>
    <row r="251" spans="1:29" x14ac:dyDescent="0.3">
      <c r="A251" t="s">
        <v>143</v>
      </c>
      <c r="B251">
        <v>0</v>
      </c>
      <c r="C251">
        <v>980.72000000000014</v>
      </c>
      <c r="D251">
        <v>2728.9600000000005</v>
      </c>
      <c r="E251">
        <v>3965.5200000000004</v>
      </c>
      <c r="F251">
        <v>7376.72</v>
      </c>
      <c r="G251">
        <v>11726.000000000002</v>
      </c>
      <c r="H251">
        <v>11726.000000000002</v>
      </c>
      <c r="I251">
        <v>11726.000000000002</v>
      </c>
      <c r="J251">
        <v>5031.5200000000004</v>
      </c>
      <c r="AB251">
        <v>55261.440000000002</v>
      </c>
      <c r="AC251">
        <v>198190.72000000003</v>
      </c>
    </row>
    <row r="252" spans="1:29" x14ac:dyDescent="0.3">
      <c r="A252" t="s">
        <v>144</v>
      </c>
      <c r="B252">
        <v>0</v>
      </c>
      <c r="C252">
        <v>980.72000000000014</v>
      </c>
      <c r="D252">
        <v>2728.9600000000005</v>
      </c>
      <c r="E252">
        <v>3965.5200000000004</v>
      </c>
      <c r="F252">
        <v>7376.72</v>
      </c>
      <c r="G252">
        <v>11726.000000000002</v>
      </c>
      <c r="H252">
        <v>11726.000000000002</v>
      </c>
      <c r="I252">
        <v>11726.000000000002</v>
      </c>
      <c r="J252">
        <v>5031.5200000000004</v>
      </c>
      <c r="K252">
        <v>8540.7919999999995</v>
      </c>
      <c r="AB252">
        <v>63802.232000000004</v>
      </c>
      <c r="AC252">
        <v>261992.95200000005</v>
      </c>
    </row>
    <row r="253" spans="1:29" x14ac:dyDescent="0.3">
      <c r="A253" t="s">
        <v>145</v>
      </c>
      <c r="B253">
        <v>0</v>
      </c>
      <c r="C253">
        <v>980.72000000000014</v>
      </c>
      <c r="D253">
        <v>2728.9600000000005</v>
      </c>
      <c r="E253">
        <v>3965.5200000000004</v>
      </c>
      <c r="F253">
        <v>7376.72</v>
      </c>
      <c r="G253">
        <v>11726.000000000002</v>
      </c>
      <c r="H253">
        <v>11726.000000000002</v>
      </c>
      <c r="I253">
        <v>11726.000000000002</v>
      </c>
      <c r="J253">
        <v>5031.5200000000004</v>
      </c>
      <c r="K253">
        <v>8540.7919999999995</v>
      </c>
      <c r="L253">
        <v>8540.7919999999995</v>
      </c>
      <c r="AB253">
        <v>72343.024000000005</v>
      </c>
      <c r="AC253">
        <v>334335.97600000002</v>
      </c>
    </row>
    <row r="254" spans="1:29" x14ac:dyDescent="0.3">
      <c r="A254" t="s">
        <v>146</v>
      </c>
      <c r="B254">
        <v>0</v>
      </c>
      <c r="C254">
        <v>980.72000000000014</v>
      </c>
      <c r="D254">
        <v>2728.9600000000005</v>
      </c>
      <c r="E254">
        <v>3965.5200000000004</v>
      </c>
      <c r="F254">
        <v>7376.72</v>
      </c>
      <c r="G254">
        <v>11726.000000000002</v>
      </c>
      <c r="H254">
        <v>11726.000000000002</v>
      </c>
      <c r="I254">
        <v>11726.000000000002</v>
      </c>
      <c r="J254">
        <v>5031.5200000000004</v>
      </c>
      <c r="K254">
        <v>8540.7919999999995</v>
      </c>
      <c r="L254">
        <v>8540.7919999999995</v>
      </c>
      <c r="M254">
        <v>8540.7919999999995</v>
      </c>
      <c r="AB254">
        <v>80883.816000000006</v>
      </c>
      <c r="AC254">
        <v>415219.79200000002</v>
      </c>
    </row>
    <row r="255" spans="1:29" x14ac:dyDescent="0.3">
      <c r="A255" t="s">
        <v>147</v>
      </c>
      <c r="B255">
        <v>0</v>
      </c>
      <c r="C255">
        <v>980.72000000000014</v>
      </c>
      <c r="D255">
        <v>2728.9600000000005</v>
      </c>
      <c r="E255">
        <v>3965.5200000000004</v>
      </c>
      <c r="F255">
        <v>7376.72</v>
      </c>
      <c r="G255">
        <v>11726.000000000002</v>
      </c>
      <c r="H255">
        <v>11726.000000000002</v>
      </c>
      <c r="I255">
        <v>11726.000000000002</v>
      </c>
      <c r="J255">
        <v>5031.5200000000004</v>
      </c>
      <c r="K255">
        <v>8540.7919999999995</v>
      </c>
      <c r="L255">
        <v>8540.7919999999995</v>
      </c>
      <c r="M255">
        <v>8540.7919999999995</v>
      </c>
      <c r="N255">
        <v>12536.16</v>
      </c>
      <c r="AB255">
        <v>93419.97600000001</v>
      </c>
      <c r="AC255">
        <v>508639.76800000004</v>
      </c>
    </row>
    <row r="256" spans="1:29" x14ac:dyDescent="0.3">
      <c r="A256" t="s">
        <v>148</v>
      </c>
      <c r="B256">
        <v>0</v>
      </c>
      <c r="C256">
        <v>980.72000000000014</v>
      </c>
      <c r="D256">
        <v>2728.9600000000005</v>
      </c>
      <c r="E256">
        <v>3965.5200000000004</v>
      </c>
      <c r="F256">
        <v>7376.72</v>
      </c>
      <c r="G256">
        <v>11726.000000000002</v>
      </c>
      <c r="H256">
        <v>11726.000000000002</v>
      </c>
      <c r="I256">
        <v>11726.000000000002</v>
      </c>
      <c r="J256">
        <v>5031.5200000000004</v>
      </c>
      <c r="K256">
        <v>8540.7919999999995</v>
      </c>
      <c r="L256">
        <v>8540.7919999999995</v>
      </c>
      <c r="M256">
        <v>8540.7919999999995</v>
      </c>
      <c r="N256">
        <v>12536.16</v>
      </c>
      <c r="O256">
        <v>8016.3200000000006</v>
      </c>
      <c r="AB256">
        <v>101436.29600000002</v>
      </c>
      <c r="AC256">
        <v>610076.06400000001</v>
      </c>
    </row>
    <row r="257" spans="1:29" x14ac:dyDescent="0.3">
      <c r="A257" t="s">
        <v>149</v>
      </c>
      <c r="B257">
        <v>0</v>
      </c>
      <c r="C257">
        <v>980.72000000000014</v>
      </c>
      <c r="D257">
        <v>2728.9600000000005</v>
      </c>
      <c r="E257">
        <v>3965.5200000000004</v>
      </c>
      <c r="F257">
        <v>7376.72</v>
      </c>
      <c r="G257">
        <v>11726.000000000002</v>
      </c>
      <c r="H257">
        <v>11726.000000000002</v>
      </c>
      <c r="I257">
        <v>11726.000000000002</v>
      </c>
      <c r="J257">
        <v>5031.5200000000004</v>
      </c>
      <c r="K257">
        <v>8540.7919999999995</v>
      </c>
      <c r="L257">
        <v>8540.7919999999995</v>
      </c>
      <c r="M257">
        <v>8540.7919999999995</v>
      </c>
      <c r="N257">
        <v>12536.16</v>
      </c>
      <c r="O257">
        <v>8016.3200000000006</v>
      </c>
      <c r="P257">
        <v>12826.111999999999</v>
      </c>
      <c r="AB257">
        <v>114262.40800000001</v>
      </c>
      <c r="AC257">
        <v>724338.47200000007</v>
      </c>
    </row>
    <row r="258" spans="1:29" x14ac:dyDescent="0.3">
      <c r="A258" t="s">
        <v>150</v>
      </c>
      <c r="B258">
        <v>0</v>
      </c>
      <c r="C258">
        <v>980.72000000000014</v>
      </c>
      <c r="D258">
        <v>2728.9600000000005</v>
      </c>
      <c r="E258">
        <v>3965.5200000000004</v>
      </c>
      <c r="F258">
        <v>7376.72</v>
      </c>
      <c r="G258">
        <v>11726.000000000002</v>
      </c>
      <c r="H258">
        <v>11726.000000000002</v>
      </c>
      <c r="I258">
        <v>11726.000000000002</v>
      </c>
      <c r="J258">
        <v>5031.5200000000004</v>
      </c>
      <c r="K258">
        <v>8540.7919999999995</v>
      </c>
      <c r="L258">
        <v>8540.7919999999995</v>
      </c>
      <c r="M258">
        <v>8540.7919999999995</v>
      </c>
      <c r="N258">
        <v>12536.16</v>
      </c>
      <c r="O258">
        <v>8016.3200000000006</v>
      </c>
      <c r="P258">
        <v>12826.111999999999</v>
      </c>
      <c r="Q258">
        <v>14284.400000000001</v>
      </c>
      <c r="AB258">
        <v>128546.80800000002</v>
      </c>
      <c r="AC258">
        <v>852885.28</v>
      </c>
    </row>
    <row r="259" spans="1:29" x14ac:dyDescent="0.3">
      <c r="A259" t="s">
        <v>151</v>
      </c>
      <c r="B259">
        <v>0</v>
      </c>
      <c r="C259">
        <v>980.72000000000014</v>
      </c>
      <c r="D259">
        <v>2728.9600000000005</v>
      </c>
      <c r="E259">
        <v>3965.5200000000004</v>
      </c>
      <c r="F259">
        <v>7376.72</v>
      </c>
      <c r="G259">
        <v>11726.000000000002</v>
      </c>
      <c r="H259">
        <v>11726.000000000002</v>
      </c>
      <c r="I259">
        <v>11726.000000000002</v>
      </c>
      <c r="J259">
        <v>5031.5200000000004</v>
      </c>
      <c r="K259">
        <v>8540.7919999999995</v>
      </c>
      <c r="L259">
        <v>8540.7919999999995</v>
      </c>
      <c r="M259">
        <v>8540.7919999999995</v>
      </c>
      <c r="N259">
        <v>12536.16</v>
      </c>
      <c r="O259">
        <v>8016.3200000000006</v>
      </c>
      <c r="P259">
        <v>12826.111999999999</v>
      </c>
      <c r="Q259">
        <v>14284.400000000001</v>
      </c>
      <c r="R259">
        <v>12919.919999999998</v>
      </c>
      <c r="AB259">
        <v>141466.728</v>
      </c>
      <c r="AC259">
        <v>994352.00800000003</v>
      </c>
    </row>
    <row r="260" spans="1:29" x14ac:dyDescent="0.3">
      <c r="A260" t="s">
        <v>152</v>
      </c>
      <c r="B260">
        <v>0</v>
      </c>
      <c r="C260">
        <v>980.72000000000014</v>
      </c>
      <c r="D260">
        <v>2728.9600000000005</v>
      </c>
      <c r="E260">
        <v>3965.5200000000004</v>
      </c>
      <c r="F260">
        <v>7376.72</v>
      </c>
      <c r="G260">
        <v>11726.000000000002</v>
      </c>
      <c r="H260">
        <v>11726.000000000002</v>
      </c>
      <c r="I260">
        <v>11726.000000000002</v>
      </c>
      <c r="J260">
        <v>5031.5200000000004</v>
      </c>
      <c r="K260">
        <v>8540.7919999999995</v>
      </c>
      <c r="L260">
        <v>8540.7919999999995</v>
      </c>
      <c r="M260">
        <v>8540.7919999999995</v>
      </c>
      <c r="N260">
        <v>12536.16</v>
      </c>
      <c r="O260">
        <v>8016.3200000000006</v>
      </c>
      <c r="P260">
        <v>12826.111999999999</v>
      </c>
      <c r="Q260">
        <v>14284.400000000001</v>
      </c>
      <c r="R260">
        <v>12919.919999999998</v>
      </c>
      <c r="S260">
        <v>14199.12</v>
      </c>
      <c r="AB260">
        <v>155665.848</v>
      </c>
      <c r="AC260">
        <v>1150017.8560000001</v>
      </c>
    </row>
    <row r="261" spans="1:29" x14ac:dyDescent="0.3">
      <c r="A261" t="s">
        <v>153</v>
      </c>
      <c r="B261">
        <v>0</v>
      </c>
      <c r="C261">
        <v>980.72000000000014</v>
      </c>
      <c r="D261">
        <v>2728.9600000000005</v>
      </c>
      <c r="E261">
        <v>3965.5200000000004</v>
      </c>
      <c r="F261">
        <v>7376.72</v>
      </c>
      <c r="G261">
        <v>11726.000000000002</v>
      </c>
      <c r="H261">
        <v>11726.000000000002</v>
      </c>
      <c r="I261">
        <v>11726.000000000002</v>
      </c>
      <c r="J261">
        <v>5031.5200000000004</v>
      </c>
      <c r="K261">
        <v>8540.7919999999995</v>
      </c>
      <c r="L261">
        <v>8540.7919999999995</v>
      </c>
      <c r="M261">
        <v>8540.7919999999995</v>
      </c>
      <c r="N261">
        <v>12536.16</v>
      </c>
      <c r="O261">
        <v>8016.3200000000006</v>
      </c>
      <c r="P261">
        <v>12826.111999999999</v>
      </c>
      <c r="Q261">
        <v>14284.400000000001</v>
      </c>
      <c r="R261">
        <v>12919.919999999998</v>
      </c>
      <c r="S261">
        <v>14199.12</v>
      </c>
      <c r="T261">
        <v>10063.040000000001</v>
      </c>
      <c r="AB261">
        <v>165728.88800000001</v>
      </c>
      <c r="AC261">
        <v>1315746.7440000002</v>
      </c>
    </row>
    <row r="262" spans="1:29" x14ac:dyDescent="0.3">
      <c r="A262" t="s">
        <v>154</v>
      </c>
      <c r="B262">
        <v>0</v>
      </c>
      <c r="C262">
        <v>980.72000000000014</v>
      </c>
      <c r="D262">
        <v>2728.9600000000005</v>
      </c>
      <c r="E262">
        <v>3965.5200000000004</v>
      </c>
      <c r="F262">
        <v>7376.72</v>
      </c>
      <c r="G262">
        <v>11726.000000000002</v>
      </c>
      <c r="H262">
        <v>11726.000000000002</v>
      </c>
      <c r="I262">
        <v>11726.000000000002</v>
      </c>
      <c r="J262">
        <v>5031.5200000000004</v>
      </c>
      <c r="K262">
        <v>8540.7919999999995</v>
      </c>
      <c r="L262">
        <v>8540.7919999999995</v>
      </c>
      <c r="M262">
        <v>8540.7919999999995</v>
      </c>
      <c r="N262">
        <v>12536.16</v>
      </c>
      <c r="O262">
        <v>8016.3200000000006</v>
      </c>
      <c r="P262">
        <v>12826.111999999999</v>
      </c>
      <c r="Q262">
        <v>14284.400000000001</v>
      </c>
      <c r="R262">
        <v>12919.919999999998</v>
      </c>
      <c r="S262">
        <v>14199.12</v>
      </c>
      <c r="T262">
        <v>10063.040000000001</v>
      </c>
      <c r="U262">
        <v>5926.96</v>
      </c>
      <c r="AB262">
        <v>171655.848</v>
      </c>
      <c r="AC262">
        <v>1487402.5920000002</v>
      </c>
    </row>
    <row r="263" spans="1:29" x14ac:dyDescent="0.3">
      <c r="A263" t="s">
        <v>155</v>
      </c>
      <c r="B263">
        <v>0</v>
      </c>
      <c r="C263">
        <v>980.72000000000014</v>
      </c>
      <c r="D263">
        <v>2728.9600000000005</v>
      </c>
      <c r="E263">
        <v>3965.5200000000004</v>
      </c>
      <c r="F263">
        <v>7376.72</v>
      </c>
      <c r="G263">
        <v>11726.000000000002</v>
      </c>
      <c r="H263">
        <v>11726.000000000002</v>
      </c>
      <c r="I263">
        <v>11726.000000000002</v>
      </c>
      <c r="J263">
        <v>5031.5200000000004</v>
      </c>
      <c r="K263">
        <v>8540.7919999999995</v>
      </c>
      <c r="L263">
        <v>8540.7919999999995</v>
      </c>
      <c r="M263">
        <v>8540.7919999999995</v>
      </c>
      <c r="N263">
        <v>12536.16</v>
      </c>
      <c r="O263">
        <v>8016.3200000000006</v>
      </c>
      <c r="P263">
        <v>12826.111999999999</v>
      </c>
      <c r="Q263">
        <v>14284.400000000001</v>
      </c>
      <c r="R263">
        <v>12919.919999999998</v>
      </c>
      <c r="S263">
        <v>14199.12</v>
      </c>
      <c r="T263">
        <v>10063.040000000001</v>
      </c>
      <c r="U263">
        <v>5926.96</v>
      </c>
      <c r="V263">
        <v>9551.36</v>
      </c>
      <c r="AB263">
        <v>181207.20799999998</v>
      </c>
      <c r="AC263">
        <v>1668609.8000000003</v>
      </c>
    </row>
    <row r="264" spans="1:29" x14ac:dyDescent="0.3">
      <c r="A264" t="s">
        <v>156</v>
      </c>
      <c r="B264">
        <v>0</v>
      </c>
      <c r="C264">
        <v>980.72000000000014</v>
      </c>
      <c r="D264">
        <v>2728.9600000000005</v>
      </c>
      <c r="E264">
        <v>3965.5200000000004</v>
      </c>
      <c r="F264">
        <v>7376.72</v>
      </c>
      <c r="G264">
        <v>11726.000000000002</v>
      </c>
      <c r="H264">
        <v>11726.000000000002</v>
      </c>
      <c r="I264">
        <v>11726.000000000002</v>
      </c>
      <c r="J264">
        <v>5031.5200000000004</v>
      </c>
      <c r="K264">
        <v>8540.7919999999995</v>
      </c>
      <c r="L264">
        <v>8540.7919999999995</v>
      </c>
      <c r="M264">
        <v>8540.7919999999995</v>
      </c>
      <c r="N264">
        <v>12536.16</v>
      </c>
      <c r="O264">
        <v>8016.3200000000006</v>
      </c>
      <c r="P264">
        <v>12826.111999999999</v>
      </c>
      <c r="Q264">
        <v>14284.400000000001</v>
      </c>
      <c r="R264">
        <v>12919.919999999998</v>
      </c>
      <c r="S264">
        <v>14199.12</v>
      </c>
      <c r="T264">
        <v>10063.040000000001</v>
      </c>
      <c r="U264">
        <v>5926.96</v>
      </c>
      <c r="V264">
        <v>9551.36</v>
      </c>
      <c r="W264">
        <v>10745.28</v>
      </c>
      <c r="AB264">
        <v>191952.48799999998</v>
      </c>
      <c r="AC264">
        <v>1860562.2880000002</v>
      </c>
    </row>
    <row r="265" spans="1:29" x14ac:dyDescent="0.3">
      <c r="A265" t="s">
        <v>157</v>
      </c>
      <c r="B265">
        <v>0</v>
      </c>
      <c r="C265">
        <v>980.72000000000014</v>
      </c>
      <c r="D265">
        <v>2728.9600000000005</v>
      </c>
      <c r="E265">
        <v>3965.5200000000004</v>
      </c>
      <c r="F265">
        <v>7376.72</v>
      </c>
      <c r="G265">
        <v>11726.000000000002</v>
      </c>
      <c r="H265">
        <v>11726.000000000002</v>
      </c>
      <c r="I265">
        <v>11726.000000000002</v>
      </c>
      <c r="J265">
        <v>5031.5200000000004</v>
      </c>
      <c r="K265">
        <v>8540.7919999999995</v>
      </c>
      <c r="L265">
        <v>8540.7919999999995</v>
      </c>
      <c r="M265">
        <v>8540.7919999999995</v>
      </c>
      <c r="N265">
        <v>12536.16</v>
      </c>
      <c r="O265">
        <v>8016.3200000000006</v>
      </c>
      <c r="P265">
        <v>12826.111999999999</v>
      </c>
      <c r="Q265">
        <v>14284.400000000001</v>
      </c>
      <c r="R265">
        <v>12919.919999999998</v>
      </c>
      <c r="S265">
        <v>14199.12</v>
      </c>
      <c r="T265">
        <v>10063.040000000001</v>
      </c>
      <c r="U265">
        <v>5926.96</v>
      </c>
      <c r="V265">
        <v>9551.36</v>
      </c>
      <c r="W265">
        <v>10745.28</v>
      </c>
      <c r="X265">
        <v>11640.72</v>
      </c>
      <c r="AB265">
        <v>203593.20799999998</v>
      </c>
      <c r="AC265">
        <v>2064155.4960000003</v>
      </c>
    </row>
    <row r="266" spans="1:29" x14ac:dyDescent="0.3">
      <c r="A266" t="s">
        <v>158</v>
      </c>
      <c r="B266">
        <v>0</v>
      </c>
      <c r="C266">
        <v>980.72000000000014</v>
      </c>
      <c r="D266">
        <v>2728.9600000000005</v>
      </c>
      <c r="E266">
        <v>3965.5200000000004</v>
      </c>
      <c r="F266">
        <v>7376.72</v>
      </c>
      <c r="G266">
        <v>11726.000000000002</v>
      </c>
      <c r="H266">
        <v>11726.000000000002</v>
      </c>
      <c r="I266">
        <v>11726.000000000002</v>
      </c>
      <c r="J266">
        <v>5031.5200000000004</v>
      </c>
      <c r="K266">
        <v>8540.7919999999995</v>
      </c>
      <c r="L266">
        <v>8540.7919999999995</v>
      </c>
      <c r="M266">
        <v>8540.7919999999995</v>
      </c>
      <c r="N266">
        <v>12536.16</v>
      </c>
      <c r="O266">
        <v>8016.3200000000006</v>
      </c>
      <c r="P266">
        <v>12826.111999999999</v>
      </c>
      <c r="Q266">
        <v>14284.400000000001</v>
      </c>
      <c r="R266">
        <v>12919.919999999998</v>
      </c>
      <c r="S266">
        <v>14199.12</v>
      </c>
      <c r="T266">
        <v>10063.040000000001</v>
      </c>
      <c r="U266">
        <v>5926.96</v>
      </c>
      <c r="V266">
        <v>9551.36</v>
      </c>
      <c r="W266">
        <v>10745.28</v>
      </c>
      <c r="X266">
        <v>11640.72</v>
      </c>
      <c r="Y266">
        <v>9636.64</v>
      </c>
      <c r="AB266">
        <v>213229.848</v>
      </c>
      <c r="AC266">
        <v>2277385.3440000005</v>
      </c>
    </row>
    <row r="267" spans="1:29" x14ac:dyDescent="0.3">
      <c r="A267" t="s">
        <v>159</v>
      </c>
      <c r="B267">
        <v>0</v>
      </c>
      <c r="C267">
        <v>980.72000000000014</v>
      </c>
      <c r="D267">
        <v>2728.9600000000005</v>
      </c>
      <c r="E267">
        <v>3965.5200000000004</v>
      </c>
      <c r="F267">
        <v>7376.72</v>
      </c>
      <c r="G267">
        <v>11726.000000000002</v>
      </c>
      <c r="H267">
        <v>11726.000000000002</v>
      </c>
      <c r="I267">
        <v>11726.000000000002</v>
      </c>
      <c r="J267">
        <v>5031.5200000000004</v>
      </c>
      <c r="K267">
        <v>8540.7919999999995</v>
      </c>
      <c r="L267">
        <v>8540.7919999999995</v>
      </c>
      <c r="M267">
        <v>8540.7919999999995</v>
      </c>
      <c r="N267">
        <v>12536.16</v>
      </c>
      <c r="O267">
        <v>8016.3200000000006</v>
      </c>
      <c r="P267">
        <v>12826.111999999999</v>
      </c>
      <c r="Q267">
        <v>14284.400000000001</v>
      </c>
      <c r="R267">
        <v>12919.919999999998</v>
      </c>
      <c r="S267">
        <v>14199.12</v>
      </c>
      <c r="T267">
        <v>10063.040000000001</v>
      </c>
      <c r="U267">
        <v>5926.96</v>
      </c>
      <c r="V267">
        <v>9551.36</v>
      </c>
      <c r="W267">
        <v>10745.28</v>
      </c>
      <c r="X267">
        <v>11640.72</v>
      </c>
      <c r="Y267">
        <v>9636.64</v>
      </c>
      <c r="Z267">
        <v>9039.68</v>
      </c>
      <c r="AB267">
        <v>222269.52799999999</v>
      </c>
      <c r="AC267">
        <v>2499654.8720000004</v>
      </c>
    </row>
    <row r="268" spans="1:29" x14ac:dyDescent="0.3">
      <c r="A268" t="s">
        <v>160</v>
      </c>
      <c r="B268">
        <v>0</v>
      </c>
      <c r="C268">
        <v>980.72000000000014</v>
      </c>
      <c r="D268">
        <v>2728.9600000000005</v>
      </c>
      <c r="E268">
        <v>3965.5200000000004</v>
      </c>
      <c r="F268">
        <v>7376.72</v>
      </c>
      <c r="G268">
        <v>11726.000000000002</v>
      </c>
      <c r="H268">
        <v>11726.000000000002</v>
      </c>
      <c r="I268">
        <v>11726.000000000002</v>
      </c>
      <c r="J268">
        <v>5031.5200000000004</v>
      </c>
      <c r="K268">
        <v>8540.7919999999995</v>
      </c>
      <c r="L268">
        <v>8540.7919999999995</v>
      </c>
      <c r="M268">
        <v>8540.7919999999995</v>
      </c>
      <c r="N268">
        <v>12536.16</v>
      </c>
      <c r="O268">
        <v>8016.3200000000006</v>
      </c>
      <c r="P268">
        <v>12826.111999999999</v>
      </c>
      <c r="Q268">
        <v>14284.400000000001</v>
      </c>
      <c r="R268">
        <v>12919.919999999998</v>
      </c>
      <c r="S268">
        <v>14199.12</v>
      </c>
      <c r="T268">
        <v>10063.040000000001</v>
      </c>
      <c r="U268">
        <v>5926.96</v>
      </c>
      <c r="V268">
        <v>9551.36</v>
      </c>
      <c r="W268">
        <v>10745.28</v>
      </c>
      <c r="X268">
        <v>11640.72</v>
      </c>
      <c r="Y268">
        <v>9636.64</v>
      </c>
      <c r="Z268">
        <v>9039.68</v>
      </c>
      <c r="AA268">
        <v>11683.36</v>
      </c>
      <c r="AB268">
        <v>233952.88799999998</v>
      </c>
      <c r="AC268">
        <v>2733607.7600000002</v>
      </c>
    </row>
    <row r="269" spans="1:29" x14ac:dyDescent="0.3">
      <c r="AB269">
        <v>2733607.7600000002</v>
      </c>
      <c r="AC269">
        <v>10032340.4792</v>
      </c>
    </row>
    <row r="270" spans="1:29" x14ac:dyDescent="0.3">
      <c r="AB270">
        <v>2.7336077600000004</v>
      </c>
      <c r="AC270">
        <v>10.0323404792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5DA95-5E50-459E-BC13-7A1C9FE32449}">
  <dimension ref="A1:AD267"/>
  <sheetViews>
    <sheetView workbookViewId="0">
      <selection activeCell="D20" sqref="D20"/>
    </sheetView>
  </sheetViews>
  <sheetFormatPr defaultColWidth="16.44140625" defaultRowHeight="14.4" x14ac:dyDescent="0.3"/>
  <sheetData>
    <row r="1" spans="1:30" x14ac:dyDescent="0.3">
      <c r="A1" t="s">
        <v>178</v>
      </c>
      <c r="B1" t="s">
        <v>200</v>
      </c>
    </row>
    <row r="2" spans="1:30" x14ac:dyDescent="0.3">
      <c r="A2" t="s">
        <v>180</v>
      </c>
      <c r="B2" t="s">
        <v>201</v>
      </c>
    </row>
    <row r="4" spans="1:30" x14ac:dyDescent="0.3">
      <c r="A4" t="s">
        <v>96</v>
      </c>
      <c r="B4">
        <v>1993</v>
      </c>
      <c r="C4">
        <v>1994</v>
      </c>
      <c r="D4">
        <v>1995</v>
      </c>
      <c r="E4">
        <v>1996</v>
      </c>
      <c r="F4">
        <v>1997</v>
      </c>
      <c r="G4">
        <v>1998</v>
      </c>
      <c r="H4">
        <v>1999</v>
      </c>
      <c r="I4">
        <v>2000</v>
      </c>
      <c r="J4">
        <v>2001</v>
      </c>
      <c r="K4">
        <v>2002</v>
      </c>
      <c r="L4">
        <v>2003</v>
      </c>
      <c r="M4">
        <v>2004</v>
      </c>
      <c r="N4">
        <v>2005</v>
      </c>
      <c r="O4">
        <v>2006</v>
      </c>
      <c r="P4">
        <v>2007</v>
      </c>
      <c r="Q4">
        <v>2008</v>
      </c>
      <c r="R4">
        <v>2009</v>
      </c>
      <c r="S4">
        <v>2010</v>
      </c>
      <c r="T4">
        <v>2011</v>
      </c>
      <c r="U4">
        <v>2012</v>
      </c>
      <c r="V4">
        <v>2013</v>
      </c>
      <c r="W4">
        <v>2014</v>
      </c>
      <c r="X4">
        <v>2015</v>
      </c>
      <c r="Y4">
        <v>2016</v>
      </c>
      <c r="Z4">
        <v>2017</v>
      </c>
      <c r="AA4">
        <v>2018</v>
      </c>
    </row>
    <row r="5" spans="1:30" x14ac:dyDescent="0.3">
      <c r="A5" t="s">
        <v>135</v>
      </c>
      <c r="B5">
        <v>0</v>
      </c>
      <c r="C5">
        <v>0.52</v>
      </c>
      <c r="D5">
        <v>1.1599999999999999</v>
      </c>
      <c r="E5">
        <v>1.29</v>
      </c>
      <c r="F5">
        <v>2.2799999999999998</v>
      </c>
      <c r="G5">
        <v>3.14</v>
      </c>
      <c r="H5">
        <v>0.9</v>
      </c>
      <c r="I5">
        <v>0.9</v>
      </c>
      <c r="J5">
        <v>0.9</v>
      </c>
      <c r="K5">
        <v>1.93</v>
      </c>
      <c r="L5">
        <v>2.14</v>
      </c>
      <c r="M5">
        <v>2.14</v>
      </c>
      <c r="N5">
        <v>2.14</v>
      </c>
      <c r="O5">
        <v>1.25</v>
      </c>
      <c r="P5">
        <v>1.76</v>
      </c>
      <c r="Q5">
        <v>2.0499999999999998</v>
      </c>
      <c r="R5">
        <v>2.0099999999999998</v>
      </c>
      <c r="S5">
        <v>1.24</v>
      </c>
      <c r="T5">
        <v>1.27</v>
      </c>
      <c r="U5">
        <v>0.87</v>
      </c>
      <c r="V5">
        <v>1.28</v>
      </c>
      <c r="W5">
        <v>0.81</v>
      </c>
      <c r="X5">
        <v>0.96</v>
      </c>
      <c r="Y5">
        <v>0.33</v>
      </c>
      <c r="Z5">
        <v>0.52</v>
      </c>
      <c r="AA5">
        <v>0.72</v>
      </c>
    </row>
    <row r="6" spans="1:30" x14ac:dyDescent="0.3">
      <c r="A6" t="s">
        <v>136</v>
      </c>
      <c r="B6">
        <v>0</v>
      </c>
      <c r="C6">
        <v>4264</v>
      </c>
      <c r="AC6">
        <v>4264</v>
      </c>
      <c r="AD6">
        <v>4264</v>
      </c>
    </row>
    <row r="7" spans="1:30" x14ac:dyDescent="0.3">
      <c r="A7" t="s">
        <v>137</v>
      </c>
      <c r="B7">
        <v>0</v>
      </c>
      <c r="C7">
        <v>4264</v>
      </c>
      <c r="D7">
        <v>9512</v>
      </c>
      <c r="AC7">
        <v>13776</v>
      </c>
      <c r="AD7">
        <v>18040</v>
      </c>
    </row>
    <row r="8" spans="1:30" x14ac:dyDescent="0.3">
      <c r="A8" t="s">
        <v>138</v>
      </c>
      <c r="B8">
        <v>0</v>
      </c>
      <c r="C8">
        <v>4264</v>
      </c>
      <c r="D8">
        <v>9512</v>
      </c>
      <c r="E8">
        <v>10578</v>
      </c>
      <c r="AC8">
        <v>24354</v>
      </c>
      <c r="AD8">
        <v>42394</v>
      </c>
    </row>
    <row r="9" spans="1:30" x14ac:dyDescent="0.3">
      <c r="A9" t="s">
        <v>139</v>
      </c>
      <c r="B9">
        <v>0</v>
      </c>
      <c r="C9">
        <v>4264</v>
      </c>
      <c r="D9">
        <v>9512</v>
      </c>
      <c r="E9">
        <v>10578</v>
      </c>
      <c r="F9">
        <v>18696</v>
      </c>
      <c r="AC9">
        <v>43050</v>
      </c>
      <c r="AD9">
        <v>85444</v>
      </c>
    </row>
    <row r="10" spans="1:30" x14ac:dyDescent="0.3">
      <c r="A10" t="s">
        <v>140</v>
      </c>
      <c r="B10">
        <v>0</v>
      </c>
      <c r="C10">
        <v>4264</v>
      </c>
      <c r="D10">
        <v>9512</v>
      </c>
      <c r="E10">
        <v>10578</v>
      </c>
      <c r="F10">
        <v>18696</v>
      </c>
      <c r="G10">
        <v>25748</v>
      </c>
      <c r="AC10">
        <v>68798</v>
      </c>
      <c r="AD10">
        <v>154242</v>
      </c>
    </row>
    <row r="11" spans="1:30" x14ac:dyDescent="0.3">
      <c r="A11" t="s">
        <v>141</v>
      </c>
      <c r="B11">
        <v>0</v>
      </c>
      <c r="C11">
        <v>4264</v>
      </c>
      <c r="D11">
        <v>9512</v>
      </c>
      <c r="E11">
        <v>10578</v>
      </c>
      <c r="F11">
        <v>18696</v>
      </c>
      <c r="G11">
        <v>25748</v>
      </c>
      <c r="H11">
        <v>7380</v>
      </c>
      <c r="AC11">
        <v>76178</v>
      </c>
      <c r="AD11">
        <v>230420</v>
      </c>
    </row>
    <row r="12" spans="1:30" x14ac:dyDescent="0.3">
      <c r="A12" t="s">
        <v>142</v>
      </c>
      <c r="B12">
        <v>0</v>
      </c>
      <c r="C12">
        <v>4264</v>
      </c>
      <c r="D12">
        <v>9512</v>
      </c>
      <c r="E12">
        <v>10578</v>
      </c>
      <c r="F12">
        <v>18696</v>
      </c>
      <c r="G12">
        <v>25748</v>
      </c>
      <c r="H12">
        <v>7380</v>
      </c>
      <c r="I12">
        <v>7380</v>
      </c>
      <c r="AC12">
        <v>83558</v>
      </c>
      <c r="AD12">
        <v>313978</v>
      </c>
    </row>
    <row r="13" spans="1:30" x14ac:dyDescent="0.3">
      <c r="A13" t="s">
        <v>143</v>
      </c>
      <c r="B13">
        <v>0</v>
      </c>
      <c r="C13">
        <v>4264</v>
      </c>
      <c r="D13">
        <v>9512</v>
      </c>
      <c r="E13">
        <v>10578</v>
      </c>
      <c r="F13">
        <v>18696</v>
      </c>
      <c r="G13">
        <v>25748</v>
      </c>
      <c r="H13">
        <v>7380</v>
      </c>
      <c r="I13">
        <v>7380</v>
      </c>
      <c r="J13">
        <v>7380</v>
      </c>
      <c r="AC13">
        <v>90938</v>
      </c>
      <c r="AD13">
        <v>404916</v>
      </c>
    </row>
    <row r="14" spans="1:30" x14ac:dyDescent="0.3">
      <c r="A14" t="s">
        <v>144</v>
      </c>
      <c r="B14">
        <v>0</v>
      </c>
      <c r="C14">
        <v>4264</v>
      </c>
      <c r="D14">
        <v>9512</v>
      </c>
      <c r="E14">
        <v>10578</v>
      </c>
      <c r="F14">
        <v>18696</v>
      </c>
      <c r="G14">
        <v>25748</v>
      </c>
      <c r="H14">
        <v>7380</v>
      </c>
      <c r="I14">
        <v>7380</v>
      </c>
      <c r="J14">
        <v>7380</v>
      </c>
      <c r="K14">
        <v>15826</v>
      </c>
      <c r="AC14">
        <v>106764</v>
      </c>
      <c r="AD14">
        <v>511680</v>
      </c>
    </row>
    <row r="15" spans="1:30" x14ac:dyDescent="0.3">
      <c r="A15" t="s">
        <v>145</v>
      </c>
      <c r="B15">
        <v>0</v>
      </c>
      <c r="C15">
        <v>4264</v>
      </c>
      <c r="D15">
        <v>9512</v>
      </c>
      <c r="E15">
        <v>10578</v>
      </c>
      <c r="F15">
        <v>18696</v>
      </c>
      <c r="G15">
        <v>25748</v>
      </c>
      <c r="H15">
        <v>7380</v>
      </c>
      <c r="I15">
        <v>7380</v>
      </c>
      <c r="J15">
        <v>7380</v>
      </c>
      <c r="K15">
        <v>15826</v>
      </c>
      <c r="L15">
        <v>17548</v>
      </c>
      <c r="AC15">
        <v>124312</v>
      </c>
      <c r="AD15">
        <v>635992</v>
      </c>
    </row>
    <row r="16" spans="1:30" x14ac:dyDescent="0.3">
      <c r="A16" t="s">
        <v>146</v>
      </c>
      <c r="B16">
        <v>0</v>
      </c>
      <c r="C16">
        <v>4264</v>
      </c>
      <c r="D16">
        <v>9512</v>
      </c>
      <c r="E16">
        <v>10578</v>
      </c>
      <c r="F16">
        <v>18696</v>
      </c>
      <c r="G16">
        <v>25748</v>
      </c>
      <c r="H16">
        <v>7380</v>
      </c>
      <c r="I16">
        <v>7380</v>
      </c>
      <c r="J16">
        <v>7380</v>
      </c>
      <c r="K16">
        <v>15826</v>
      </c>
      <c r="L16">
        <v>17548</v>
      </c>
      <c r="M16">
        <v>17548</v>
      </c>
      <c r="AC16">
        <v>141860</v>
      </c>
      <c r="AD16">
        <v>777852</v>
      </c>
    </row>
    <row r="17" spans="1:30" x14ac:dyDescent="0.3">
      <c r="A17" t="s">
        <v>147</v>
      </c>
      <c r="B17">
        <v>0</v>
      </c>
      <c r="C17">
        <v>4264</v>
      </c>
      <c r="D17">
        <v>9512</v>
      </c>
      <c r="E17">
        <v>10578</v>
      </c>
      <c r="F17">
        <v>18696</v>
      </c>
      <c r="G17">
        <v>25748</v>
      </c>
      <c r="H17">
        <v>7380</v>
      </c>
      <c r="I17">
        <v>7380</v>
      </c>
      <c r="J17">
        <v>7380</v>
      </c>
      <c r="K17">
        <v>15826</v>
      </c>
      <c r="L17">
        <v>17548</v>
      </c>
      <c r="M17">
        <v>17548</v>
      </c>
      <c r="N17">
        <v>17548</v>
      </c>
      <c r="AC17">
        <v>159408</v>
      </c>
      <c r="AD17">
        <v>937260</v>
      </c>
    </row>
    <row r="18" spans="1:30" x14ac:dyDescent="0.3">
      <c r="A18" t="s">
        <v>148</v>
      </c>
      <c r="B18">
        <v>0</v>
      </c>
      <c r="C18">
        <v>4264</v>
      </c>
      <c r="D18">
        <v>9512</v>
      </c>
      <c r="E18">
        <v>10578</v>
      </c>
      <c r="F18">
        <v>18696</v>
      </c>
      <c r="G18">
        <v>25748</v>
      </c>
      <c r="H18">
        <v>7380</v>
      </c>
      <c r="I18">
        <v>7380</v>
      </c>
      <c r="J18">
        <v>7380</v>
      </c>
      <c r="K18">
        <v>15826</v>
      </c>
      <c r="L18">
        <v>17548</v>
      </c>
      <c r="M18">
        <v>17548</v>
      </c>
      <c r="N18">
        <v>17548</v>
      </c>
      <c r="O18">
        <v>10250</v>
      </c>
      <c r="AC18">
        <v>169658</v>
      </c>
      <c r="AD18">
        <v>1106918</v>
      </c>
    </row>
    <row r="19" spans="1:30" x14ac:dyDescent="0.3">
      <c r="A19" t="s">
        <v>149</v>
      </c>
      <c r="B19">
        <v>0</v>
      </c>
      <c r="C19">
        <v>4264</v>
      </c>
      <c r="D19">
        <v>9512</v>
      </c>
      <c r="E19">
        <v>10578</v>
      </c>
      <c r="F19">
        <v>18696</v>
      </c>
      <c r="G19">
        <v>25748</v>
      </c>
      <c r="H19">
        <v>7380</v>
      </c>
      <c r="I19">
        <v>7380</v>
      </c>
      <c r="J19">
        <v>7380</v>
      </c>
      <c r="K19">
        <v>15826</v>
      </c>
      <c r="L19">
        <v>17548</v>
      </c>
      <c r="M19">
        <v>17548</v>
      </c>
      <c r="N19">
        <v>17548</v>
      </c>
      <c r="O19">
        <v>10250</v>
      </c>
      <c r="P19">
        <v>14432</v>
      </c>
      <c r="AC19">
        <v>184090</v>
      </c>
      <c r="AD19">
        <v>1291008</v>
      </c>
    </row>
    <row r="20" spans="1:30" x14ac:dyDescent="0.3">
      <c r="A20" t="s">
        <v>150</v>
      </c>
      <c r="B20">
        <v>0</v>
      </c>
      <c r="C20">
        <v>4264</v>
      </c>
      <c r="D20">
        <v>9512</v>
      </c>
      <c r="E20">
        <v>10578</v>
      </c>
      <c r="F20">
        <v>18696</v>
      </c>
      <c r="G20">
        <v>25748</v>
      </c>
      <c r="H20">
        <v>7380</v>
      </c>
      <c r="I20">
        <v>7380</v>
      </c>
      <c r="J20">
        <v>7380</v>
      </c>
      <c r="K20">
        <v>15826</v>
      </c>
      <c r="L20">
        <v>17548</v>
      </c>
      <c r="M20">
        <v>17548</v>
      </c>
      <c r="N20">
        <v>17548</v>
      </c>
      <c r="O20">
        <v>10250</v>
      </c>
      <c r="P20">
        <v>14432</v>
      </c>
      <c r="Q20">
        <v>16810</v>
      </c>
      <c r="AC20">
        <v>200900</v>
      </c>
      <c r="AD20">
        <v>1491908</v>
      </c>
    </row>
    <row r="21" spans="1:30" x14ac:dyDescent="0.3">
      <c r="A21" t="s">
        <v>151</v>
      </c>
      <c r="B21">
        <v>0</v>
      </c>
      <c r="C21">
        <v>4264</v>
      </c>
      <c r="D21">
        <v>9512</v>
      </c>
      <c r="E21">
        <v>10578</v>
      </c>
      <c r="F21">
        <v>18696</v>
      </c>
      <c r="G21">
        <v>25748</v>
      </c>
      <c r="H21">
        <v>7380</v>
      </c>
      <c r="I21">
        <v>7380</v>
      </c>
      <c r="J21">
        <v>7380</v>
      </c>
      <c r="K21">
        <v>15826</v>
      </c>
      <c r="L21">
        <v>17548</v>
      </c>
      <c r="M21">
        <v>17548</v>
      </c>
      <c r="N21">
        <v>17548</v>
      </c>
      <c r="O21">
        <v>10250</v>
      </c>
      <c r="P21">
        <v>14432</v>
      </c>
      <c r="Q21">
        <v>16810</v>
      </c>
      <c r="R21">
        <v>16482</v>
      </c>
      <c r="AC21">
        <v>217382</v>
      </c>
      <c r="AD21">
        <v>1709290</v>
      </c>
    </row>
    <row r="22" spans="1:30" x14ac:dyDescent="0.3">
      <c r="A22" t="s">
        <v>152</v>
      </c>
      <c r="B22">
        <v>0</v>
      </c>
      <c r="C22">
        <v>4264</v>
      </c>
      <c r="D22">
        <v>9512</v>
      </c>
      <c r="E22">
        <v>10578</v>
      </c>
      <c r="F22">
        <v>18696</v>
      </c>
      <c r="G22">
        <v>25748</v>
      </c>
      <c r="H22">
        <v>7380</v>
      </c>
      <c r="I22">
        <v>7380</v>
      </c>
      <c r="J22">
        <v>7380</v>
      </c>
      <c r="K22">
        <v>15826</v>
      </c>
      <c r="L22">
        <v>17548</v>
      </c>
      <c r="M22">
        <v>17548</v>
      </c>
      <c r="N22">
        <v>17548</v>
      </c>
      <c r="O22">
        <v>10250</v>
      </c>
      <c r="P22">
        <v>14432</v>
      </c>
      <c r="Q22">
        <v>16810</v>
      </c>
      <c r="R22">
        <v>16482</v>
      </c>
      <c r="S22">
        <v>10168</v>
      </c>
      <c r="AC22">
        <v>227550</v>
      </c>
      <c r="AD22">
        <v>1936840</v>
      </c>
    </row>
    <row r="23" spans="1:30" x14ac:dyDescent="0.3">
      <c r="A23" t="s">
        <v>153</v>
      </c>
      <c r="B23">
        <v>0</v>
      </c>
      <c r="C23">
        <v>4264</v>
      </c>
      <c r="D23">
        <v>9512</v>
      </c>
      <c r="E23">
        <v>10578</v>
      </c>
      <c r="F23">
        <v>18696</v>
      </c>
      <c r="G23">
        <v>25748</v>
      </c>
      <c r="H23">
        <v>7380</v>
      </c>
      <c r="I23">
        <v>7380</v>
      </c>
      <c r="J23">
        <v>7380</v>
      </c>
      <c r="K23">
        <v>15826</v>
      </c>
      <c r="L23">
        <v>17548</v>
      </c>
      <c r="M23">
        <v>17548</v>
      </c>
      <c r="N23">
        <v>17548</v>
      </c>
      <c r="O23">
        <v>10250</v>
      </c>
      <c r="P23">
        <v>14432</v>
      </c>
      <c r="Q23">
        <v>16810</v>
      </c>
      <c r="R23">
        <v>16482</v>
      </c>
      <c r="S23">
        <v>10168</v>
      </c>
      <c r="T23">
        <v>10414</v>
      </c>
      <c r="AC23">
        <v>237964</v>
      </c>
      <c r="AD23">
        <v>2174804</v>
      </c>
    </row>
    <row r="24" spans="1:30" x14ac:dyDescent="0.3">
      <c r="A24" t="s">
        <v>154</v>
      </c>
      <c r="B24">
        <v>0</v>
      </c>
      <c r="C24">
        <v>4264</v>
      </c>
      <c r="D24">
        <v>9512</v>
      </c>
      <c r="E24">
        <v>10578</v>
      </c>
      <c r="F24">
        <v>18696</v>
      </c>
      <c r="G24">
        <v>25748</v>
      </c>
      <c r="H24">
        <v>7380</v>
      </c>
      <c r="I24">
        <v>7380</v>
      </c>
      <c r="J24">
        <v>7380</v>
      </c>
      <c r="K24">
        <v>15826</v>
      </c>
      <c r="L24">
        <v>17548</v>
      </c>
      <c r="M24">
        <v>17548</v>
      </c>
      <c r="N24">
        <v>17548</v>
      </c>
      <c r="O24">
        <v>10250</v>
      </c>
      <c r="P24">
        <v>14432</v>
      </c>
      <c r="Q24">
        <v>16810</v>
      </c>
      <c r="R24">
        <v>16482</v>
      </c>
      <c r="S24">
        <v>10168</v>
      </c>
      <c r="T24">
        <v>10414</v>
      </c>
      <c r="U24">
        <v>7134</v>
      </c>
      <c r="AC24">
        <v>245098</v>
      </c>
      <c r="AD24">
        <v>2419902</v>
      </c>
    </row>
    <row r="25" spans="1:30" x14ac:dyDescent="0.3">
      <c r="A25" t="s">
        <v>155</v>
      </c>
      <c r="B25">
        <v>0</v>
      </c>
      <c r="C25">
        <v>4264</v>
      </c>
      <c r="D25">
        <v>9512</v>
      </c>
      <c r="E25">
        <v>10578</v>
      </c>
      <c r="F25">
        <v>18696</v>
      </c>
      <c r="G25">
        <v>25748</v>
      </c>
      <c r="H25">
        <v>7380</v>
      </c>
      <c r="I25">
        <v>7380</v>
      </c>
      <c r="J25">
        <v>7380</v>
      </c>
      <c r="K25">
        <v>15826</v>
      </c>
      <c r="L25">
        <v>17548</v>
      </c>
      <c r="M25">
        <v>17548</v>
      </c>
      <c r="N25">
        <v>17548</v>
      </c>
      <c r="O25">
        <v>10250</v>
      </c>
      <c r="P25">
        <v>14432</v>
      </c>
      <c r="Q25">
        <v>16810</v>
      </c>
      <c r="R25">
        <v>16482</v>
      </c>
      <c r="S25">
        <v>10168</v>
      </c>
      <c r="T25">
        <v>10414</v>
      </c>
      <c r="U25">
        <v>7134</v>
      </c>
      <c r="V25">
        <v>10496</v>
      </c>
      <c r="AC25">
        <v>255594</v>
      </c>
      <c r="AD25">
        <v>2675496</v>
      </c>
    </row>
    <row r="26" spans="1:30" x14ac:dyDescent="0.3">
      <c r="A26" t="s">
        <v>156</v>
      </c>
      <c r="B26">
        <v>0</v>
      </c>
      <c r="C26">
        <v>4264</v>
      </c>
      <c r="D26">
        <v>9512</v>
      </c>
      <c r="E26">
        <v>10578</v>
      </c>
      <c r="F26">
        <v>18696</v>
      </c>
      <c r="G26">
        <v>25748</v>
      </c>
      <c r="H26">
        <v>7380</v>
      </c>
      <c r="I26">
        <v>7380</v>
      </c>
      <c r="J26">
        <v>7380</v>
      </c>
      <c r="K26">
        <v>15826</v>
      </c>
      <c r="L26">
        <v>17548</v>
      </c>
      <c r="M26">
        <v>17548</v>
      </c>
      <c r="N26">
        <v>17548</v>
      </c>
      <c r="O26">
        <v>10250</v>
      </c>
      <c r="P26">
        <v>14432</v>
      </c>
      <c r="Q26">
        <v>16810</v>
      </c>
      <c r="R26">
        <v>16482</v>
      </c>
      <c r="S26">
        <v>10168</v>
      </c>
      <c r="T26">
        <v>10414</v>
      </c>
      <c r="U26">
        <v>7134</v>
      </c>
      <c r="V26">
        <v>10496</v>
      </c>
      <c r="W26">
        <v>6642</v>
      </c>
      <c r="AC26">
        <v>262236</v>
      </c>
      <c r="AD26">
        <v>2937732</v>
      </c>
    </row>
    <row r="27" spans="1:30" x14ac:dyDescent="0.3">
      <c r="A27" t="s">
        <v>157</v>
      </c>
      <c r="B27">
        <v>0</v>
      </c>
      <c r="C27">
        <v>4264</v>
      </c>
      <c r="D27">
        <v>9512</v>
      </c>
      <c r="E27">
        <v>10578</v>
      </c>
      <c r="F27">
        <v>18696</v>
      </c>
      <c r="G27">
        <v>25748</v>
      </c>
      <c r="H27">
        <v>7380</v>
      </c>
      <c r="I27">
        <v>7380</v>
      </c>
      <c r="J27">
        <v>7380</v>
      </c>
      <c r="K27">
        <v>15826</v>
      </c>
      <c r="L27">
        <v>17548</v>
      </c>
      <c r="M27">
        <v>17548</v>
      </c>
      <c r="N27">
        <v>17548</v>
      </c>
      <c r="O27">
        <v>10250</v>
      </c>
      <c r="P27">
        <v>14432</v>
      </c>
      <c r="Q27">
        <v>16810</v>
      </c>
      <c r="R27">
        <v>16482</v>
      </c>
      <c r="S27">
        <v>10168</v>
      </c>
      <c r="T27">
        <v>10414</v>
      </c>
      <c r="U27">
        <v>7134</v>
      </c>
      <c r="V27">
        <v>10496</v>
      </c>
      <c r="W27">
        <v>6642</v>
      </c>
      <c r="X27">
        <v>7872</v>
      </c>
      <c r="AC27">
        <v>270108</v>
      </c>
      <c r="AD27">
        <v>3207840</v>
      </c>
    </row>
    <row r="28" spans="1:30" x14ac:dyDescent="0.3">
      <c r="A28" t="s">
        <v>158</v>
      </c>
      <c r="B28">
        <v>0</v>
      </c>
      <c r="C28">
        <v>4264</v>
      </c>
      <c r="D28">
        <v>9512</v>
      </c>
      <c r="E28">
        <v>10578</v>
      </c>
      <c r="F28">
        <v>18696</v>
      </c>
      <c r="G28">
        <v>25748</v>
      </c>
      <c r="H28">
        <v>7380</v>
      </c>
      <c r="I28">
        <v>7380</v>
      </c>
      <c r="J28">
        <v>7380</v>
      </c>
      <c r="K28">
        <v>15826</v>
      </c>
      <c r="L28">
        <v>17548</v>
      </c>
      <c r="M28">
        <v>17548</v>
      </c>
      <c r="N28">
        <v>17548</v>
      </c>
      <c r="O28">
        <v>10250</v>
      </c>
      <c r="P28">
        <v>14432</v>
      </c>
      <c r="Q28">
        <v>16810</v>
      </c>
      <c r="R28">
        <v>16482</v>
      </c>
      <c r="S28">
        <v>10168</v>
      </c>
      <c r="T28">
        <v>10414</v>
      </c>
      <c r="U28">
        <v>7134</v>
      </c>
      <c r="V28">
        <v>10496</v>
      </c>
      <c r="W28">
        <v>6642</v>
      </c>
      <c r="X28">
        <v>7872</v>
      </c>
      <c r="Y28">
        <v>2706</v>
      </c>
      <c r="AC28">
        <v>272814</v>
      </c>
      <c r="AD28">
        <v>3480654</v>
      </c>
    </row>
    <row r="29" spans="1:30" x14ac:dyDescent="0.3">
      <c r="A29" t="s">
        <v>159</v>
      </c>
      <c r="B29">
        <v>0</v>
      </c>
      <c r="C29">
        <v>4264</v>
      </c>
      <c r="D29">
        <v>9512</v>
      </c>
      <c r="E29">
        <v>10578</v>
      </c>
      <c r="F29">
        <v>18696</v>
      </c>
      <c r="G29">
        <v>25748</v>
      </c>
      <c r="H29">
        <v>7380</v>
      </c>
      <c r="I29">
        <v>7380</v>
      </c>
      <c r="J29">
        <v>7380</v>
      </c>
      <c r="K29">
        <v>15826</v>
      </c>
      <c r="L29">
        <v>17548</v>
      </c>
      <c r="M29">
        <v>17548</v>
      </c>
      <c r="N29">
        <v>17548</v>
      </c>
      <c r="O29">
        <v>10250</v>
      </c>
      <c r="P29">
        <v>14432</v>
      </c>
      <c r="Q29">
        <v>16810</v>
      </c>
      <c r="R29">
        <v>16482</v>
      </c>
      <c r="S29">
        <v>10168</v>
      </c>
      <c r="T29">
        <v>10414</v>
      </c>
      <c r="U29">
        <v>7134</v>
      </c>
      <c r="V29">
        <v>10496</v>
      </c>
      <c r="W29">
        <v>6642</v>
      </c>
      <c r="X29">
        <v>7872</v>
      </c>
      <c r="Y29">
        <v>2706</v>
      </c>
      <c r="Z29">
        <v>4264</v>
      </c>
      <c r="AC29">
        <v>277078</v>
      </c>
      <c r="AD29">
        <v>3757732</v>
      </c>
    </row>
    <row r="30" spans="1:30" x14ac:dyDescent="0.3">
      <c r="A30" t="s">
        <v>160</v>
      </c>
      <c r="B30">
        <v>0</v>
      </c>
      <c r="C30">
        <v>4264</v>
      </c>
      <c r="D30">
        <v>9512</v>
      </c>
      <c r="E30">
        <v>10578</v>
      </c>
      <c r="F30">
        <v>18696</v>
      </c>
      <c r="G30">
        <v>25748</v>
      </c>
      <c r="H30">
        <v>7380</v>
      </c>
      <c r="I30">
        <v>7380</v>
      </c>
      <c r="J30">
        <v>7380</v>
      </c>
      <c r="K30">
        <v>15826</v>
      </c>
      <c r="L30">
        <v>17548</v>
      </c>
      <c r="M30">
        <v>17548</v>
      </c>
      <c r="N30">
        <v>17548</v>
      </c>
      <c r="O30">
        <v>10250</v>
      </c>
      <c r="P30">
        <v>14432</v>
      </c>
      <c r="Q30">
        <v>16810</v>
      </c>
      <c r="R30">
        <v>16482</v>
      </c>
      <c r="S30">
        <v>10168</v>
      </c>
      <c r="T30">
        <v>10414</v>
      </c>
      <c r="U30">
        <v>7134</v>
      </c>
      <c r="V30">
        <v>10496</v>
      </c>
      <c r="W30">
        <v>6642</v>
      </c>
      <c r="X30">
        <v>7872</v>
      </c>
      <c r="Y30">
        <v>2706</v>
      </c>
      <c r="Z30">
        <v>4264</v>
      </c>
      <c r="AA30">
        <v>5904</v>
      </c>
      <c r="AC30">
        <v>282982</v>
      </c>
      <c r="AD30">
        <v>4040714</v>
      </c>
    </row>
    <row r="31" spans="1:30" x14ac:dyDescent="0.3">
      <c r="A31" t="s">
        <v>161</v>
      </c>
      <c r="AC31">
        <v>4040714</v>
      </c>
      <c r="AD31">
        <v>14829420.379999999</v>
      </c>
    </row>
    <row r="32" spans="1:30" x14ac:dyDescent="0.3">
      <c r="AC32">
        <v>4.0407140000000004</v>
      </c>
    </row>
    <row r="33" spans="1:30" x14ac:dyDescent="0.3">
      <c r="A33" t="s">
        <v>162</v>
      </c>
    </row>
    <row r="34" spans="1:30" x14ac:dyDescent="0.3">
      <c r="A34" t="s">
        <v>163</v>
      </c>
      <c r="B34">
        <v>0</v>
      </c>
      <c r="C34">
        <v>1108.6400000000001</v>
      </c>
      <c r="AC34">
        <v>1108.6400000000001</v>
      </c>
      <c r="AD34">
        <v>1108.6400000000001</v>
      </c>
    </row>
    <row r="35" spans="1:30" x14ac:dyDescent="0.3">
      <c r="A35" t="s">
        <v>164</v>
      </c>
      <c r="B35">
        <v>0</v>
      </c>
      <c r="C35">
        <v>1108.6400000000001</v>
      </c>
      <c r="D35">
        <v>2473.12</v>
      </c>
      <c r="AC35">
        <v>3581.76</v>
      </c>
      <c r="AD35">
        <v>4690.4000000000005</v>
      </c>
    </row>
    <row r="36" spans="1:30" x14ac:dyDescent="0.3">
      <c r="A36" t="s">
        <v>138</v>
      </c>
      <c r="B36">
        <v>0</v>
      </c>
      <c r="C36">
        <v>1108.6400000000001</v>
      </c>
      <c r="D36">
        <v>2473.12</v>
      </c>
      <c r="E36">
        <v>2750.28</v>
      </c>
      <c r="AC36">
        <v>6332.0400000000009</v>
      </c>
      <c r="AD36">
        <v>11022.440000000002</v>
      </c>
    </row>
    <row r="37" spans="1:30" x14ac:dyDescent="0.3">
      <c r="A37" t="s">
        <v>139</v>
      </c>
      <c r="B37">
        <v>0</v>
      </c>
      <c r="C37">
        <v>1108.6400000000001</v>
      </c>
      <c r="D37">
        <v>2473.12</v>
      </c>
      <c r="E37">
        <v>2750.28</v>
      </c>
      <c r="F37">
        <v>4860.96</v>
      </c>
      <c r="AC37">
        <v>11193</v>
      </c>
      <c r="AD37">
        <v>22215.440000000002</v>
      </c>
    </row>
    <row r="38" spans="1:30" x14ac:dyDescent="0.3">
      <c r="A38" t="s">
        <v>140</v>
      </c>
      <c r="B38">
        <v>0</v>
      </c>
      <c r="C38">
        <v>1108.6400000000001</v>
      </c>
      <c r="D38">
        <v>2473.12</v>
      </c>
      <c r="E38">
        <v>2750.28</v>
      </c>
      <c r="F38">
        <v>4860.96</v>
      </c>
      <c r="G38">
        <v>6694.4800000000005</v>
      </c>
      <c r="AC38">
        <v>17887.48</v>
      </c>
      <c r="AD38">
        <v>40102.92</v>
      </c>
    </row>
    <row r="39" spans="1:30" x14ac:dyDescent="0.3">
      <c r="A39" t="s">
        <v>141</v>
      </c>
      <c r="B39">
        <v>0</v>
      </c>
      <c r="C39">
        <v>1108.6400000000001</v>
      </c>
      <c r="D39">
        <v>2473.12</v>
      </c>
      <c r="E39">
        <v>2750.28</v>
      </c>
      <c r="F39">
        <v>4860.96</v>
      </c>
      <c r="G39">
        <v>6694.4800000000005</v>
      </c>
      <c r="H39">
        <v>1918.8000000000002</v>
      </c>
      <c r="AC39">
        <v>19806.28</v>
      </c>
      <c r="AD39">
        <v>59909.2</v>
      </c>
    </row>
    <row r="40" spans="1:30" x14ac:dyDescent="0.3">
      <c r="A40" t="s">
        <v>142</v>
      </c>
      <c r="B40">
        <v>0</v>
      </c>
      <c r="C40">
        <v>1108.6400000000001</v>
      </c>
      <c r="D40">
        <v>2473.12</v>
      </c>
      <c r="E40">
        <v>2750.28</v>
      </c>
      <c r="F40">
        <v>4860.96</v>
      </c>
      <c r="G40">
        <v>6694.4800000000005</v>
      </c>
      <c r="H40">
        <v>1918.8000000000002</v>
      </c>
      <c r="I40">
        <v>1918.8000000000002</v>
      </c>
      <c r="AC40">
        <v>21725.079999999998</v>
      </c>
      <c r="AD40">
        <v>81634.28</v>
      </c>
    </row>
    <row r="41" spans="1:30" x14ac:dyDescent="0.3">
      <c r="A41" t="s">
        <v>143</v>
      </c>
      <c r="B41">
        <v>0</v>
      </c>
      <c r="C41">
        <v>1108.6400000000001</v>
      </c>
      <c r="D41">
        <v>2473.12</v>
      </c>
      <c r="E41">
        <v>2750.28</v>
      </c>
      <c r="F41">
        <v>4860.96</v>
      </c>
      <c r="G41">
        <v>6694.4800000000005</v>
      </c>
      <c r="H41">
        <v>1918.8000000000002</v>
      </c>
      <c r="I41">
        <v>1918.8000000000002</v>
      </c>
      <c r="J41">
        <v>1918.8000000000002</v>
      </c>
      <c r="AC41">
        <v>23643.879999999997</v>
      </c>
      <c r="AD41">
        <v>105278.16</v>
      </c>
    </row>
    <row r="42" spans="1:30" x14ac:dyDescent="0.3">
      <c r="A42" t="s">
        <v>144</v>
      </c>
      <c r="B42">
        <v>0</v>
      </c>
      <c r="C42">
        <v>1108.6400000000001</v>
      </c>
      <c r="D42">
        <v>2473.12</v>
      </c>
      <c r="E42">
        <v>2750.28</v>
      </c>
      <c r="F42">
        <v>4860.96</v>
      </c>
      <c r="G42">
        <v>6694.4800000000005</v>
      </c>
      <c r="H42">
        <v>1918.8000000000002</v>
      </c>
      <c r="I42">
        <v>1918.8000000000002</v>
      </c>
      <c r="J42">
        <v>1918.8000000000002</v>
      </c>
      <c r="K42">
        <v>4114.76</v>
      </c>
      <c r="AC42">
        <v>27758.639999999999</v>
      </c>
      <c r="AD42">
        <v>133036.79999999999</v>
      </c>
    </row>
    <row r="43" spans="1:30" x14ac:dyDescent="0.3">
      <c r="A43" t="s">
        <v>145</v>
      </c>
      <c r="B43">
        <v>0</v>
      </c>
      <c r="C43">
        <v>1108.6400000000001</v>
      </c>
      <c r="D43">
        <v>2473.12</v>
      </c>
      <c r="E43">
        <v>2750.28</v>
      </c>
      <c r="F43">
        <v>4860.96</v>
      </c>
      <c r="G43">
        <v>6694.4800000000005</v>
      </c>
      <c r="H43">
        <v>1918.8000000000002</v>
      </c>
      <c r="I43">
        <v>1918.8000000000002</v>
      </c>
      <c r="J43">
        <v>1918.8000000000002</v>
      </c>
      <c r="K43">
        <v>4114.76</v>
      </c>
      <c r="L43">
        <v>4562.4800000000005</v>
      </c>
      <c r="AC43">
        <v>32321.119999999999</v>
      </c>
      <c r="AD43">
        <v>165357.91999999998</v>
      </c>
    </row>
    <row r="44" spans="1:30" x14ac:dyDescent="0.3">
      <c r="A44" t="s">
        <v>146</v>
      </c>
      <c r="B44">
        <v>0</v>
      </c>
      <c r="C44">
        <v>1108.6400000000001</v>
      </c>
      <c r="D44">
        <v>2473.12</v>
      </c>
      <c r="E44">
        <v>2750.28</v>
      </c>
      <c r="F44">
        <v>4860.96</v>
      </c>
      <c r="G44">
        <v>6694.4800000000005</v>
      </c>
      <c r="H44">
        <v>1918.8000000000002</v>
      </c>
      <c r="I44">
        <v>1918.8000000000002</v>
      </c>
      <c r="J44">
        <v>1918.8000000000002</v>
      </c>
      <c r="K44">
        <v>4114.76</v>
      </c>
      <c r="L44">
        <v>4562.4800000000005</v>
      </c>
      <c r="M44">
        <v>4562.4800000000005</v>
      </c>
      <c r="AC44">
        <v>36883.599999999999</v>
      </c>
      <c r="AD44">
        <v>202241.52</v>
      </c>
    </row>
    <row r="45" spans="1:30" x14ac:dyDescent="0.3">
      <c r="A45" t="s">
        <v>147</v>
      </c>
      <c r="B45">
        <v>0</v>
      </c>
      <c r="C45">
        <v>1108.6400000000001</v>
      </c>
      <c r="D45">
        <v>2473.12</v>
      </c>
      <c r="E45">
        <v>2750.28</v>
      </c>
      <c r="F45">
        <v>4860.96</v>
      </c>
      <c r="G45">
        <v>6694.4800000000005</v>
      </c>
      <c r="H45">
        <v>1918.8000000000002</v>
      </c>
      <c r="I45">
        <v>1918.8000000000002</v>
      </c>
      <c r="J45">
        <v>1918.8000000000002</v>
      </c>
      <c r="K45">
        <v>4114.76</v>
      </c>
      <c r="L45">
        <v>4562.4800000000005</v>
      </c>
      <c r="M45">
        <v>4562.4800000000005</v>
      </c>
      <c r="N45">
        <v>4562.4800000000005</v>
      </c>
      <c r="AC45">
        <v>41446.080000000002</v>
      </c>
      <c r="AD45">
        <v>243687.59999999998</v>
      </c>
    </row>
    <row r="46" spans="1:30" x14ac:dyDescent="0.3">
      <c r="A46" t="s">
        <v>148</v>
      </c>
      <c r="B46">
        <v>0</v>
      </c>
      <c r="C46">
        <v>1108.6400000000001</v>
      </c>
      <c r="D46">
        <v>2473.12</v>
      </c>
      <c r="E46">
        <v>2750.28</v>
      </c>
      <c r="F46">
        <v>4860.96</v>
      </c>
      <c r="G46">
        <v>6694.4800000000005</v>
      </c>
      <c r="H46">
        <v>1918.8000000000002</v>
      </c>
      <c r="I46">
        <v>1918.8000000000002</v>
      </c>
      <c r="J46">
        <v>1918.8000000000002</v>
      </c>
      <c r="K46">
        <v>4114.76</v>
      </c>
      <c r="L46">
        <v>4562.4800000000005</v>
      </c>
      <c r="M46">
        <v>4562.4800000000005</v>
      </c>
      <c r="N46">
        <v>4562.4800000000005</v>
      </c>
      <c r="O46">
        <v>2665</v>
      </c>
      <c r="AC46">
        <v>44111.08</v>
      </c>
      <c r="AD46">
        <v>287798.68</v>
      </c>
    </row>
    <row r="47" spans="1:30" x14ac:dyDescent="0.3">
      <c r="A47" t="s">
        <v>149</v>
      </c>
      <c r="B47">
        <v>0</v>
      </c>
      <c r="C47">
        <v>1108.6400000000001</v>
      </c>
      <c r="D47">
        <v>2473.12</v>
      </c>
      <c r="E47">
        <v>2750.28</v>
      </c>
      <c r="F47">
        <v>4860.96</v>
      </c>
      <c r="G47">
        <v>6694.4800000000005</v>
      </c>
      <c r="H47">
        <v>1918.8000000000002</v>
      </c>
      <c r="I47">
        <v>1918.8000000000002</v>
      </c>
      <c r="J47">
        <v>1918.8000000000002</v>
      </c>
      <c r="K47">
        <v>4114.76</v>
      </c>
      <c r="L47">
        <v>4562.4800000000005</v>
      </c>
      <c r="M47">
        <v>4562.4800000000005</v>
      </c>
      <c r="N47">
        <v>4562.4800000000005</v>
      </c>
      <c r="O47">
        <v>2665</v>
      </c>
      <c r="P47">
        <v>3752.32</v>
      </c>
      <c r="AC47">
        <v>47863.4</v>
      </c>
      <c r="AD47">
        <v>335662.08000000002</v>
      </c>
    </row>
    <row r="48" spans="1:30" x14ac:dyDescent="0.3">
      <c r="A48" t="s">
        <v>150</v>
      </c>
      <c r="B48">
        <v>0</v>
      </c>
      <c r="C48">
        <v>1108.6400000000001</v>
      </c>
      <c r="D48">
        <v>2473.12</v>
      </c>
      <c r="E48">
        <v>2750.28</v>
      </c>
      <c r="F48">
        <v>4860.96</v>
      </c>
      <c r="G48">
        <v>6694.4800000000005</v>
      </c>
      <c r="H48">
        <v>1918.8000000000002</v>
      </c>
      <c r="I48">
        <v>1918.8000000000002</v>
      </c>
      <c r="J48">
        <v>1918.8000000000002</v>
      </c>
      <c r="K48">
        <v>4114.76</v>
      </c>
      <c r="L48">
        <v>4562.4800000000005</v>
      </c>
      <c r="M48">
        <v>4562.4800000000005</v>
      </c>
      <c r="N48">
        <v>4562.4800000000005</v>
      </c>
      <c r="O48">
        <v>2665</v>
      </c>
      <c r="P48">
        <v>3752.32</v>
      </c>
      <c r="Q48">
        <v>4370.5999999999995</v>
      </c>
      <c r="AC48">
        <v>52234</v>
      </c>
      <c r="AD48">
        <v>387896.08</v>
      </c>
    </row>
    <row r="49" spans="1:30" x14ac:dyDescent="0.3">
      <c r="A49" t="s">
        <v>151</v>
      </c>
      <c r="B49">
        <v>0</v>
      </c>
      <c r="C49">
        <v>1108.6400000000001</v>
      </c>
      <c r="D49">
        <v>2473.12</v>
      </c>
      <c r="E49">
        <v>2750.28</v>
      </c>
      <c r="F49">
        <v>4860.96</v>
      </c>
      <c r="G49">
        <v>6694.4800000000005</v>
      </c>
      <c r="H49">
        <v>1918.8000000000002</v>
      </c>
      <c r="I49">
        <v>1918.8000000000002</v>
      </c>
      <c r="J49">
        <v>1918.8000000000002</v>
      </c>
      <c r="K49">
        <v>4114.76</v>
      </c>
      <c r="L49">
        <v>4562.4800000000005</v>
      </c>
      <c r="M49">
        <v>4562.4800000000005</v>
      </c>
      <c r="N49">
        <v>4562.4800000000005</v>
      </c>
      <c r="O49">
        <v>2665</v>
      </c>
      <c r="P49">
        <v>3752.32</v>
      </c>
      <c r="Q49">
        <v>4370.5999999999995</v>
      </c>
      <c r="R49">
        <v>4285.32</v>
      </c>
      <c r="AC49">
        <v>56519.32</v>
      </c>
      <c r="AD49">
        <v>444415.4</v>
      </c>
    </row>
    <row r="50" spans="1:30" x14ac:dyDescent="0.3">
      <c r="A50" t="s">
        <v>152</v>
      </c>
      <c r="B50">
        <v>0</v>
      </c>
      <c r="C50">
        <v>1108.6400000000001</v>
      </c>
      <c r="D50">
        <v>2473.12</v>
      </c>
      <c r="E50">
        <v>2750.28</v>
      </c>
      <c r="F50">
        <v>4860.96</v>
      </c>
      <c r="G50">
        <v>6694.4800000000005</v>
      </c>
      <c r="H50">
        <v>1918.8000000000002</v>
      </c>
      <c r="I50">
        <v>1918.8000000000002</v>
      </c>
      <c r="J50">
        <v>1918.8000000000002</v>
      </c>
      <c r="K50">
        <v>4114.76</v>
      </c>
      <c r="L50">
        <v>4562.4800000000005</v>
      </c>
      <c r="M50">
        <v>4562.4800000000005</v>
      </c>
      <c r="N50">
        <v>4562.4800000000005</v>
      </c>
      <c r="O50">
        <v>2665</v>
      </c>
      <c r="P50">
        <v>3752.32</v>
      </c>
      <c r="Q50">
        <v>4370.5999999999995</v>
      </c>
      <c r="R50">
        <v>4285.32</v>
      </c>
      <c r="S50">
        <v>2643.6800000000003</v>
      </c>
      <c r="AC50">
        <v>59163</v>
      </c>
      <c r="AD50">
        <v>503578.4</v>
      </c>
    </row>
    <row r="51" spans="1:30" x14ac:dyDescent="0.3">
      <c r="A51" t="s">
        <v>153</v>
      </c>
      <c r="B51">
        <v>0</v>
      </c>
      <c r="C51">
        <v>1108.6400000000001</v>
      </c>
      <c r="D51">
        <v>2473.12</v>
      </c>
      <c r="E51">
        <v>2750.28</v>
      </c>
      <c r="F51">
        <v>4860.96</v>
      </c>
      <c r="G51">
        <v>6694.4800000000005</v>
      </c>
      <c r="H51">
        <v>1918.8000000000002</v>
      </c>
      <c r="I51">
        <v>1918.8000000000002</v>
      </c>
      <c r="J51">
        <v>1918.8000000000002</v>
      </c>
      <c r="K51">
        <v>4114.76</v>
      </c>
      <c r="L51">
        <v>4562.4800000000005</v>
      </c>
      <c r="M51">
        <v>4562.4800000000005</v>
      </c>
      <c r="N51">
        <v>4562.4800000000005</v>
      </c>
      <c r="O51">
        <v>2665</v>
      </c>
      <c r="P51">
        <v>3752.32</v>
      </c>
      <c r="Q51">
        <v>4370.5999999999995</v>
      </c>
      <c r="R51">
        <v>4285.32</v>
      </c>
      <c r="S51">
        <v>2643.6800000000003</v>
      </c>
      <c r="T51">
        <v>2707.64</v>
      </c>
      <c r="AC51">
        <v>61870.64</v>
      </c>
      <c r="AD51">
        <v>565449.04</v>
      </c>
    </row>
    <row r="52" spans="1:30" x14ac:dyDescent="0.3">
      <c r="A52" t="s">
        <v>154</v>
      </c>
      <c r="B52">
        <v>0</v>
      </c>
      <c r="C52">
        <v>1108.6400000000001</v>
      </c>
      <c r="D52">
        <v>2473.12</v>
      </c>
      <c r="E52">
        <v>2750.28</v>
      </c>
      <c r="F52">
        <v>4860.96</v>
      </c>
      <c r="G52">
        <v>6694.4800000000005</v>
      </c>
      <c r="H52">
        <v>1918.8000000000002</v>
      </c>
      <c r="I52">
        <v>1918.8000000000002</v>
      </c>
      <c r="J52">
        <v>1918.8000000000002</v>
      </c>
      <c r="K52">
        <v>4114.76</v>
      </c>
      <c r="L52">
        <v>4562.4800000000005</v>
      </c>
      <c r="M52">
        <v>4562.4800000000005</v>
      </c>
      <c r="N52">
        <v>4562.4800000000005</v>
      </c>
      <c r="O52">
        <v>2665</v>
      </c>
      <c r="P52">
        <v>3752.32</v>
      </c>
      <c r="Q52">
        <v>4370.5999999999995</v>
      </c>
      <c r="R52">
        <v>4285.32</v>
      </c>
      <c r="S52">
        <v>2643.6800000000003</v>
      </c>
      <c r="T52">
        <v>2707.64</v>
      </c>
      <c r="U52">
        <v>1854.8400000000001</v>
      </c>
      <c r="AC52">
        <v>63725.479999999996</v>
      </c>
      <c r="AD52">
        <v>629174.52</v>
      </c>
    </row>
    <row r="53" spans="1:30" x14ac:dyDescent="0.3">
      <c r="A53" t="s">
        <v>155</v>
      </c>
      <c r="B53">
        <v>0</v>
      </c>
      <c r="C53">
        <v>1108.6400000000001</v>
      </c>
      <c r="D53">
        <v>2473.12</v>
      </c>
      <c r="E53">
        <v>2750.28</v>
      </c>
      <c r="F53">
        <v>4860.96</v>
      </c>
      <c r="G53">
        <v>6694.4800000000005</v>
      </c>
      <c r="H53">
        <v>1918.8000000000002</v>
      </c>
      <c r="I53">
        <v>1918.8000000000002</v>
      </c>
      <c r="J53">
        <v>1918.8000000000002</v>
      </c>
      <c r="K53">
        <v>4114.76</v>
      </c>
      <c r="L53">
        <v>4562.4800000000005</v>
      </c>
      <c r="M53">
        <v>4562.4800000000005</v>
      </c>
      <c r="N53">
        <v>4562.4800000000005</v>
      </c>
      <c r="O53">
        <v>2665</v>
      </c>
      <c r="P53">
        <v>3752.32</v>
      </c>
      <c r="Q53">
        <v>4370.5999999999995</v>
      </c>
      <c r="R53">
        <v>4285.32</v>
      </c>
      <c r="S53">
        <v>2643.6800000000003</v>
      </c>
      <c r="T53">
        <v>2707.64</v>
      </c>
      <c r="U53">
        <v>1854.8400000000001</v>
      </c>
      <c r="V53">
        <v>2728.9600000000005</v>
      </c>
      <c r="AC53">
        <v>66454.44</v>
      </c>
      <c r="AD53">
        <v>695628.96</v>
      </c>
    </row>
    <row r="54" spans="1:30" x14ac:dyDescent="0.3">
      <c r="A54" t="s">
        <v>156</v>
      </c>
      <c r="B54">
        <v>0</v>
      </c>
      <c r="C54">
        <v>1108.6400000000001</v>
      </c>
      <c r="D54">
        <v>2473.12</v>
      </c>
      <c r="E54">
        <v>2750.28</v>
      </c>
      <c r="F54">
        <v>4860.96</v>
      </c>
      <c r="G54">
        <v>6694.4800000000005</v>
      </c>
      <c r="H54">
        <v>1918.8000000000002</v>
      </c>
      <c r="I54">
        <v>1918.8000000000002</v>
      </c>
      <c r="J54">
        <v>1918.8000000000002</v>
      </c>
      <c r="K54">
        <v>4114.76</v>
      </c>
      <c r="L54">
        <v>4562.4800000000005</v>
      </c>
      <c r="M54">
        <v>4562.4800000000005</v>
      </c>
      <c r="N54">
        <v>4562.4800000000005</v>
      </c>
      <c r="O54">
        <v>2665</v>
      </c>
      <c r="P54">
        <v>3752.32</v>
      </c>
      <c r="Q54">
        <v>4370.5999999999995</v>
      </c>
      <c r="R54">
        <v>4285.32</v>
      </c>
      <c r="S54">
        <v>2643.6800000000003</v>
      </c>
      <c r="T54">
        <v>2707.64</v>
      </c>
      <c r="U54">
        <v>1854.8400000000001</v>
      </c>
      <c r="V54">
        <v>2728.9600000000005</v>
      </c>
      <c r="W54">
        <v>1726.92</v>
      </c>
      <c r="AC54">
        <v>68181.36</v>
      </c>
      <c r="AD54">
        <v>763810.32</v>
      </c>
    </row>
    <row r="55" spans="1:30" x14ac:dyDescent="0.3">
      <c r="A55" t="s">
        <v>157</v>
      </c>
      <c r="B55">
        <v>0</v>
      </c>
      <c r="C55">
        <v>1108.6400000000001</v>
      </c>
      <c r="D55">
        <v>2473.12</v>
      </c>
      <c r="E55">
        <v>2750.28</v>
      </c>
      <c r="F55">
        <v>4860.96</v>
      </c>
      <c r="G55">
        <v>6694.4800000000005</v>
      </c>
      <c r="H55">
        <v>1918.8000000000002</v>
      </c>
      <c r="I55">
        <v>1918.8000000000002</v>
      </c>
      <c r="J55">
        <v>1918.8000000000002</v>
      </c>
      <c r="K55">
        <v>4114.76</v>
      </c>
      <c r="L55">
        <v>4562.4800000000005</v>
      </c>
      <c r="M55">
        <v>4562.4800000000005</v>
      </c>
      <c r="N55">
        <v>4562.4800000000005</v>
      </c>
      <c r="O55">
        <v>2665</v>
      </c>
      <c r="P55">
        <v>3752.32</v>
      </c>
      <c r="Q55">
        <v>4370.5999999999995</v>
      </c>
      <c r="R55">
        <v>4285.32</v>
      </c>
      <c r="S55">
        <v>2643.6800000000003</v>
      </c>
      <c r="T55">
        <v>2707.64</v>
      </c>
      <c r="U55">
        <v>1854.8400000000001</v>
      </c>
      <c r="V55">
        <v>2728.9600000000005</v>
      </c>
      <c r="W55">
        <v>1726.92</v>
      </c>
      <c r="X55">
        <v>2046.7199999999998</v>
      </c>
      <c r="AC55">
        <v>70228.08</v>
      </c>
      <c r="AD55">
        <v>834038.39999999991</v>
      </c>
    </row>
    <row r="56" spans="1:30" x14ac:dyDescent="0.3">
      <c r="A56" t="s">
        <v>158</v>
      </c>
      <c r="B56">
        <v>0</v>
      </c>
      <c r="C56">
        <v>1108.6400000000001</v>
      </c>
      <c r="D56">
        <v>2473.12</v>
      </c>
      <c r="E56">
        <v>2750.28</v>
      </c>
      <c r="F56">
        <v>4860.96</v>
      </c>
      <c r="G56">
        <v>6694.4800000000005</v>
      </c>
      <c r="H56">
        <v>1918.8000000000002</v>
      </c>
      <c r="I56">
        <v>1918.8000000000002</v>
      </c>
      <c r="J56">
        <v>1918.8000000000002</v>
      </c>
      <c r="K56">
        <v>4114.76</v>
      </c>
      <c r="L56">
        <v>4562.4800000000005</v>
      </c>
      <c r="M56">
        <v>4562.4800000000005</v>
      </c>
      <c r="N56">
        <v>4562.4800000000005</v>
      </c>
      <c r="O56">
        <v>2665</v>
      </c>
      <c r="P56">
        <v>3752.32</v>
      </c>
      <c r="Q56">
        <v>4370.5999999999995</v>
      </c>
      <c r="R56">
        <v>4285.32</v>
      </c>
      <c r="S56">
        <v>2643.6800000000003</v>
      </c>
      <c r="T56">
        <v>2707.64</v>
      </c>
      <c r="U56">
        <v>1854.8400000000001</v>
      </c>
      <c r="V56">
        <v>2728.9600000000005</v>
      </c>
      <c r="W56">
        <v>1726.92</v>
      </c>
      <c r="X56">
        <v>2046.7199999999998</v>
      </c>
      <c r="Y56">
        <v>703.56000000000006</v>
      </c>
      <c r="AC56">
        <v>70931.64</v>
      </c>
      <c r="AD56">
        <v>904970.03999999992</v>
      </c>
    </row>
    <row r="57" spans="1:30" x14ac:dyDescent="0.3">
      <c r="A57" t="s">
        <v>159</v>
      </c>
      <c r="B57">
        <v>0</v>
      </c>
      <c r="C57">
        <v>1108.6400000000001</v>
      </c>
      <c r="D57">
        <v>2473.12</v>
      </c>
      <c r="E57">
        <v>2750.28</v>
      </c>
      <c r="F57">
        <v>4860.96</v>
      </c>
      <c r="G57">
        <v>6694.4800000000005</v>
      </c>
      <c r="H57">
        <v>1918.8000000000002</v>
      </c>
      <c r="I57">
        <v>1918.8000000000002</v>
      </c>
      <c r="J57">
        <v>1918.8000000000002</v>
      </c>
      <c r="K57">
        <v>4114.76</v>
      </c>
      <c r="L57">
        <v>4562.4800000000005</v>
      </c>
      <c r="M57">
        <v>4562.4800000000005</v>
      </c>
      <c r="N57">
        <v>4562.4800000000005</v>
      </c>
      <c r="O57">
        <v>2665</v>
      </c>
      <c r="P57">
        <v>3752.32</v>
      </c>
      <c r="Q57">
        <v>4370.5999999999995</v>
      </c>
      <c r="R57">
        <v>4285.32</v>
      </c>
      <c r="S57">
        <v>2643.6800000000003</v>
      </c>
      <c r="T57">
        <v>2707.64</v>
      </c>
      <c r="U57">
        <v>1854.8400000000001</v>
      </c>
      <c r="V57">
        <v>2728.9600000000005</v>
      </c>
      <c r="W57">
        <v>1726.92</v>
      </c>
      <c r="X57">
        <v>2046.7199999999998</v>
      </c>
      <c r="Y57">
        <v>703.56000000000006</v>
      </c>
      <c r="Z57">
        <v>1108.6400000000001</v>
      </c>
      <c r="AC57">
        <v>72040.28</v>
      </c>
      <c r="AD57">
        <v>977010.32</v>
      </c>
    </row>
    <row r="58" spans="1:30" x14ac:dyDescent="0.3">
      <c r="A58" t="s">
        <v>160</v>
      </c>
      <c r="B58">
        <v>0</v>
      </c>
      <c r="C58">
        <v>1108.6400000000001</v>
      </c>
      <c r="D58">
        <v>2473.12</v>
      </c>
      <c r="E58">
        <v>2750.28</v>
      </c>
      <c r="F58">
        <v>4860.96</v>
      </c>
      <c r="G58">
        <v>6694.4800000000005</v>
      </c>
      <c r="H58">
        <v>1918.8000000000002</v>
      </c>
      <c r="I58">
        <v>1918.8000000000002</v>
      </c>
      <c r="J58">
        <v>1918.8000000000002</v>
      </c>
      <c r="K58">
        <v>4114.76</v>
      </c>
      <c r="L58">
        <v>4562.4800000000005</v>
      </c>
      <c r="M58">
        <v>4562.4800000000005</v>
      </c>
      <c r="N58">
        <v>4562.4800000000005</v>
      </c>
      <c r="O58">
        <v>2665</v>
      </c>
      <c r="P58">
        <v>3752.32</v>
      </c>
      <c r="Q58">
        <v>4370.5999999999995</v>
      </c>
      <c r="R58">
        <v>4285.32</v>
      </c>
      <c r="S58">
        <v>2643.6800000000003</v>
      </c>
      <c r="T58">
        <v>2707.64</v>
      </c>
      <c r="U58">
        <v>1854.8400000000001</v>
      </c>
      <c r="V58">
        <v>2728.9600000000005</v>
      </c>
      <c r="W58">
        <v>1726.92</v>
      </c>
      <c r="X58">
        <v>2046.7199999999998</v>
      </c>
      <c r="Y58">
        <v>703.56000000000006</v>
      </c>
      <c r="Z58">
        <v>1108.6400000000001</v>
      </c>
      <c r="AA58">
        <v>1535.04</v>
      </c>
      <c r="AC58">
        <v>73575.319999999992</v>
      </c>
      <c r="AD58">
        <v>1050585.6399999999</v>
      </c>
    </row>
    <row r="59" spans="1:30" x14ac:dyDescent="0.3">
      <c r="AC59">
        <v>1050585.6399999999</v>
      </c>
      <c r="AD59">
        <v>3855649.2987999995</v>
      </c>
    </row>
    <row r="60" spans="1:30" x14ac:dyDescent="0.3">
      <c r="AC60">
        <v>1.05058564</v>
      </c>
    </row>
    <row r="62" spans="1:30" x14ac:dyDescent="0.3">
      <c r="A62" t="s">
        <v>165</v>
      </c>
    </row>
    <row r="63" spans="1:30" x14ac:dyDescent="0.3">
      <c r="A63" t="s">
        <v>163</v>
      </c>
      <c r="C63">
        <v>4264</v>
      </c>
      <c r="AC63">
        <v>4264</v>
      </c>
      <c r="AD63">
        <v>4264</v>
      </c>
    </row>
    <row r="64" spans="1:30" x14ac:dyDescent="0.3">
      <c r="A64" t="s">
        <v>164</v>
      </c>
      <c r="C64">
        <v>4264</v>
      </c>
      <c r="D64">
        <v>4264</v>
      </c>
      <c r="AC64">
        <v>8528</v>
      </c>
      <c r="AD64">
        <v>12792</v>
      </c>
    </row>
    <row r="65" spans="1:30" x14ac:dyDescent="0.3">
      <c r="A65" t="s">
        <v>138</v>
      </c>
      <c r="C65">
        <v>4264</v>
      </c>
      <c r="D65">
        <v>4264</v>
      </c>
      <c r="E65">
        <v>4264</v>
      </c>
      <c r="AC65">
        <v>12792</v>
      </c>
      <c r="AD65">
        <v>25584</v>
      </c>
    </row>
    <row r="66" spans="1:30" x14ac:dyDescent="0.3">
      <c r="A66" t="s">
        <v>139</v>
      </c>
      <c r="C66">
        <v>4264</v>
      </c>
      <c r="D66">
        <v>4264</v>
      </c>
      <c r="E66">
        <v>4264</v>
      </c>
      <c r="F66">
        <v>4264</v>
      </c>
      <c r="AC66">
        <v>17056</v>
      </c>
      <c r="AD66">
        <v>42640</v>
      </c>
    </row>
    <row r="67" spans="1:30" x14ac:dyDescent="0.3">
      <c r="A67" t="s">
        <v>140</v>
      </c>
      <c r="C67">
        <v>4264</v>
      </c>
      <c r="D67">
        <v>4264</v>
      </c>
      <c r="E67">
        <v>4264</v>
      </c>
      <c r="F67">
        <v>4264</v>
      </c>
      <c r="G67">
        <v>4264</v>
      </c>
      <c r="AC67">
        <v>21320</v>
      </c>
      <c r="AD67">
        <v>63960</v>
      </c>
    </row>
    <row r="68" spans="1:30" x14ac:dyDescent="0.3">
      <c r="A68" t="s">
        <v>141</v>
      </c>
      <c r="C68">
        <v>4264</v>
      </c>
      <c r="D68">
        <v>4264</v>
      </c>
      <c r="E68">
        <v>4264</v>
      </c>
      <c r="F68">
        <v>4264</v>
      </c>
      <c r="G68">
        <v>4264</v>
      </c>
      <c r="H68">
        <v>4264</v>
      </c>
      <c r="AC68">
        <v>25584</v>
      </c>
      <c r="AD68">
        <v>89544</v>
      </c>
    </row>
    <row r="69" spans="1:30" x14ac:dyDescent="0.3">
      <c r="A69" t="s">
        <v>142</v>
      </c>
      <c r="C69">
        <v>4264</v>
      </c>
      <c r="D69">
        <v>4264</v>
      </c>
      <c r="E69">
        <v>4264</v>
      </c>
      <c r="F69">
        <v>4264</v>
      </c>
      <c r="G69">
        <v>4264</v>
      </c>
      <c r="H69">
        <v>4264</v>
      </c>
      <c r="I69">
        <v>4264</v>
      </c>
      <c r="AC69">
        <v>29848</v>
      </c>
      <c r="AD69">
        <v>119392</v>
      </c>
    </row>
    <row r="70" spans="1:30" x14ac:dyDescent="0.3">
      <c r="A70" t="s">
        <v>143</v>
      </c>
      <c r="C70">
        <v>4264</v>
      </c>
      <c r="D70">
        <v>4264</v>
      </c>
      <c r="E70">
        <v>4264</v>
      </c>
      <c r="F70">
        <v>4264</v>
      </c>
      <c r="G70">
        <v>4264</v>
      </c>
      <c r="H70">
        <v>4264</v>
      </c>
      <c r="I70">
        <v>4264</v>
      </c>
      <c r="J70">
        <v>4264</v>
      </c>
      <c r="AC70">
        <v>34112</v>
      </c>
      <c r="AD70">
        <v>153504</v>
      </c>
    </row>
    <row r="71" spans="1:30" x14ac:dyDescent="0.3">
      <c r="A71" t="s">
        <v>144</v>
      </c>
      <c r="C71">
        <v>4264</v>
      </c>
      <c r="D71">
        <v>4264</v>
      </c>
      <c r="E71">
        <v>4264</v>
      </c>
      <c r="F71">
        <v>4264</v>
      </c>
      <c r="G71">
        <v>4264</v>
      </c>
      <c r="H71">
        <v>4264</v>
      </c>
      <c r="I71">
        <v>4264</v>
      </c>
      <c r="J71">
        <v>4264</v>
      </c>
      <c r="K71">
        <v>4264</v>
      </c>
      <c r="AC71">
        <v>38376</v>
      </c>
      <c r="AD71">
        <v>191880</v>
      </c>
    </row>
    <row r="72" spans="1:30" x14ac:dyDescent="0.3">
      <c r="A72" t="s">
        <v>145</v>
      </c>
      <c r="C72">
        <v>4264</v>
      </c>
      <c r="D72">
        <v>4264</v>
      </c>
      <c r="E72">
        <v>4264</v>
      </c>
      <c r="F72">
        <v>4264</v>
      </c>
      <c r="G72">
        <v>4264</v>
      </c>
      <c r="H72">
        <v>4264</v>
      </c>
      <c r="I72">
        <v>4264</v>
      </c>
      <c r="J72">
        <v>4264</v>
      </c>
      <c r="K72">
        <v>4264</v>
      </c>
      <c r="L72">
        <v>4264</v>
      </c>
      <c r="AC72">
        <v>42640</v>
      </c>
      <c r="AD72">
        <v>234520</v>
      </c>
    </row>
    <row r="73" spans="1:30" x14ac:dyDescent="0.3">
      <c r="A73" t="s">
        <v>146</v>
      </c>
      <c r="C73">
        <v>4264</v>
      </c>
      <c r="D73">
        <v>4264</v>
      </c>
      <c r="E73">
        <v>4264</v>
      </c>
      <c r="F73">
        <v>4264</v>
      </c>
      <c r="G73">
        <v>4264</v>
      </c>
      <c r="H73">
        <v>4264</v>
      </c>
      <c r="I73">
        <v>4264</v>
      </c>
      <c r="J73">
        <v>4264</v>
      </c>
      <c r="K73">
        <v>4264</v>
      </c>
      <c r="L73">
        <v>4264</v>
      </c>
      <c r="M73">
        <v>4264</v>
      </c>
      <c r="AC73">
        <v>46904</v>
      </c>
      <c r="AD73">
        <v>281424</v>
      </c>
    </row>
    <row r="74" spans="1:30" x14ac:dyDescent="0.3">
      <c r="A74" t="s">
        <v>147</v>
      </c>
      <c r="C74">
        <v>4264</v>
      </c>
      <c r="D74">
        <v>4264</v>
      </c>
      <c r="E74">
        <v>4264</v>
      </c>
      <c r="F74">
        <v>4264</v>
      </c>
      <c r="G74">
        <v>4264</v>
      </c>
      <c r="H74">
        <v>4264</v>
      </c>
      <c r="I74">
        <v>4264</v>
      </c>
      <c r="J74">
        <v>4264</v>
      </c>
      <c r="K74">
        <v>4264</v>
      </c>
      <c r="L74">
        <v>4264</v>
      </c>
      <c r="M74">
        <v>4264</v>
      </c>
      <c r="N74">
        <v>4264</v>
      </c>
      <c r="AC74">
        <v>51168</v>
      </c>
      <c r="AD74">
        <v>332592</v>
      </c>
    </row>
    <row r="75" spans="1:30" x14ac:dyDescent="0.3">
      <c r="A75" t="s">
        <v>148</v>
      </c>
      <c r="C75">
        <v>4264</v>
      </c>
      <c r="D75">
        <v>4264</v>
      </c>
      <c r="E75">
        <v>4264</v>
      </c>
      <c r="F75">
        <v>4264</v>
      </c>
      <c r="G75">
        <v>4264</v>
      </c>
      <c r="H75">
        <v>4264</v>
      </c>
      <c r="I75">
        <v>4264</v>
      </c>
      <c r="J75">
        <v>4264</v>
      </c>
      <c r="K75">
        <v>4264</v>
      </c>
      <c r="L75">
        <v>4264</v>
      </c>
      <c r="M75">
        <v>4264</v>
      </c>
      <c r="N75">
        <v>4264</v>
      </c>
      <c r="O75">
        <v>4264</v>
      </c>
      <c r="AC75">
        <v>55432</v>
      </c>
      <c r="AD75">
        <v>388024</v>
      </c>
    </row>
    <row r="76" spans="1:30" x14ac:dyDescent="0.3">
      <c r="A76" t="s">
        <v>149</v>
      </c>
      <c r="C76">
        <v>4264</v>
      </c>
      <c r="D76">
        <v>4264</v>
      </c>
      <c r="E76">
        <v>4264</v>
      </c>
      <c r="F76">
        <v>4264</v>
      </c>
      <c r="G76">
        <v>4264</v>
      </c>
      <c r="H76">
        <v>4264</v>
      </c>
      <c r="I76">
        <v>4264</v>
      </c>
      <c r="J76">
        <v>4264</v>
      </c>
      <c r="K76">
        <v>4264</v>
      </c>
      <c r="L76">
        <v>4264</v>
      </c>
      <c r="M76">
        <v>4264</v>
      </c>
      <c r="N76">
        <v>4264</v>
      </c>
      <c r="O76">
        <v>4264</v>
      </c>
      <c r="P76">
        <v>4264</v>
      </c>
      <c r="AC76">
        <v>59696</v>
      </c>
      <c r="AD76">
        <v>447720</v>
      </c>
    </row>
    <row r="77" spans="1:30" x14ac:dyDescent="0.3">
      <c r="A77" t="s">
        <v>150</v>
      </c>
      <c r="C77">
        <v>4264</v>
      </c>
      <c r="D77">
        <v>4264</v>
      </c>
      <c r="E77">
        <v>4264</v>
      </c>
      <c r="F77">
        <v>4264</v>
      </c>
      <c r="G77">
        <v>4264</v>
      </c>
      <c r="H77">
        <v>4264</v>
      </c>
      <c r="I77">
        <v>4264</v>
      </c>
      <c r="J77">
        <v>4264</v>
      </c>
      <c r="K77">
        <v>4264</v>
      </c>
      <c r="L77">
        <v>4264</v>
      </c>
      <c r="M77">
        <v>4264</v>
      </c>
      <c r="N77">
        <v>4264</v>
      </c>
      <c r="O77">
        <v>4264</v>
      </c>
      <c r="P77">
        <v>4264</v>
      </c>
      <c r="Q77">
        <v>4264</v>
      </c>
      <c r="AC77">
        <v>63960</v>
      </c>
      <c r="AD77">
        <v>511680</v>
      </c>
    </row>
    <row r="78" spans="1:30" x14ac:dyDescent="0.3">
      <c r="A78" t="s">
        <v>151</v>
      </c>
      <c r="C78">
        <v>4264</v>
      </c>
      <c r="D78">
        <v>4264</v>
      </c>
      <c r="E78">
        <v>4264</v>
      </c>
      <c r="F78">
        <v>4264</v>
      </c>
      <c r="G78">
        <v>4264</v>
      </c>
      <c r="H78">
        <v>4264</v>
      </c>
      <c r="I78">
        <v>4264</v>
      </c>
      <c r="J78">
        <v>4264</v>
      </c>
      <c r="K78">
        <v>4264</v>
      </c>
      <c r="L78">
        <v>4264</v>
      </c>
      <c r="M78">
        <v>4264</v>
      </c>
      <c r="N78">
        <v>4264</v>
      </c>
      <c r="O78">
        <v>4264</v>
      </c>
      <c r="P78">
        <v>4264</v>
      </c>
      <c r="Q78">
        <v>4264</v>
      </c>
      <c r="R78">
        <v>4264</v>
      </c>
      <c r="AC78">
        <v>68224</v>
      </c>
      <c r="AD78">
        <v>579904</v>
      </c>
    </row>
    <row r="79" spans="1:30" x14ac:dyDescent="0.3">
      <c r="A79" t="s">
        <v>152</v>
      </c>
      <c r="C79">
        <v>4264</v>
      </c>
      <c r="D79">
        <v>4264</v>
      </c>
      <c r="E79">
        <v>4264</v>
      </c>
      <c r="F79">
        <v>4264</v>
      </c>
      <c r="G79">
        <v>4264</v>
      </c>
      <c r="H79">
        <v>4264</v>
      </c>
      <c r="I79">
        <v>4264</v>
      </c>
      <c r="J79">
        <v>4264</v>
      </c>
      <c r="K79">
        <v>4264</v>
      </c>
      <c r="L79">
        <v>4264</v>
      </c>
      <c r="M79">
        <v>4264</v>
      </c>
      <c r="N79">
        <v>4264</v>
      </c>
      <c r="O79">
        <v>4264</v>
      </c>
      <c r="P79">
        <v>4264</v>
      </c>
      <c r="Q79">
        <v>4264</v>
      </c>
      <c r="R79">
        <v>4264</v>
      </c>
      <c r="S79">
        <v>4264</v>
      </c>
      <c r="AC79">
        <v>72488</v>
      </c>
      <c r="AD79">
        <v>652392</v>
      </c>
    </row>
    <row r="80" spans="1:30" x14ac:dyDescent="0.3">
      <c r="A80" t="s">
        <v>153</v>
      </c>
      <c r="C80">
        <v>4264</v>
      </c>
      <c r="D80">
        <v>4264</v>
      </c>
      <c r="E80">
        <v>4264</v>
      </c>
      <c r="F80">
        <v>4264</v>
      </c>
      <c r="G80">
        <v>4264</v>
      </c>
      <c r="H80">
        <v>4264</v>
      </c>
      <c r="I80">
        <v>4264</v>
      </c>
      <c r="J80">
        <v>4264</v>
      </c>
      <c r="K80">
        <v>4264</v>
      </c>
      <c r="L80">
        <v>4264</v>
      </c>
      <c r="M80">
        <v>4264</v>
      </c>
      <c r="N80">
        <v>4264</v>
      </c>
      <c r="O80">
        <v>4264</v>
      </c>
      <c r="P80">
        <v>4264</v>
      </c>
      <c r="Q80">
        <v>4264</v>
      </c>
      <c r="R80">
        <v>4264</v>
      </c>
      <c r="S80">
        <v>4264</v>
      </c>
      <c r="T80">
        <v>4264</v>
      </c>
      <c r="AC80">
        <v>76752</v>
      </c>
      <c r="AD80">
        <v>729144</v>
      </c>
    </row>
    <row r="81" spans="1:30" x14ac:dyDescent="0.3">
      <c r="A81" t="s">
        <v>154</v>
      </c>
      <c r="C81">
        <v>4264</v>
      </c>
      <c r="D81">
        <v>4264</v>
      </c>
      <c r="E81">
        <v>4264</v>
      </c>
      <c r="F81">
        <v>4264</v>
      </c>
      <c r="G81">
        <v>4264</v>
      </c>
      <c r="H81">
        <v>4264</v>
      </c>
      <c r="I81">
        <v>4264</v>
      </c>
      <c r="J81">
        <v>4264</v>
      </c>
      <c r="K81">
        <v>4264</v>
      </c>
      <c r="L81">
        <v>4264</v>
      </c>
      <c r="M81">
        <v>4264</v>
      </c>
      <c r="N81">
        <v>4264</v>
      </c>
      <c r="O81">
        <v>4264</v>
      </c>
      <c r="P81">
        <v>4264</v>
      </c>
      <c r="Q81">
        <v>4264</v>
      </c>
      <c r="R81">
        <v>4264</v>
      </c>
      <c r="S81">
        <v>4264</v>
      </c>
      <c r="T81">
        <v>4264</v>
      </c>
      <c r="U81">
        <v>4264</v>
      </c>
      <c r="AC81">
        <v>81016</v>
      </c>
      <c r="AD81">
        <v>810160</v>
      </c>
    </row>
    <row r="82" spans="1:30" x14ac:dyDescent="0.3">
      <c r="A82" t="s">
        <v>155</v>
      </c>
      <c r="C82">
        <v>4264</v>
      </c>
      <c r="D82">
        <v>4264</v>
      </c>
      <c r="E82">
        <v>4264</v>
      </c>
      <c r="F82">
        <v>4264</v>
      </c>
      <c r="G82">
        <v>4264</v>
      </c>
      <c r="H82">
        <v>4264</v>
      </c>
      <c r="I82">
        <v>4264</v>
      </c>
      <c r="J82">
        <v>4264</v>
      </c>
      <c r="K82">
        <v>4264</v>
      </c>
      <c r="L82">
        <v>4264</v>
      </c>
      <c r="M82">
        <v>4264</v>
      </c>
      <c r="N82">
        <v>4264</v>
      </c>
      <c r="O82">
        <v>4264</v>
      </c>
      <c r="P82">
        <v>4264</v>
      </c>
      <c r="Q82">
        <v>4264</v>
      </c>
      <c r="R82">
        <v>4264</v>
      </c>
      <c r="S82">
        <v>4264</v>
      </c>
      <c r="T82">
        <v>4264</v>
      </c>
      <c r="U82">
        <v>4264</v>
      </c>
      <c r="V82">
        <v>4264</v>
      </c>
      <c r="AC82">
        <v>85280</v>
      </c>
      <c r="AD82">
        <v>895440</v>
      </c>
    </row>
    <row r="83" spans="1:30" x14ac:dyDescent="0.3">
      <c r="A83" t="s">
        <v>156</v>
      </c>
      <c r="C83">
        <v>4264</v>
      </c>
      <c r="D83">
        <v>4264</v>
      </c>
      <c r="E83">
        <v>4264</v>
      </c>
      <c r="F83">
        <v>4264</v>
      </c>
      <c r="G83">
        <v>4264</v>
      </c>
      <c r="H83">
        <v>4264</v>
      </c>
      <c r="I83">
        <v>4264</v>
      </c>
      <c r="J83">
        <v>4264</v>
      </c>
      <c r="K83">
        <v>4264</v>
      </c>
      <c r="L83">
        <v>4264</v>
      </c>
      <c r="M83">
        <v>4264</v>
      </c>
      <c r="N83">
        <v>4264</v>
      </c>
      <c r="O83">
        <v>4264</v>
      </c>
      <c r="P83">
        <v>4264</v>
      </c>
      <c r="Q83">
        <v>4264</v>
      </c>
      <c r="R83">
        <v>4264</v>
      </c>
      <c r="S83">
        <v>4264</v>
      </c>
      <c r="T83">
        <v>4264</v>
      </c>
      <c r="U83">
        <v>4264</v>
      </c>
      <c r="V83">
        <v>4264</v>
      </c>
      <c r="W83">
        <v>4264</v>
      </c>
      <c r="AC83">
        <v>89544</v>
      </c>
      <c r="AD83">
        <v>984984</v>
      </c>
    </row>
    <row r="84" spans="1:30" x14ac:dyDescent="0.3">
      <c r="A84" t="s">
        <v>157</v>
      </c>
      <c r="C84">
        <v>4264</v>
      </c>
      <c r="D84">
        <v>4264</v>
      </c>
      <c r="E84">
        <v>4264</v>
      </c>
      <c r="F84">
        <v>4264</v>
      </c>
      <c r="G84">
        <v>4264</v>
      </c>
      <c r="H84">
        <v>4264</v>
      </c>
      <c r="I84">
        <v>4264</v>
      </c>
      <c r="J84">
        <v>4264</v>
      </c>
      <c r="K84">
        <v>4264</v>
      </c>
      <c r="L84">
        <v>4264</v>
      </c>
      <c r="M84">
        <v>4264</v>
      </c>
      <c r="N84">
        <v>4264</v>
      </c>
      <c r="O84">
        <v>4264</v>
      </c>
      <c r="P84">
        <v>4264</v>
      </c>
      <c r="Q84">
        <v>4264</v>
      </c>
      <c r="R84">
        <v>4264</v>
      </c>
      <c r="S84">
        <v>4264</v>
      </c>
      <c r="T84">
        <v>4264</v>
      </c>
      <c r="U84">
        <v>4264</v>
      </c>
      <c r="V84">
        <v>4264</v>
      </c>
      <c r="W84">
        <v>4264</v>
      </c>
      <c r="X84">
        <v>4264</v>
      </c>
      <c r="AC84">
        <v>93808</v>
      </c>
      <c r="AD84">
        <v>1078792</v>
      </c>
    </row>
    <row r="85" spans="1:30" x14ac:dyDescent="0.3">
      <c r="A85" t="s">
        <v>158</v>
      </c>
      <c r="C85">
        <v>4264</v>
      </c>
      <c r="D85">
        <v>4264</v>
      </c>
      <c r="E85">
        <v>4264</v>
      </c>
      <c r="F85">
        <v>4264</v>
      </c>
      <c r="G85">
        <v>4264</v>
      </c>
      <c r="H85">
        <v>4264</v>
      </c>
      <c r="I85">
        <v>4264</v>
      </c>
      <c r="J85">
        <v>4264</v>
      </c>
      <c r="K85">
        <v>4264</v>
      </c>
      <c r="L85">
        <v>4264</v>
      </c>
      <c r="M85">
        <v>4264</v>
      </c>
      <c r="N85">
        <v>4264</v>
      </c>
      <c r="O85">
        <v>4264</v>
      </c>
      <c r="P85">
        <v>4264</v>
      </c>
      <c r="Q85">
        <v>4264</v>
      </c>
      <c r="R85">
        <v>4264</v>
      </c>
      <c r="S85">
        <v>4264</v>
      </c>
      <c r="T85">
        <v>4264</v>
      </c>
      <c r="U85">
        <v>4264</v>
      </c>
      <c r="V85">
        <v>4264</v>
      </c>
      <c r="W85">
        <v>4264</v>
      </c>
      <c r="X85">
        <v>4264</v>
      </c>
      <c r="Y85">
        <v>4264</v>
      </c>
      <c r="AC85">
        <v>98072</v>
      </c>
      <c r="AD85">
        <v>1176864</v>
      </c>
    </row>
    <row r="86" spans="1:30" x14ac:dyDescent="0.3">
      <c r="A86" t="s">
        <v>159</v>
      </c>
      <c r="C86">
        <v>4264</v>
      </c>
      <c r="D86">
        <v>4264</v>
      </c>
      <c r="E86">
        <v>4264</v>
      </c>
      <c r="F86">
        <v>4264</v>
      </c>
      <c r="G86">
        <v>4264</v>
      </c>
      <c r="H86">
        <v>4264</v>
      </c>
      <c r="I86">
        <v>4264</v>
      </c>
      <c r="J86">
        <v>4264</v>
      </c>
      <c r="K86">
        <v>4264</v>
      </c>
      <c r="L86">
        <v>4264</v>
      </c>
      <c r="M86">
        <v>4264</v>
      </c>
      <c r="N86">
        <v>4264</v>
      </c>
      <c r="O86">
        <v>4264</v>
      </c>
      <c r="P86">
        <v>4264</v>
      </c>
      <c r="Q86">
        <v>4264</v>
      </c>
      <c r="R86">
        <v>4264</v>
      </c>
      <c r="S86">
        <v>4264</v>
      </c>
      <c r="T86">
        <v>4264</v>
      </c>
      <c r="U86">
        <v>4264</v>
      </c>
      <c r="V86">
        <v>4264</v>
      </c>
      <c r="W86">
        <v>4264</v>
      </c>
      <c r="X86">
        <v>4264</v>
      </c>
      <c r="Y86">
        <v>4264</v>
      </c>
      <c r="Z86">
        <v>4264</v>
      </c>
      <c r="AC86">
        <v>102336</v>
      </c>
      <c r="AD86">
        <v>1279200</v>
      </c>
    </row>
    <row r="87" spans="1:30" x14ac:dyDescent="0.3">
      <c r="A87" t="s">
        <v>160</v>
      </c>
      <c r="C87">
        <v>4264</v>
      </c>
      <c r="D87">
        <v>4264</v>
      </c>
      <c r="E87">
        <v>4264</v>
      </c>
      <c r="F87">
        <v>4264</v>
      </c>
      <c r="G87">
        <v>4264</v>
      </c>
      <c r="H87">
        <v>4264</v>
      </c>
      <c r="I87">
        <v>4264</v>
      </c>
      <c r="J87">
        <v>4264</v>
      </c>
      <c r="K87">
        <v>4264</v>
      </c>
      <c r="L87">
        <v>4264</v>
      </c>
      <c r="M87">
        <v>4264</v>
      </c>
      <c r="N87">
        <v>4264</v>
      </c>
      <c r="O87">
        <v>4264</v>
      </c>
      <c r="P87">
        <v>4264</v>
      </c>
      <c r="Q87">
        <v>4264</v>
      </c>
      <c r="R87">
        <v>4264</v>
      </c>
      <c r="S87">
        <v>4264</v>
      </c>
      <c r="T87">
        <v>4264</v>
      </c>
      <c r="U87">
        <v>4264</v>
      </c>
      <c r="V87">
        <v>4264</v>
      </c>
      <c r="W87">
        <v>4264</v>
      </c>
      <c r="X87">
        <v>4264</v>
      </c>
      <c r="Y87">
        <v>4264</v>
      </c>
      <c r="Z87">
        <v>4264</v>
      </c>
      <c r="AA87">
        <v>4264</v>
      </c>
      <c r="AC87">
        <v>106600</v>
      </c>
      <c r="AD87">
        <v>1385800</v>
      </c>
    </row>
    <row r="88" spans="1:30" x14ac:dyDescent="0.3">
      <c r="AC88">
        <v>1385800</v>
      </c>
      <c r="AD88">
        <v>5085886</v>
      </c>
    </row>
    <row r="89" spans="1:30" x14ac:dyDescent="0.3">
      <c r="AC89">
        <v>1.3857999999999999</v>
      </c>
    </row>
    <row r="94" spans="1:30" x14ac:dyDescent="0.3">
      <c r="A94" t="s">
        <v>168</v>
      </c>
      <c r="B94">
        <v>1993</v>
      </c>
      <c r="C94">
        <v>1994</v>
      </c>
      <c r="D94">
        <v>1995</v>
      </c>
      <c r="E94">
        <v>1996</v>
      </c>
      <c r="F94">
        <v>1997</v>
      </c>
      <c r="G94">
        <v>1998</v>
      </c>
      <c r="H94">
        <v>1999</v>
      </c>
      <c r="I94">
        <v>2000</v>
      </c>
      <c r="J94">
        <v>2001</v>
      </c>
      <c r="K94">
        <v>2002</v>
      </c>
      <c r="L94">
        <v>2003</v>
      </c>
      <c r="M94">
        <v>2004</v>
      </c>
      <c r="N94">
        <v>2005</v>
      </c>
      <c r="O94">
        <v>2006</v>
      </c>
      <c r="P94">
        <v>2007</v>
      </c>
      <c r="Q94">
        <v>2008</v>
      </c>
      <c r="R94">
        <v>2009</v>
      </c>
      <c r="S94">
        <v>2010</v>
      </c>
      <c r="T94">
        <v>2011</v>
      </c>
      <c r="U94">
        <v>2012</v>
      </c>
      <c r="V94">
        <v>2013</v>
      </c>
      <c r="W94">
        <v>2014</v>
      </c>
      <c r="X94">
        <v>2015</v>
      </c>
      <c r="Y94">
        <v>2016</v>
      </c>
      <c r="Z94">
        <v>2017</v>
      </c>
      <c r="AA94">
        <v>2018</v>
      </c>
    </row>
    <row r="95" spans="1:30" x14ac:dyDescent="0.3">
      <c r="A95" t="s">
        <v>169</v>
      </c>
      <c r="B95">
        <v>0</v>
      </c>
      <c r="C95">
        <v>0.13</v>
      </c>
      <c r="D95">
        <v>0.41</v>
      </c>
      <c r="E95">
        <v>0.85</v>
      </c>
      <c r="F95">
        <v>1.37</v>
      </c>
      <c r="G95">
        <v>2.42</v>
      </c>
      <c r="H95">
        <v>2.42</v>
      </c>
      <c r="I95">
        <v>2.42</v>
      </c>
      <c r="J95">
        <v>0.78</v>
      </c>
      <c r="K95">
        <v>1.64</v>
      </c>
      <c r="L95">
        <v>1.64</v>
      </c>
      <c r="M95">
        <v>1.64</v>
      </c>
      <c r="N95">
        <v>1.98</v>
      </c>
      <c r="O95">
        <v>1.1200000000000001</v>
      </c>
      <c r="P95">
        <v>1.41</v>
      </c>
      <c r="Q95">
        <v>1.91</v>
      </c>
      <c r="R95">
        <v>1.83</v>
      </c>
      <c r="S95">
        <v>1.0900000000000001</v>
      </c>
      <c r="T95">
        <v>0.96</v>
      </c>
      <c r="U95">
        <v>0.76</v>
      </c>
      <c r="V95">
        <v>1.28</v>
      </c>
      <c r="W95">
        <v>0.88</v>
      </c>
      <c r="X95">
        <v>0.75</v>
      </c>
      <c r="Y95">
        <v>0.23</v>
      </c>
      <c r="Z95">
        <v>0.2</v>
      </c>
      <c r="AA95">
        <v>0.57999999999999996</v>
      </c>
    </row>
    <row r="96" spans="1:30" x14ac:dyDescent="0.3">
      <c r="A96" t="s">
        <v>163</v>
      </c>
      <c r="B96">
        <v>0</v>
      </c>
      <c r="C96">
        <v>1066</v>
      </c>
      <c r="AC96">
        <v>1066</v>
      </c>
      <c r="AD96">
        <v>1066</v>
      </c>
    </row>
    <row r="97" spans="1:30" x14ac:dyDescent="0.3">
      <c r="A97" t="s">
        <v>164</v>
      </c>
      <c r="B97">
        <v>0</v>
      </c>
      <c r="C97">
        <v>1066</v>
      </c>
      <c r="D97">
        <v>3362</v>
      </c>
      <c r="AC97">
        <v>4428</v>
      </c>
      <c r="AD97">
        <v>5494</v>
      </c>
    </row>
    <row r="98" spans="1:30" x14ac:dyDescent="0.3">
      <c r="A98" t="s">
        <v>138</v>
      </c>
      <c r="B98">
        <v>0</v>
      </c>
      <c r="C98">
        <v>1066</v>
      </c>
      <c r="D98">
        <v>3362</v>
      </c>
      <c r="E98">
        <v>6970</v>
      </c>
      <c r="AC98">
        <v>11398</v>
      </c>
      <c r="AD98">
        <v>16892</v>
      </c>
    </row>
    <row r="99" spans="1:30" x14ac:dyDescent="0.3">
      <c r="A99" t="s">
        <v>139</v>
      </c>
      <c r="B99">
        <v>0</v>
      </c>
      <c r="C99">
        <v>1066</v>
      </c>
      <c r="D99">
        <v>3362</v>
      </c>
      <c r="E99">
        <v>6970</v>
      </c>
      <c r="F99">
        <v>11234</v>
      </c>
      <c r="AC99">
        <v>22632</v>
      </c>
      <c r="AD99">
        <v>39524</v>
      </c>
    </row>
    <row r="100" spans="1:30" x14ac:dyDescent="0.3">
      <c r="A100" t="s">
        <v>140</v>
      </c>
      <c r="B100">
        <v>0</v>
      </c>
      <c r="C100">
        <v>1066</v>
      </c>
      <c r="D100">
        <v>3362</v>
      </c>
      <c r="E100">
        <v>6970</v>
      </c>
      <c r="F100">
        <v>11234</v>
      </c>
      <c r="G100">
        <v>19844</v>
      </c>
      <c r="AC100">
        <v>42476</v>
      </c>
      <c r="AD100">
        <v>82000</v>
      </c>
    </row>
    <row r="101" spans="1:30" x14ac:dyDescent="0.3">
      <c r="A101" t="s">
        <v>141</v>
      </c>
      <c r="B101">
        <v>0</v>
      </c>
      <c r="C101">
        <v>1066</v>
      </c>
      <c r="D101">
        <v>3362</v>
      </c>
      <c r="E101">
        <v>6970</v>
      </c>
      <c r="F101">
        <v>11234</v>
      </c>
      <c r="G101">
        <v>19844</v>
      </c>
      <c r="H101">
        <v>19844</v>
      </c>
      <c r="AC101">
        <v>62320</v>
      </c>
      <c r="AD101">
        <v>144320</v>
      </c>
    </row>
    <row r="102" spans="1:30" x14ac:dyDescent="0.3">
      <c r="A102" t="s">
        <v>142</v>
      </c>
      <c r="B102">
        <v>0</v>
      </c>
      <c r="C102">
        <v>1066</v>
      </c>
      <c r="D102">
        <v>3362</v>
      </c>
      <c r="E102">
        <v>6970</v>
      </c>
      <c r="F102">
        <v>11234</v>
      </c>
      <c r="G102">
        <v>19844</v>
      </c>
      <c r="H102">
        <v>19844</v>
      </c>
      <c r="I102">
        <v>19844</v>
      </c>
      <c r="AC102">
        <v>82164</v>
      </c>
      <c r="AD102">
        <v>226484</v>
      </c>
    </row>
    <row r="103" spans="1:30" x14ac:dyDescent="0.3">
      <c r="A103" t="s">
        <v>143</v>
      </c>
      <c r="B103">
        <v>0</v>
      </c>
      <c r="C103">
        <v>1066</v>
      </c>
      <c r="D103">
        <v>3362</v>
      </c>
      <c r="E103">
        <v>6970</v>
      </c>
      <c r="F103">
        <v>11234</v>
      </c>
      <c r="G103">
        <v>19844</v>
      </c>
      <c r="H103">
        <v>19844</v>
      </c>
      <c r="I103">
        <v>19844</v>
      </c>
      <c r="J103">
        <v>6396</v>
      </c>
      <c r="AC103">
        <v>88560</v>
      </c>
      <c r="AD103">
        <v>315044</v>
      </c>
    </row>
    <row r="104" spans="1:30" x14ac:dyDescent="0.3">
      <c r="A104" t="s">
        <v>144</v>
      </c>
      <c r="B104">
        <v>0</v>
      </c>
      <c r="C104">
        <v>1066</v>
      </c>
      <c r="D104">
        <v>3362</v>
      </c>
      <c r="E104">
        <v>6970</v>
      </c>
      <c r="F104">
        <v>11234</v>
      </c>
      <c r="G104">
        <v>19844</v>
      </c>
      <c r="H104">
        <v>19844</v>
      </c>
      <c r="I104">
        <v>19844</v>
      </c>
      <c r="J104">
        <v>6396</v>
      </c>
      <c r="K104">
        <v>13448</v>
      </c>
      <c r="AC104">
        <v>102008</v>
      </c>
      <c r="AD104">
        <v>417052</v>
      </c>
    </row>
    <row r="105" spans="1:30" x14ac:dyDescent="0.3">
      <c r="A105" t="s">
        <v>145</v>
      </c>
      <c r="B105">
        <v>0</v>
      </c>
      <c r="C105">
        <v>1066</v>
      </c>
      <c r="D105">
        <v>3362</v>
      </c>
      <c r="E105">
        <v>6970</v>
      </c>
      <c r="F105">
        <v>11234</v>
      </c>
      <c r="G105">
        <v>19844</v>
      </c>
      <c r="H105">
        <v>19844</v>
      </c>
      <c r="I105">
        <v>19844</v>
      </c>
      <c r="J105">
        <v>6396</v>
      </c>
      <c r="K105">
        <v>13448</v>
      </c>
      <c r="L105">
        <v>13448</v>
      </c>
      <c r="AC105">
        <v>115456</v>
      </c>
      <c r="AD105">
        <v>532508</v>
      </c>
    </row>
    <row r="106" spans="1:30" x14ac:dyDescent="0.3">
      <c r="A106" t="s">
        <v>146</v>
      </c>
      <c r="B106">
        <v>0</v>
      </c>
      <c r="C106">
        <v>1066</v>
      </c>
      <c r="D106">
        <v>3362</v>
      </c>
      <c r="E106">
        <v>6970</v>
      </c>
      <c r="F106">
        <v>11234</v>
      </c>
      <c r="G106">
        <v>19844</v>
      </c>
      <c r="H106">
        <v>19844</v>
      </c>
      <c r="I106">
        <v>19844</v>
      </c>
      <c r="J106">
        <v>6396</v>
      </c>
      <c r="K106">
        <v>13448</v>
      </c>
      <c r="L106">
        <v>13448</v>
      </c>
      <c r="M106">
        <v>13448</v>
      </c>
      <c r="AC106">
        <v>128904</v>
      </c>
      <c r="AD106">
        <v>661412</v>
      </c>
    </row>
    <row r="107" spans="1:30" x14ac:dyDescent="0.3">
      <c r="A107" t="s">
        <v>147</v>
      </c>
      <c r="B107">
        <v>0</v>
      </c>
      <c r="C107">
        <v>1066</v>
      </c>
      <c r="D107">
        <v>3362</v>
      </c>
      <c r="E107">
        <v>6970</v>
      </c>
      <c r="F107">
        <v>11234</v>
      </c>
      <c r="G107">
        <v>19844</v>
      </c>
      <c r="H107">
        <v>19844</v>
      </c>
      <c r="I107">
        <v>19844</v>
      </c>
      <c r="J107">
        <v>6396</v>
      </c>
      <c r="K107">
        <v>13448</v>
      </c>
      <c r="L107">
        <v>13448</v>
      </c>
      <c r="M107">
        <v>13448</v>
      </c>
      <c r="N107">
        <v>16236</v>
      </c>
      <c r="AC107">
        <v>145140</v>
      </c>
      <c r="AD107">
        <v>806552</v>
      </c>
    </row>
    <row r="108" spans="1:30" x14ac:dyDescent="0.3">
      <c r="A108" t="s">
        <v>148</v>
      </c>
      <c r="B108">
        <v>0</v>
      </c>
      <c r="C108">
        <v>1066</v>
      </c>
      <c r="D108">
        <v>3362</v>
      </c>
      <c r="E108">
        <v>6970</v>
      </c>
      <c r="F108">
        <v>11234</v>
      </c>
      <c r="G108">
        <v>19844</v>
      </c>
      <c r="H108">
        <v>19844</v>
      </c>
      <c r="I108">
        <v>19844</v>
      </c>
      <c r="J108">
        <v>6396</v>
      </c>
      <c r="K108">
        <v>13448</v>
      </c>
      <c r="L108">
        <v>13448</v>
      </c>
      <c r="M108">
        <v>13448</v>
      </c>
      <c r="N108">
        <v>16236</v>
      </c>
      <c r="O108">
        <v>9184</v>
      </c>
      <c r="AC108">
        <v>154324</v>
      </c>
      <c r="AD108">
        <v>960876</v>
      </c>
    </row>
    <row r="109" spans="1:30" x14ac:dyDescent="0.3">
      <c r="A109" t="s">
        <v>149</v>
      </c>
      <c r="B109">
        <v>0</v>
      </c>
      <c r="C109">
        <v>1066</v>
      </c>
      <c r="D109">
        <v>3362</v>
      </c>
      <c r="E109">
        <v>6970</v>
      </c>
      <c r="F109">
        <v>11234</v>
      </c>
      <c r="G109">
        <v>19844</v>
      </c>
      <c r="H109">
        <v>19844</v>
      </c>
      <c r="I109">
        <v>19844</v>
      </c>
      <c r="J109">
        <v>6396</v>
      </c>
      <c r="K109">
        <v>13448</v>
      </c>
      <c r="L109">
        <v>13448</v>
      </c>
      <c r="M109">
        <v>13448</v>
      </c>
      <c r="N109">
        <v>16236</v>
      </c>
      <c r="O109">
        <v>9184</v>
      </c>
      <c r="P109">
        <v>11562</v>
      </c>
      <c r="AC109">
        <v>165886</v>
      </c>
      <c r="AD109">
        <v>1126762</v>
      </c>
    </row>
    <row r="110" spans="1:30" x14ac:dyDescent="0.3">
      <c r="A110" t="s">
        <v>150</v>
      </c>
      <c r="B110">
        <v>0</v>
      </c>
      <c r="C110">
        <v>1066</v>
      </c>
      <c r="D110">
        <v>3362</v>
      </c>
      <c r="E110">
        <v>6970</v>
      </c>
      <c r="F110">
        <v>11234</v>
      </c>
      <c r="G110">
        <v>19844</v>
      </c>
      <c r="H110">
        <v>19844</v>
      </c>
      <c r="I110">
        <v>19844</v>
      </c>
      <c r="J110">
        <v>6396</v>
      </c>
      <c r="K110">
        <v>13448</v>
      </c>
      <c r="L110">
        <v>13448</v>
      </c>
      <c r="M110">
        <v>13448</v>
      </c>
      <c r="N110">
        <v>16236</v>
      </c>
      <c r="O110">
        <v>9184</v>
      </c>
      <c r="P110">
        <v>11562</v>
      </c>
      <c r="Q110">
        <v>15662</v>
      </c>
      <c r="AC110">
        <v>181548</v>
      </c>
      <c r="AD110">
        <v>1308310</v>
      </c>
    </row>
    <row r="111" spans="1:30" x14ac:dyDescent="0.3">
      <c r="A111" t="s">
        <v>151</v>
      </c>
      <c r="B111">
        <v>0</v>
      </c>
      <c r="C111">
        <v>1066</v>
      </c>
      <c r="D111">
        <v>3362</v>
      </c>
      <c r="E111">
        <v>6970</v>
      </c>
      <c r="F111">
        <v>11234</v>
      </c>
      <c r="G111">
        <v>19844</v>
      </c>
      <c r="H111">
        <v>19844</v>
      </c>
      <c r="I111">
        <v>19844</v>
      </c>
      <c r="J111">
        <v>6396</v>
      </c>
      <c r="K111">
        <v>13448</v>
      </c>
      <c r="L111">
        <v>13448</v>
      </c>
      <c r="M111">
        <v>13448</v>
      </c>
      <c r="N111">
        <v>16236</v>
      </c>
      <c r="O111">
        <v>9184</v>
      </c>
      <c r="P111">
        <v>11562</v>
      </c>
      <c r="Q111">
        <v>15662</v>
      </c>
      <c r="R111">
        <v>15006</v>
      </c>
      <c r="AC111">
        <v>196554</v>
      </c>
      <c r="AD111">
        <v>1504864</v>
      </c>
    </row>
    <row r="112" spans="1:30" x14ac:dyDescent="0.3">
      <c r="A112" t="s">
        <v>152</v>
      </c>
      <c r="B112">
        <v>0</v>
      </c>
      <c r="C112">
        <v>1066</v>
      </c>
      <c r="D112">
        <v>3362</v>
      </c>
      <c r="E112">
        <v>6970</v>
      </c>
      <c r="F112">
        <v>11234</v>
      </c>
      <c r="G112">
        <v>19844</v>
      </c>
      <c r="H112">
        <v>19844</v>
      </c>
      <c r="I112">
        <v>19844</v>
      </c>
      <c r="J112">
        <v>6396</v>
      </c>
      <c r="K112">
        <v>13448</v>
      </c>
      <c r="L112">
        <v>13448</v>
      </c>
      <c r="M112">
        <v>13448</v>
      </c>
      <c r="N112">
        <v>16236</v>
      </c>
      <c r="O112">
        <v>9184</v>
      </c>
      <c r="P112">
        <v>11562</v>
      </c>
      <c r="Q112">
        <v>15662</v>
      </c>
      <c r="R112">
        <v>15006</v>
      </c>
      <c r="S112">
        <v>8938</v>
      </c>
      <c r="AC112">
        <v>205492</v>
      </c>
      <c r="AD112">
        <v>1710356</v>
      </c>
    </row>
    <row r="113" spans="1:30" x14ac:dyDescent="0.3">
      <c r="A113" t="s">
        <v>153</v>
      </c>
      <c r="B113">
        <v>0</v>
      </c>
      <c r="C113">
        <v>1066</v>
      </c>
      <c r="D113">
        <v>3362</v>
      </c>
      <c r="E113">
        <v>6970</v>
      </c>
      <c r="F113">
        <v>11234</v>
      </c>
      <c r="G113">
        <v>19844</v>
      </c>
      <c r="H113">
        <v>19844</v>
      </c>
      <c r="I113">
        <v>19844</v>
      </c>
      <c r="J113">
        <v>6396</v>
      </c>
      <c r="K113">
        <v>13448</v>
      </c>
      <c r="L113">
        <v>13448</v>
      </c>
      <c r="M113">
        <v>13448</v>
      </c>
      <c r="N113">
        <v>16236</v>
      </c>
      <c r="O113">
        <v>9184</v>
      </c>
      <c r="P113">
        <v>11562</v>
      </c>
      <c r="Q113">
        <v>15662</v>
      </c>
      <c r="R113">
        <v>15006</v>
      </c>
      <c r="S113">
        <v>8938</v>
      </c>
      <c r="T113">
        <v>7872</v>
      </c>
      <c r="AC113">
        <v>213364</v>
      </c>
      <c r="AD113">
        <v>1923720</v>
      </c>
    </row>
    <row r="114" spans="1:30" x14ac:dyDescent="0.3">
      <c r="A114" t="s">
        <v>154</v>
      </c>
      <c r="B114">
        <v>0</v>
      </c>
      <c r="C114">
        <v>1066</v>
      </c>
      <c r="D114">
        <v>3362</v>
      </c>
      <c r="E114">
        <v>6970</v>
      </c>
      <c r="F114">
        <v>11234</v>
      </c>
      <c r="G114">
        <v>19844</v>
      </c>
      <c r="H114">
        <v>19844</v>
      </c>
      <c r="I114">
        <v>19844</v>
      </c>
      <c r="J114">
        <v>6396</v>
      </c>
      <c r="K114">
        <v>13448</v>
      </c>
      <c r="L114">
        <v>13448</v>
      </c>
      <c r="M114">
        <v>13448</v>
      </c>
      <c r="N114">
        <v>16236</v>
      </c>
      <c r="O114">
        <v>9184</v>
      </c>
      <c r="P114">
        <v>11562</v>
      </c>
      <c r="Q114">
        <v>15662</v>
      </c>
      <c r="R114">
        <v>15006</v>
      </c>
      <c r="S114">
        <v>8938</v>
      </c>
      <c r="T114">
        <v>7872</v>
      </c>
      <c r="U114">
        <v>6232</v>
      </c>
      <c r="AC114">
        <v>219596</v>
      </c>
      <c r="AD114">
        <v>2143316</v>
      </c>
    </row>
    <row r="115" spans="1:30" x14ac:dyDescent="0.3">
      <c r="A115" t="s">
        <v>155</v>
      </c>
      <c r="B115">
        <v>0</v>
      </c>
      <c r="C115">
        <v>1066</v>
      </c>
      <c r="D115">
        <v>3362</v>
      </c>
      <c r="E115">
        <v>6970</v>
      </c>
      <c r="F115">
        <v>11234</v>
      </c>
      <c r="G115">
        <v>19844</v>
      </c>
      <c r="H115">
        <v>19844</v>
      </c>
      <c r="I115">
        <v>19844</v>
      </c>
      <c r="J115">
        <v>6396</v>
      </c>
      <c r="K115">
        <v>13448</v>
      </c>
      <c r="L115">
        <v>13448</v>
      </c>
      <c r="M115">
        <v>13448</v>
      </c>
      <c r="N115">
        <v>16236</v>
      </c>
      <c r="O115">
        <v>9184</v>
      </c>
      <c r="P115">
        <v>11562</v>
      </c>
      <c r="Q115">
        <v>15662</v>
      </c>
      <c r="R115">
        <v>15006</v>
      </c>
      <c r="S115">
        <v>8938</v>
      </c>
      <c r="T115">
        <v>7872</v>
      </c>
      <c r="U115">
        <v>6232</v>
      </c>
      <c r="V115">
        <v>10496</v>
      </c>
      <c r="AC115">
        <v>230092</v>
      </c>
      <c r="AD115">
        <v>2373408</v>
      </c>
    </row>
    <row r="116" spans="1:30" x14ac:dyDescent="0.3">
      <c r="A116" t="s">
        <v>156</v>
      </c>
      <c r="B116">
        <v>0</v>
      </c>
      <c r="C116">
        <v>1066</v>
      </c>
      <c r="D116">
        <v>3362</v>
      </c>
      <c r="E116">
        <v>6970</v>
      </c>
      <c r="F116">
        <v>11234</v>
      </c>
      <c r="G116">
        <v>19844</v>
      </c>
      <c r="H116">
        <v>19844</v>
      </c>
      <c r="I116">
        <v>19844</v>
      </c>
      <c r="J116">
        <v>6396</v>
      </c>
      <c r="K116">
        <v>13448</v>
      </c>
      <c r="L116">
        <v>13448</v>
      </c>
      <c r="M116">
        <v>13448</v>
      </c>
      <c r="N116">
        <v>16236</v>
      </c>
      <c r="O116">
        <v>9184</v>
      </c>
      <c r="P116">
        <v>11562</v>
      </c>
      <c r="Q116">
        <v>15662</v>
      </c>
      <c r="R116">
        <v>15006</v>
      </c>
      <c r="S116">
        <v>8938</v>
      </c>
      <c r="T116">
        <v>7872</v>
      </c>
      <c r="U116">
        <v>6232</v>
      </c>
      <c r="V116">
        <v>10496</v>
      </c>
      <c r="W116">
        <v>7216</v>
      </c>
      <c r="AC116">
        <v>237308</v>
      </c>
      <c r="AD116">
        <v>2610716</v>
      </c>
    </row>
    <row r="117" spans="1:30" x14ac:dyDescent="0.3">
      <c r="A117" t="s">
        <v>157</v>
      </c>
      <c r="B117">
        <v>0</v>
      </c>
      <c r="C117">
        <v>1066</v>
      </c>
      <c r="D117">
        <v>3362</v>
      </c>
      <c r="E117">
        <v>6970</v>
      </c>
      <c r="F117">
        <v>11234</v>
      </c>
      <c r="G117">
        <v>19844</v>
      </c>
      <c r="H117">
        <v>19844</v>
      </c>
      <c r="I117">
        <v>19844</v>
      </c>
      <c r="J117">
        <v>6396</v>
      </c>
      <c r="K117">
        <v>13448</v>
      </c>
      <c r="L117">
        <v>13448</v>
      </c>
      <c r="M117">
        <v>13448</v>
      </c>
      <c r="N117">
        <v>16236</v>
      </c>
      <c r="O117">
        <v>9184</v>
      </c>
      <c r="P117">
        <v>11562</v>
      </c>
      <c r="Q117">
        <v>15662</v>
      </c>
      <c r="R117">
        <v>15006</v>
      </c>
      <c r="S117">
        <v>8938</v>
      </c>
      <c r="T117">
        <v>7872</v>
      </c>
      <c r="U117">
        <v>6232</v>
      </c>
      <c r="V117">
        <v>10496</v>
      </c>
      <c r="W117">
        <v>7216</v>
      </c>
      <c r="X117">
        <v>6150</v>
      </c>
      <c r="AC117">
        <v>243458</v>
      </c>
      <c r="AD117">
        <v>2854174</v>
      </c>
    </row>
    <row r="118" spans="1:30" x14ac:dyDescent="0.3">
      <c r="A118" t="s">
        <v>158</v>
      </c>
      <c r="B118">
        <v>0</v>
      </c>
      <c r="C118">
        <v>1066</v>
      </c>
      <c r="D118">
        <v>3362</v>
      </c>
      <c r="E118">
        <v>6970</v>
      </c>
      <c r="F118">
        <v>11234</v>
      </c>
      <c r="G118">
        <v>19844</v>
      </c>
      <c r="H118">
        <v>19844</v>
      </c>
      <c r="I118">
        <v>19844</v>
      </c>
      <c r="J118">
        <v>6396</v>
      </c>
      <c r="K118">
        <v>13448</v>
      </c>
      <c r="L118">
        <v>13448</v>
      </c>
      <c r="M118">
        <v>13448</v>
      </c>
      <c r="N118">
        <v>16236</v>
      </c>
      <c r="O118">
        <v>9184</v>
      </c>
      <c r="P118">
        <v>11562</v>
      </c>
      <c r="Q118">
        <v>15662</v>
      </c>
      <c r="R118">
        <v>15006</v>
      </c>
      <c r="S118">
        <v>8938</v>
      </c>
      <c r="T118">
        <v>7872</v>
      </c>
      <c r="U118">
        <v>6232</v>
      </c>
      <c r="V118">
        <v>10496</v>
      </c>
      <c r="W118">
        <v>7216</v>
      </c>
      <c r="X118">
        <v>6150</v>
      </c>
      <c r="Y118">
        <v>1886</v>
      </c>
      <c r="AC118">
        <v>245344</v>
      </c>
      <c r="AD118">
        <v>3099518</v>
      </c>
    </row>
    <row r="119" spans="1:30" x14ac:dyDescent="0.3">
      <c r="A119" t="s">
        <v>159</v>
      </c>
      <c r="B119">
        <v>0</v>
      </c>
      <c r="C119">
        <v>1066</v>
      </c>
      <c r="D119">
        <v>3362</v>
      </c>
      <c r="E119">
        <v>6970</v>
      </c>
      <c r="F119">
        <v>11234</v>
      </c>
      <c r="G119">
        <v>19844</v>
      </c>
      <c r="H119">
        <v>19844</v>
      </c>
      <c r="I119">
        <v>19844</v>
      </c>
      <c r="J119">
        <v>6396</v>
      </c>
      <c r="K119">
        <v>13448</v>
      </c>
      <c r="L119">
        <v>13448</v>
      </c>
      <c r="M119">
        <v>13448</v>
      </c>
      <c r="N119">
        <v>16236</v>
      </c>
      <c r="O119">
        <v>9184</v>
      </c>
      <c r="P119">
        <v>11562</v>
      </c>
      <c r="Q119">
        <v>15662</v>
      </c>
      <c r="R119">
        <v>15006</v>
      </c>
      <c r="S119">
        <v>8938</v>
      </c>
      <c r="T119">
        <v>7872</v>
      </c>
      <c r="U119">
        <v>6232</v>
      </c>
      <c r="V119">
        <v>10496</v>
      </c>
      <c r="W119">
        <v>7216</v>
      </c>
      <c r="X119">
        <v>6150</v>
      </c>
      <c r="Y119">
        <v>1886</v>
      </c>
      <c r="Z119">
        <v>1640</v>
      </c>
      <c r="AC119">
        <v>246984</v>
      </c>
      <c r="AD119">
        <v>3346502</v>
      </c>
    </row>
    <row r="120" spans="1:30" x14ac:dyDescent="0.3">
      <c r="A120" t="s">
        <v>160</v>
      </c>
      <c r="B120">
        <v>0</v>
      </c>
      <c r="C120">
        <v>1066</v>
      </c>
      <c r="D120">
        <v>3362</v>
      </c>
      <c r="E120">
        <v>6970</v>
      </c>
      <c r="F120">
        <v>11234</v>
      </c>
      <c r="G120">
        <v>19844</v>
      </c>
      <c r="H120">
        <v>19844</v>
      </c>
      <c r="I120">
        <v>19844</v>
      </c>
      <c r="J120">
        <v>6396</v>
      </c>
      <c r="K120">
        <v>13448</v>
      </c>
      <c r="L120">
        <v>13448</v>
      </c>
      <c r="M120">
        <v>13448</v>
      </c>
      <c r="N120">
        <v>16236</v>
      </c>
      <c r="O120">
        <v>9184</v>
      </c>
      <c r="P120">
        <v>11562</v>
      </c>
      <c r="Q120">
        <v>15662</v>
      </c>
      <c r="R120">
        <v>15006</v>
      </c>
      <c r="S120">
        <v>8938</v>
      </c>
      <c r="T120">
        <v>7872</v>
      </c>
      <c r="U120">
        <v>6232</v>
      </c>
      <c r="V120">
        <v>10496</v>
      </c>
      <c r="W120">
        <v>7216</v>
      </c>
      <c r="X120">
        <v>6150</v>
      </c>
      <c r="Y120">
        <v>1886</v>
      </c>
      <c r="Z120">
        <v>1640</v>
      </c>
      <c r="AA120">
        <v>4756</v>
      </c>
      <c r="AC120">
        <v>251740</v>
      </c>
      <c r="AD120">
        <v>3598242</v>
      </c>
    </row>
    <row r="121" spans="1:30" x14ac:dyDescent="0.3">
      <c r="AC121">
        <v>3598242</v>
      </c>
      <c r="AD121">
        <v>13205548.140000001</v>
      </c>
    </row>
    <row r="122" spans="1:30" x14ac:dyDescent="0.3">
      <c r="AC122">
        <v>3.5982419999999999</v>
      </c>
    </row>
    <row r="124" spans="1:30" x14ac:dyDescent="0.3">
      <c r="A124" t="s">
        <v>170</v>
      </c>
      <c r="B124">
        <v>0</v>
      </c>
      <c r="C124">
        <v>277.16000000000003</v>
      </c>
      <c r="AC124">
        <v>277.16000000000003</v>
      </c>
      <c r="AD124">
        <v>277.16000000000003</v>
      </c>
    </row>
    <row r="125" spans="1:30" x14ac:dyDescent="0.3">
      <c r="A125" t="s">
        <v>164</v>
      </c>
      <c r="B125">
        <v>0</v>
      </c>
      <c r="C125">
        <v>277.16000000000003</v>
      </c>
      <c r="D125">
        <v>874.12</v>
      </c>
      <c r="AC125">
        <v>1151.28</v>
      </c>
      <c r="AD125">
        <v>1428.44</v>
      </c>
    </row>
    <row r="126" spans="1:30" x14ac:dyDescent="0.3">
      <c r="A126" t="s">
        <v>138</v>
      </c>
      <c r="B126">
        <v>0</v>
      </c>
      <c r="C126">
        <v>277.16000000000003</v>
      </c>
      <c r="D126">
        <v>874.12</v>
      </c>
      <c r="E126">
        <v>1812.2</v>
      </c>
      <c r="AC126">
        <v>2963.48</v>
      </c>
      <c r="AD126">
        <v>4391.92</v>
      </c>
    </row>
    <row r="127" spans="1:30" x14ac:dyDescent="0.3">
      <c r="A127" t="s">
        <v>139</v>
      </c>
      <c r="B127">
        <v>0</v>
      </c>
      <c r="C127">
        <v>277.16000000000003</v>
      </c>
      <c r="D127">
        <v>874.12</v>
      </c>
      <c r="E127">
        <v>1812.2</v>
      </c>
      <c r="F127">
        <v>2920.84</v>
      </c>
      <c r="AC127">
        <v>5884.32</v>
      </c>
      <c r="AD127">
        <v>10276.24</v>
      </c>
    </row>
    <row r="128" spans="1:30" x14ac:dyDescent="0.3">
      <c r="A128" t="s">
        <v>140</v>
      </c>
      <c r="B128">
        <v>0</v>
      </c>
      <c r="C128">
        <v>277.16000000000003</v>
      </c>
      <c r="D128">
        <v>874.12</v>
      </c>
      <c r="E128">
        <v>1812.2</v>
      </c>
      <c r="F128">
        <v>2920.84</v>
      </c>
      <c r="G128">
        <v>5159.4399999999996</v>
      </c>
      <c r="AC128">
        <v>11043.759999999998</v>
      </c>
      <c r="AD128">
        <v>21320</v>
      </c>
    </row>
    <row r="129" spans="1:30" x14ac:dyDescent="0.3">
      <c r="A129" t="s">
        <v>141</v>
      </c>
      <c r="B129">
        <v>0</v>
      </c>
      <c r="C129">
        <v>277.16000000000003</v>
      </c>
      <c r="D129">
        <v>874.12</v>
      </c>
      <c r="E129">
        <v>1812.2</v>
      </c>
      <c r="F129">
        <v>2920.84</v>
      </c>
      <c r="G129">
        <v>5159.4399999999996</v>
      </c>
      <c r="H129">
        <v>5159.4399999999996</v>
      </c>
      <c r="AC129">
        <v>16203.199999999997</v>
      </c>
      <c r="AD129">
        <v>37523.199999999997</v>
      </c>
    </row>
    <row r="130" spans="1:30" x14ac:dyDescent="0.3">
      <c r="A130" t="s">
        <v>142</v>
      </c>
      <c r="B130">
        <v>0</v>
      </c>
      <c r="C130">
        <v>277.16000000000003</v>
      </c>
      <c r="D130">
        <v>874.12</v>
      </c>
      <c r="E130">
        <v>1812.2</v>
      </c>
      <c r="F130">
        <v>2920.84</v>
      </c>
      <c r="G130">
        <v>5159.4399999999996</v>
      </c>
      <c r="H130">
        <v>5159.4399999999996</v>
      </c>
      <c r="I130">
        <v>5159.4399999999996</v>
      </c>
      <c r="AC130">
        <v>21362.639999999996</v>
      </c>
      <c r="AD130">
        <v>58885.84</v>
      </c>
    </row>
    <row r="131" spans="1:30" x14ac:dyDescent="0.3">
      <c r="A131" t="s">
        <v>143</v>
      </c>
      <c r="B131">
        <v>0</v>
      </c>
      <c r="C131">
        <v>277.16000000000003</v>
      </c>
      <c r="D131">
        <v>874.12</v>
      </c>
      <c r="E131">
        <v>1812.2</v>
      </c>
      <c r="F131">
        <v>2920.84</v>
      </c>
      <c r="G131">
        <v>5159.4399999999996</v>
      </c>
      <c r="H131">
        <v>5159.4399999999996</v>
      </c>
      <c r="I131">
        <v>5159.4399999999996</v>
      </c>
      <c r="J131">
        <v>1662.96</v>
      </c>
      <c r="AC131">
        <v>23025.599999999995</v>
      </c>
      <c r="AD131">
        <v>81911.439999999988</v>
      </c>
    </row>
    <row r="132" spans="1:30" x14ac:dyDescent="0.3">
      <c r="A132" t="s">
        <v>144</v>
      </c>
      <c r="B132">
        <v>0</v>
      </c>
      <c r="C132">
        <v>277.16000000000003</v>
      </c>
      <c r="D132">
        <v>874.12</v>
      </c>
      <c r="E132">
        <v>1812.2</v>
      </c>
      <c r="F132">
        <v>2920.84</v>
      </c>
      <c r="G132">
        <v>5159.4399999999996</v>
      </c>
      <c r="H132">
        <v>5159.4399999999996</v>
      </c>
      <c r="I132">
        <v>5159.4399999999996</v>
      </c>
      <c r="J132">
        <v>1662.96</v>
      </c>
      <c r="K132">
        <v>3496.48</v>
      </c>
      <c r="AC132">
        <v>26522.079999999994</v>
      </c>
      <c r="AD132">
        <v>108433.51999999999</v>
      </c>
    </row>
    <row r="133" spans="1:30" x14ac:dyDescent="0.3">
      <c r="A133" t="s">
        <v>145</v>
      </c>
      <c r="B133">
        <v>0</v>
      </c>
      <c r="C133">
        <v>277.16000000000003</v>
      </c>
      <c r="D133">
        <v>874.12</v>
      </c>
      <c r="E133">
        <v>1812.2</v>
      </c>
      <c r="F133">
        <v>2920.84</v>
      </c>
      <c r="G133">
        <v>5159.4399999999996</v>
      </c>
      <c r="H133">
        <v>5159.4399999999996</v>
      </c>
      <c r="I133">
        <v>5159.4399999999996</v>
      </c>
      <c r="J133">
        <v>1662.96</v>
      </c>
      <c r="K133">
        <v>3496.48</v>
      </c>
      <c r="L133">
        <v>3496.48</v>
      </c>
      <c r="AC133">
        <v>30018.559999999994</v>
      </c>
      <c r="AD133">
        <v>138452.07999999999</v>
      </c>
    </row>
    <row r="134" spans="1:30" x14ac:dyDescent="0.3">
      <c r="A134" t="s">
        <v>146</v>
      </c>
      <c r="B134">
        <v>0</v>
      </c>
      <c r="C134">
        <v>277.16000000000003</v>
      </c>
      <c r="D134">
        <v>874.12</v>
      </c>
      <c r="E134">
        <v>1812.2</v>
      </c>
      <c r="F134">
        <v>2920.84</v>
      </c>
      <c r="G134">
        <v>5159.4399999999996</v>
      </c>
      <c r="H134">
        <v>5159.4399999999996</v>
      </c>
      <c r="I134">
        <v>5159.4399999999996</v>
      </c>
      <c r="J134">
        <v>1662.96</v>
      </c>
      <c r="K134">
        <v>3496.48</v>
      </c>
      <c r="L134">
        <v>3496.48</v>
      </c>
      <c r="M134">
        <v>3496.48</v>
      </c>
      <c r="AC134">
        <v>33515.039999999994</v>
      </c>
      <c r="AD134">
        <v>171967.12</v>
      </c>
    </row>
    <row r="135" spans="1:30" x14ac:dyDescent="0.3">
      <c r="A135" t="s">
        <v>147</v>
      </c>
      <c r="B135">
        <v>0</v>
      </c>
      <c r="C135">
        <v>277.16000000000003</v>
      </c>
      <c r="D135">
        <v>874.12</v>
      </c>
      <c r="E135">
        <v>1812.2</v>
      </c>
      <c r="F135">
        <v>2920.84</v>
      </c>
      <c r="G135">
        <v>5159.4399999999996</v>
      </c>
      <c r="H135">
        <v>5159.4399999999996</v>
      </c>
      <c r="I135">
        <v>5159.4399999999996</v>
      </c>
      <c r="J135">
        <v>1662.96</v>
      </c>
      <c r="K135">
        <v>3496.48</v>
      </c>
      <c r="L135">
        <v>3496.48</v>
      </c>
      <c r="M135">
        <v>3496.48</v>
      </c>
      <c r="N135">
        <v>4221.3600000000006</v>
      </c>
      <c r="AC135">
        <v>37736.399999999994</v>
      </c>
      <c r="AD135">
        <v>209703.52</v>
      </c>
    </row>
    <row r="136" spans="1:30" x14ac:dyDescent="0.3">
      <c r="A136" t="s">
        <v>148</v>
      </c>
      <c r="B136">
        <v>0</v>
      </c>
      <c r="C136">
        <v>277.16000000000003</v>
      </c>
      <c r="D136">
        <v>874.12</v>
      </c>
      <c r="E136">
        <v>1812.2</v>
      </c>
      <c r="F136">
        <v>2920.84</v>
      </c>
      <c r="G136">
        <v>5159.4399999999996</v>
      </c>
      <c r="H136">
        <v>5159.4399999999996</v>
      </c>
      <c r="I136">
        <v>5159.4399999999996</v>
      </c>
      <c r="J136">
        <v>1662.96</v>
      </c>
      <c r="K136">
        <v>3496.48</v>
      </c>
      <c r="L136">
        <v>3496.48</v>
      </c>
      <c r="M136">
        <v>3496.48</v>
      </c>
      <c r="N136">
        <v>4221.3600000000006</v>
      </c>
      <c r="O136">
        <v>2387.84</v>
      </c>
      <c r="AC136">
        <v>40124.239999999991</v>
      </c>
      <c r="AD136">
        <v>249827.75999999998</v>
      </c>
    </row>
    <row r="137" spans="1:30" x14ac:dyDescent="0.3">
      <c r="A137" t="s">
        <v>149</v>
      </c>
      <c r="B137">
        <v>0</v>
      </c>
      <c r="C137">
        <v>277.16000000000003</v>
      </c>
      <c r="D137">
        <v>874.12</v>
      </c>
      <c r="E137">
        <v>1812.2</v>
      </c>
      <c r="F137">
        <v>2920.84</v>
      </c>
      <c r="G137">
        <v>5159.4399999999996</v>
      </c>
      <c r="H137">
        <v>5159.4399999999996</v>
      </c>
      <c r="I137">
        <v>5159.4399999999996</v>
      </c>
      <c r="J137">
        <v>1662.96</v>
      </c>
      <c r="K137">
        <v>3496.48</v>
      </c>
      <c r="L137">
        <v>3496.48</v>
      </c>
      <c r="M137">
        <v>3496.48</v>
      </c>
      <c r="N137">
        <v>4221.3600000000006</v>
      </c>
      <c r="O137">
        <v>2387.84</v>
      </c>
      <c r="P137">
        <v>3006.12</v>
      </c>
      <c r="AC137">
        <v>43130.359999999993</v>
      </c>
      <c r="AD137">
        <v>292958.12</v>
      </c>
    </row>
    <row r="138" spans="1:30" x14ac:dyDescent="0.3">
      <c r="A138" t="s">
        <v>150</v>
      </c>
      <c r="B138">
        <v>0</v>
      </c>
      <c r="C138">
        <v>277.16000000000003</v>
      </c>
      <c r="D138">
        <v>874.12</v>
      </c>
      <c r="E138">
        <v>1812.2</v>
      </c>
      <c r="F138">
        <v>2920.84</v>
      </c>
      <c r="G138">
        <v>5159.4399999999996</v>
      </c>
      <c r="H138">
        <v>5159.4399999999996</v>
      </c>
      <c r="I138">
        <v>5159.4399999999996</v>
      </c>
      <c r="J138">
        <v>1662.96</v>
      </c>
      <c r="K138">
        <v>3496.48</v>
      </c>
      <c r="L138">
        <v>3496.48</v>
      </c>
      <c r="M138">
        <v>3496.48</v>
      </c>
      <c r="N138">
        <v>4221.3600000000006</v>
      </c>
      <c r="O138">
        <v>2387.84</v>
      </c>
      <c r="P138">
        <v>3006.12</v>
      </c>
      <c r="Q138">
        <v>4072.12</v>
      </c>
      <c r="AC138">
        <v>47202.479999999996</v>
      </c>
      <c r="AD138">
        <v>340160.6</v>
      </c>
    </row>
    <row r="139" spans="1:30" x14ac:dyDescent="0.3">
      <c r="A139" t="s">
        <v>151</v>
      </c>
      <c r="B139">
        <v>0</v>
      </c>
      <c r="C139">
        <v>277.16000000000003</v>
      </c>
      <c r="D139">
        <v>874.12</v>
      </c>
      <c r="E139">
        <v>1812.2</v>
      </c>
      <c r="F139">
        <v>2920.84</v>
      </c>
      <c r="G139">
        <v>5159.4399999999996</v>
      </c>
      <c r="H139">
        <v>5159.4399999999996</v>
      </c>
      <c r="I139">
        <v>5159.4399999999996</v>
      </c>
      <c r="J139">
        <v>1662.96</v>
      </c>
      <c r="K139">
        <v>3496.48</v>
      </c>
      <c r="L139">
        <v>3496.48</v>
      </c>
      <c r="M139">
        <v>3496.48</v>
      </c>
      <c r="N139">
        <v>4221.3600000000006</v>
      </c>
      <c r="O139">
        <v>2387.84</v>
      </c>
      <c r="P139">
        <v>3006.12</v>
      </c>
      <c r="Q139">
        <v>4072.12</v>
      </c>
      <c r="R139">
        <v>3901.5600000000004</v>
      </c>
      <c r="AC139">
        <v>51104.039999999994</v>
      </c>
      <c r="AD139">
        <v>391264.63999999996</v>
      </c>
    </row>
    <row r="140" spans="1:30" x14ac:dyDescent="0.3">
      <c r="A140" t="s">
        <v>152</v>
      </c>
      <c r="B140">
        <v>0</v>
      </c>
      <c r="C140">
        <v>277.16000000000003</v>
      </c>
      <c r="D140">
        <v>874.12</v>
      </c>
      <c r="E140">
        <v>1812.2</v>
      </c>
      <c r="F140">
        <v>2920.84</v>
      </c>
      <c r="G140">
        <v>5159.4399999999996</v>
      </c>
      <c r="H140">
        <v>5159.4399999999996</v>
      </c>
      <c r="I140">
        <v>5159.4399999999996</v>
      </c>
      <c r="J140">
        <v>1662.96</v>
      </c>
      <c r="K140">
        <v>3496.48</v>
      </c>
      <c r="L140">
        <v>3496.48</v>
      </c>
      <c r="M140">
        <v>3496.48</v>
      </c>
      <c r="N140">
        <v>4221.3600000000006</v>
      </c>
      <c r="O140">
        <v>2387.84</v>
      </c>
      <c r="P140">
        <v>3006.12</v>
      </c>
      <c r="Q140">
        <v>4072.12</v>
      </c>
      <c r="R140">
        <v>3901.5600000000004</v>
      </c>
      <c r="S140">
        <v>2323.88</v>
      </c>
      <c r="AC140">
        <v>53427.919999999991</v>
      </c>
      <c r="AD140">
        <v>444692.55999999994</v>
      </c>
    </row>
    <row r="141" spans="1:30" x14ac:dyDescent="0.3">
      <c r="A141" t="s">
        <v>153</v>
      </c>
      <c r="B141">
        <v>0</v>
      </c>
      <c r="C141">
        <v>277.16000000000003</v>
      </c>
      <c r="D141">
        <v>874.12</v>
      </c>
      <c r="E141">
        <v>1812.2</v>
      </c>
      <c r="F141">
        <v>2920.84</v>
      </c>
      <c r="G141">
        <v>5159.4399999999996</v>
      </c>
      <c r="H141">
        <v>5159.4399999999996</v>
      </c>
      <c r="I141">
        <v>5159.4399999999996</v>
      </c>
      <c r="J141">
        <v>1662.96</v>
      </c>
      <c r="K141">
        <v>3496.48</v>
      </c>
      <c r="L141">
        <v>3496.48</v>
      </c>
      <c r="M141">
        <v>3496.48</v>
      </c>
      <c r="N141">
        <v>4221.3600000000006</v>
      </c>
      <c r="O141">
        <v>2387.84</v>
      </c>
      <c r="P141">
        <v>3006.12</v>
      </c>
      <c r="Q141">
        <v>4072.12</v>
      </c>
      <c r="R141">
        <v>3901.5600000000004</v>
      </c>
      <c r="S141">
        <v>2323.88</v>
      </c>
      <c r="T141">
        <v>2046.7199999999998</v>
      </c>
      <c r="AC141">
        <v>55474.639999999992</v>
      </c>
      <c r="AD141">
        <v>500167.19999999995</v>
      </c>
    </row>
    <row r="142" spans="1:30" x14ac:dyDescent="0.3">
      <c r="A142" t="s">
        <v>154</v>
      </c>
      <c r="B142">
        <v>0</v>
      </c>
      <c r="C142">
        <v>277.16000000000003</v>
      </c>
      <c r="D142">
        <v>874.12</v>
      </c>
      <c r="E142">
        <v>1812.2</v>
      </c>
      <c r="F142">
        <v>2920.84</v>
      </c>
      <c r="G142">
        <v>5159.4399999999996</v>
      </c>
      <c r="H142">
        <v>5159.4399999999996</v>
      </c>
      <c r="I142">
        <v>5159.4399999999996</v>
      </c>
      <c r="J142">
        <v>1662.96</v>
      </c>
      <c r="K142">
        <v>3496.48</v>
      </c>
      <c r="L142">
        <v>3496.48</v>
      </c>
      <c r="M142">
        <v>3496.48</v>
      </c>
      <c r="N142">
        <v>4221.3600000000006</v>
      </c>
      <c r="O142">
        <v>2387.84</v>
      </c>
      <c r="P142">
        <v>3006.12</v>
      </c>
      <c r="Q142">
        <v>4072.12</v>
      </c>
      <c r="R142">
        <v>3901.5600000000004</v>
      </c>
      <c r="S142">
        <v>2323.88</v>
      </c>
      <c r="T142">
        <v>2046.7199999999998</v>
      </c>
      <c r="U142">
        <v>1620.32</v>
      </c>
      <c r="AC142">
        <v>57094.959999999992</v>
      </c>
      <c r="AD142">
        <v>557262.15999999992</v>
      </c>
    </row>
    <row r="143" spans="1:30" x14ac:dyDescent="0.3">
      <c r="A143" t="s">
        <v>155</v>
      </c>
      <c r="B143">
        <v>0</v>
      </c>
      <c r="C143">
        <v>277.16000000000003</v>
      </c>
      <c r="D143">
        <v>874.12</v>
      </c>
      <c r="E143">
        <v>1812.2</v>
      </c>
      <c r="F143">
        <v>2920.84</v>
      </c>
      <c r="G143">
        <v>5159.4399999999996</v>
      </c>
      <c r="H143">
        <v>5159.4399999999996</v>
      </c>
      <c r="I143">
        <v>5159.4399999999996</v>
      </c>
      <c r="J143">
        <v>1662.96</v>
      </c>
      <c r="K143">
        <v>3496.48</v>
      </c>
      <c r="L143">
        <v>3496.48</v>
      </c>
      <c r="M143">
        <v>3496.48</v>
      </c>
      <c r="N143">
        <v>4221.3600000000006</v>
      </c>
      <c r="O143">
        <v>2387.84</v>
      </c>
      <c r="P143">
        <v>3006.12</v>
      </c>
      <c r="Q143">
        <v>4072.12</v>
      </c>
      <c r="R143">
        <v>3901.5600000000004</v>
      </c>
      <c r="S143">
        <v>2323.88</v>
      </c>
      <c r="T143">
        <v>2046.7199999999998</v>
      </c>
      <c r="U143">
        <v>1620.32</v>
      </c>
      <c r="V143">
        <v>2728.9600000000005</v>
      </c>
      <c r="AC143">
        <v>59823.919999999991</v>
      </c>
      <c r="AD143">
        <v>617086.07999999996</v>
      </c>
    </row>
    <row r="144" spans="1:30" x14ac:dyDescent="0.3">
      <c r="A144" t="s">
        <v>156</v>
      </c>
      <c r="B144">
        <v>0</v>
      </c>
      <c r="C144">
        <v>277.16000000000003</v>
      </c>
      <c r="D144">
        <v>874.12</v>
      </c>
      <c r="E144">
        <v>1812.2</v>
      </c>
      <c r="F144">
        <v>2920.84</v>
      </c>
      <c r="G144">
        <v>5159.4399999999996</v>
      </c>
      <c r="H144">
        <v>5159.4399999999996</v>
      </c>
      <c r="I144">
        <v>5159.4399999999996</v>
      </c>
      <c r="J144">
        <v>1662.96</v>
      </c>
      <c r="K144">
        <v>3496.48</v>
      </c>
      <c r="L144">
        <v>3496.48</v>
      </c>
      <c r="M144">
        <v>3496.48</v>
      </c>
      <c r="N144">
        <v>4221.3600000000006</v>
      </c>
      <c r="O144">
        <v>2387.84</v>
      </c>
      <c r="P144">
        <v>3006.12</v>
      </c>
      <c r="Q144">
        <v>4072.12</v>
      </c>
      <c r="R144">
        <v>3901.5600000000004</v>
      </c>
      <c r="S144">
        <v>2323.88</v>
      </c>
      <c r="T144">
        <v>2046.7199999999998</v>
      </c>
      <c r="U144">
        <v>1620.32</v>
      </c>
      <c r="V144">
        <v>2728.9600000000005</v>
      </c>
      <c r="W144">
        <v>1876.16</v>
      </c>
      <c r="AC144">
        <v>61700.079999999994</v>
      </c>
      <c r="AD144">
        <v>678786.15999999992</v>
      </c>
    </row>
    <row r="145" spans="1:30" x14ac:dyDescent="0.3">
      <c r="A145" t="s">
        <v>157</v>
      </c>
      <c r="B145">
        <v>0</v>
      </c>
      <c r="C145">
        <v>277.16000000000003</v>
      </c>
      <c r="D145">
        <v>874.12</v>
      </c>
      <c r="E145">
        <v>1812.2</v>
      </c>
      <c r="F145">
        <v>2920.84</v>
      </c>
      <c r="G145">
        <v>5159.4399999999996</v>
      </c>
      <c r="H145">
        <v>5159.4399999999996</v>
      </c>
      <c r="I145">
        <v>5159.4399999999996</v>
      </c>
      <c r="J145">
        <v>1662.96</v>
      </c>
      <c r="K145">
        <v>3496.48</v>
      </c>
      <c r="L145">
        <v>3496.48</v>
      </c>
      <c r="M145">
        <v>3496.48</v>
      </c>
      <c r="N145">
        <v>4221.3600000000006</v>
      </c>
      <c r="O145">
        <v>2387.84</v>
      </c>
      <c r="P145">
        <v>3006.12</v>
      </c>
      <c r="Q145">
        <v>4072.12</v>
      </c>
      <c r="R145">
        <v>3901.5600000000004</v>
      </c>
      <c r="S145">
        <v>2323.88</v>
      </c>
      <c r="T145">
        <v>2046.7199999999998</v>
      </c>
      <c r="U145">
        <v>1620.32</v>
      </c>
      <c r="V145">
        <v>2728.9600000000005</v>
      </c>
      <c r="W145">
        <v>1876.16</v>
      </c>
      <c r="X145">
        <v>1599</v>
      </c>
      <c r="AC145">
        <v>63299.079999999994</v>
      </c>
      <c r="AD145">
        <v>742085.23999999987</v>
      </c>
    </row>
    <row r="146" spans="1:30" x14ac:dyDescent="0.3">
      <c r="A146" t="s">
        <v>158</v>
      </c>
      <c r="B146">
        <v>0</v>
      </c>
      <c r="C146">
        <v>277.16000000000003</v>
      </c>
      <c r="D146">
        <v>874.12</v>
      </c>
      <c r="E146">
        <v>1812.2</v>
      </c>
      <c r="F146">
        <v>2920.84</v>
      </c>
      <c r="G146">
        <v>5159.4399999999996</v>
      </c>
      <c r="H146">
        <v>5159.4399999999996</v>
      </c>
      <c r="I146">
        <v>5159.4399999999996</v>
      </c>
      <c r="J146">
        <v>1662.96</v>
      </c>
      <c r="K146">
        <v>3496.48</v>
      </c>
      <c r="L146">
        <v>3496.48</v>
      </c>
      <c r="M146">
        <v>3496.48</v>
      </c>
      <c r="N146">
        <v>4221.3600000000006</v>
      </c>
      <c r="O146">
        <v>2387.84</v>
      </c>
      <c r="P146">
        <v>3006.12</v>
      </c>
      <c r="Q146">
        <v>4072.12</v>
      </c>
      <c r="R146">
        <v>3901.5600000000004</v>
      </c>
      <c r="S146">
        <v>2323.88</v>
      </c>
      <c r="T146">
        <v>2046.7199999999998</v>
      </c>
      <c r="U146">
        <v>1620.32</v>
      </c>
      <c r="V146">
        <v>2728.9600000000005</v>
      </c>
      <c r="W146">
        <v>1876.16</v>
      </c>
      <c r="X146">
        <v>1599</v>
      </c>
      <c r="Y146">
        <v>490.36000000000007</v>
      </c>
      <c r="AC146">
        <v>63789.439999999995</v>
      </c>
      <c r="AD146">
        <v>805874.67999999982</v>
      </c>
    </row>
    <row r="147" spans="1:30" x14ac:dyDescent="0.3">
      <c r="A147" t="s">
        <v>159</v>
      </c>
      <c r="B147">
        <v>0</v>
      </c>
      <c r="C147">
        <v>277.16000000000003</v>
      </c>
      <c r="D147">
        <v>874.12</v>
      </c>
      <c r="E147">
        <v>1812.2</v>
      </c>
      <c r="F147">
        <v>2920.84</v>
      </c>
      <c r="G147">
        <v>5159.4399999999996</v>
      </c>
      <c r="H147">
        <v>5159.4399999999996</v>
      </c>
      <c r="I147">
        <v>5159.4399999999996</v>
      </c>
      <c r="J147">
        <v>1662.96</v>
      </c>
      <c r="K147">
        <v>3496.48</v>
      </c>
      <c r="L147">
        <v>3496.48</v>
      </c>
      <c r="M147">
        <v>3496.48</v>
      </c>
      <c r="N147">
        <v>4221.3600000000006</v>
      </c>
      <c r="O147">
        <v>2387.84</v>
      </c>
      <c r="P147">
        <v>3006.12</v>
      </c>
      <c r="Q147">
        <v>4072.12</v>
      </c>
      <c r="R147">
        <v>3901.5600000000004</v>
      </c>
      <c r="S147">
        <v>2323.88</v>
      </c>
      <c r="T147">
        <v>2046.7199999999998</v>
      </c>
      <c r="U147">
        <v>1620.32</v>
      </c>
      <c r="V147">
        <v>2728.9600000000005</v>
      </c>
      <c r="W147">
        <v>1876.16</v>
      </c>
      <c r="X147">
        <v>1599</v>
      </c>
      <c r="Y147">
        <v>490.36000000000007</v>
      </c>
      <c r="Z147">
        <v>426.40000000000003</v>
      </c>
      <c r="AC147">
        <v>64215.839999999997</v>
      </c>
      <c r="AD147">
        <v>870090.51999999979</v>
      </c>
    </row>
    <row r="148" spans="1:30" x14ac:dyDescent="0.3">
      <c r="A148" t="s">
        <v>160</v>
      </c>
      <c r="B148">
        <v>0</v>
      </c>
      <c r="C148">
        <v>277.16000000000003</v>
      </c>
      <c r="D148">
        <v>874.12</v>
      </c>
      <c r="E148">
        <v>1812.2</v>
      </c>
      <c r="F148">
        <v>2920.84</v>
      </c>
      <c r="G148">
        <v>5159.4399999999996</v>
      </c>
      <c r="H148">
        <v>5159.4399999999996</v>
      </c>
      <c r="I148">
        <v>5159.4399999999996</v>
      </c>
      <c r="J148">
        <v>1662.96</v>
      </c>
      <c r="K148">
        <v>3496.48</v>
      </c>
      <c r="L148">
        <v>3496.48</v>
      </c>
      <c r="M148">
        <v>3496.48</v>
      </c>
      <c r="N148">
        <v>4221.3600000000006</v>
      </c>
      <c r="O148">
        <v>2387.84</v>
      </c>
      <c r="P148">
        <v>3006.12</v>
      </c>
      <c r="Q148">
        <v>4072.12</v>
      </c>
      <c r="R148">
        <v>3901.5600000000004</v>
      </c>
      <c r="S148">
        <v>2323.88</v>
      </c>
      <c r="T148">
        <v>2046.7199999999998</v>
      </c>
      <c r="U148">
        <v>1620.32</v>
      </c>
      <c r="V148">
        <v>2728.9600000000005</v>
      </c>
      <c r="W148">
        <v>1876.16</v>
      </c>
      <c r="X148">
        <v>1599</v>
      </c>
      <c r="Y148">
        <v>490.36000000000007</v>
      </c>
      <c r="Z148">
        <v>426.40000000000003</v>
      </c>
      <c r="AA148">
        <v>1236.56</v>
      </c>
      <c r="AC148">
        <v>65452.399999999994</v>
      </c>
      <c r="AD148">
        <v>935542.91999999981</v>
      </c>
    </row>
    <row r="149" spans="1:30" x14ac:dyDescent="0.3">
      <c r="AC149">
        <v>935542.91999999981</v>
      </c>
    </row>
    <row r="150" spans="1:30" x14ac:dyDescent="0.3">
      <c r="AC150">
        <v>0.93554291999999983</v>
      </c>
      <c r="AD150">
        <v>3.4334425163999995</v>
      </c>
    </row>
    <row r="152" spans="1:30" x14ac:dyDescent="0.3">
      <c r="A152" t="s">
        <v>171</v>
      </c>
      <c r="B152">
        <v>1993</v>
      </c>
      <c r="C152">
        <v>1994</v>
      </c>
      <c r="D152">
        <v>1995</v>
      </c>
      <c r="E152">
        <v>1996</v>
      </c>
      <c r="F152">
        <v>1997</v>
      </c>
      <c r="G152">
        <v>1998</v>
      </c>
      <c r="H152">
        <v>1999</v>
      </c>
      <c r="I152">
        <v>2000</v>
      </c>
      <c r="J152">
        <v>2001</v>
      </c>
      <c r="K152">
        <v>2002</v>
      </c>
      <c r="L152">
        <v>2003</v>
      </c>
      <c r="M152">
        <v>2004</v>
      </c>
      <c r="N152">
        <v>2005</v>
      </c>
      <c r="O152">
        <v>2006</v>
      </c>
      <c r="P152">
        <v>2007</v>
      </c>
      <c r="Q152">
        <v>2008</v>
      </c>
      <c r="R152">
        <v>2009</v>
      </c>
      <c r="S152">
        <v>2010</v>
      </c>
      <c r="T152">
        <v>2011</v>
      </c>
      <c r="U152">
        <v>2012</v>
      </c>
      <c r="V152">
        <v>2013</v>
      </c>
      <c r="W152">
        <v>2014</v>
      </c>
      <c r="X152">
        <v>2015</v>
      </c>
      <c r="Y152">
        <v>2016</v>
      </c>
      <c r="Z152">
        <v>2017</v>
      </c>
      <c r="AA152">
        <v>2018</v>
      </c>
    </row>
    <row r="153" spans="1:30" x14ac:dyDescent="0.3">
      <c r="A153" t="s">
        <v>172</v>
      </c>
      <c r="B153">
        <v>0</v>
      </c>
      <c r="C153">
        <v>0.18</v>
      </c>
      <c r="D153">
        <v>0.57999999999999996</v>
      </c>
      <c r="E153">
        <v>1.04</v>
      </c>
      <c r="F153">
        <v>1.62</v>
      </c>
      <c r="G153">
        <v>2.27</v>
      </c>
      <c r="H153">
        <v>2.27</v>
      </c>
      <c r="I153">
        <v>2.27</v>
      </c>
      <c r="J153">
        <v>0.7</v>
      </c>
      <c r="K153">
        <v>1.51</v>
      </c>
      <c r="L153">
        <v>1.51</v>
      </c>
      <c r="M153">
        <v>1.51</v>
      </c>
      <c r="N153">
        <v>2.0699999999999998</v>
      </c>
      <c r="O153">
        <v>1.28</v>
      </c>
      <c r="P153">
        <v>2.0699999999999998</v>
      </c>
      <c r="Q153">
        <v>2.46</v>
      </c>
      <c r="R153">
        <v>2.0699999999999998</v>
      </c>
      <c r="S153">
        <v>1.44</v>
      </c>
      <c r="T153">
        <v>1.38</v>
      </c>
      <c r="U153">
        <v>0.91</v>
      </c>
      <c r="V153">
        <v>1.26</v>
      </c>
      <c r="W153">
        <v>1.19</v>
      </c>
      <c r="X153">
        <v>0.38</v>
      </c>
      <c r="Y153">
        <v>0.67</v>
      </c>
      <c r="Z153">
        <v>0.64</v>
      </c>
      <c r="AA153">
        <v>0.94</v>
      </c>
    </row>
    <row r="154" spans="1:30" x14ac:dyDescent="0.3">
      <c r="A154" t="s">
        <v>173</v>
      </c>
      <c r="B154">
        <v>0</v>
      </c>
      <c r="C154">
        <v>1476</v>
      </c>
      <c r="AC154">
        <v>1476</v>
      </c>
      <c r="AD154">
        <v>1476</v>
      </c>
    </row>
    <row r="155" spans="1:30" x14ac:dyDescent="0.3">
      <c r="A155" t="s">
        <v>164</v>
      </c>
      <c r="B155">
        <v>0</v>
      </c>
      <c r="C155">
        <v>1476</v>
      </c>
      <c r="D155">
        <v>4756</v>
      </c>
      <c r="AC155">
        <v>6232</v>
      </c>
      <c r="AD155">
        <v>7708</v>
      </c>
    </row>
    <row r="156" spans="1:30" x14ac:dyDescent="0.3">
      <c r="A156" t="s">
        <v>138</v>
      </c>
      <c r="B156">
        <v>0</v>
      </c>
      <c r="C156">
        <v>1476</v>
      </c>
      <c r="D156">
        <v>4756</v>
      </c>
      <c r="E156">
        <v>8528</v>
      </c>
      <c r="AC156">
        <v>14760</v>
      </c>
      <c r="AD156">
        <v>22468</v>
      </c>
    </row>
    <row r="157" spans="1:30" x14ac:dyDescent="0.3">
      <c r="A157" t="s">
        <v>139</v>
      </c>
      <c r="B157">
        <v>0</v>
      </c>
      <c r="C157">
        <v>1476</v>
      </c>
      <c r="D157">
        <v>4756</v>
      </c>
      <c r="E157">
        <v>8528</v>
      </c>
      <c r="F157">
        <v>13284</v>
      </c>
      <c r="AC157">
        <v>28044</v>
      </c>
      <c r="AD157">
        <v>50512</v>
      </c>
    </row>
    <row r="158" spans="1:30" x14ac:dyDescent="0.3">
      <c r="A158" t="s">
        <v>140</v>
      </c>
      <c r="B158">
        <v>0</v>
      </c>
      <c r="C158">
        <v>1476</v>
      </c>
      <c r="D158">
        <v>4756</v>
      </c>
      <c r="E158">
        <v>8528</v>
      </c>
      <c r="F158">
        <v>13284</v>
      </c>
      <c r="G158">
        <v>18614</v>
      </c>
      <c r="AC158">
        <v>46658</v>
      </c>
      <c r="AD158">
        <v>97170</v>
      </c>
    </row>
    <row r="159" spans="1:30" x14ac:dyDescent="0.3">
      <c r="A159" t="s">
        <v>141</v>
      </c>
      <c r="B159">
        <v>0</v>
      </c>
      <c r="C159">
        <v>1476</v>
      </c>
      <c r="D159">
        <v>4756</v>
      </c>
      <c r="E159">
        <v>8528</v>
      </c>
      <c r="F159">
        <v>13284</v>
      </c>
      <c r="G159">
        <v>18614</v>
      </c>
      <c r="H159">
        <v>18614</v>
      </c>
      <c r="AC159">
        <v>65272</v>
      </c>
      <c r="AD159">
        <v>162442</v>
      </c>
    </row>
    <row r="160" spans="1:30" x14ac:dyDescent="0.3">
      <c r="A160" t="s">
        <v>142</v>
      </c>
      <c r="B160">
        <v>0</v>
      </c>
      <c r="C160">
        <v>1476</v>
      </c>
      <c r="D160">
        <v>4756</v>
      </c>
      <c r="E160">
        <v>8528</v>
      </c>
      <c r="F160">
        <v>13284</v>
      </c>
      <c r="G160">
        <v>18614</v>
      </c>
      <c r="H160">
        <v>18614</v>
      </c>
      <c r="I160">
        <v>18614</v>
      </c>
      <c r="AC160">
        <v>83886</v>
      </c>
      <c r="AD160">
        <v>246328</v>
      </c>
    </row>
    <row r="161" spans="1:30" x14ac:dyDescent="0.3">
      <c r="A161" t="s">
        <v>143</v>
      </c>
      <c r="B161">
        <v>0</v>
      </c>
      <c r="C161">
        <v>1476</v>
      </c>
      <c r="D161">
        <v>4756</v>
      </c>
      <c r="E161">
        <v>8528</v>
      </c>
      <c r="F161">
        <v>13284</v>
      </c>
      <c r="G161">
        <v>18614</v>
      </c>
      <c r="H161">
        <v>18614</v>
      </c>
      <c r="I161">
        <v>18614</v>
      </c>
      <c r="J161">
        <v>5740</v>
      </c>
      <c r="AC161">
        <v>89626</v>
      </c>
      <c r="AD161">
        <v>335954</v>
      </c>
    </row>
    <row r="162" spans="1:30" x14ac:dyDescent="0.3">
      <c r="A162" t="s">
        <v>144</v>
      </c>
      <c r="B162">
        <v>0</v>
      </c>
      <c r="C162">
        <v>1476</v>
      </c>
      <c r="D162">
        <v>4756</v>
      </c>
      <c r="E162">
        <v>8528</v>
      </c>
      <c r="F162">
        <v>13284</v>
      </c>
      <c r="G162">
        <v>18614</v>
      </c>
      <c r="H162">
        <v>18614</v>
      </c>
      <c r="I162">
        <v>18614</v>
      </c>
      <c r="J162">
        <v>5740</v>
      </c>
      <c r="K162">
        <v>12382</v>
      </c>
      <c r="AC162">
        <v>102008</v>
      </c>
      <c r="AD162">
        <v>437962</v>
      </c>
    </row>
    <row r="163" spans="1:30" x14ac:dyDescent="0.3">
      <c r="A163" t="s">
        <v>145</v>
      </c>
      <c r="B163">
        <v>0</v>
      </c>
      <c r="C163">
        <v>1476</v>
      </c>
      <c r="D163">
        <v>4756</v>
      </c>
      <c r="E163">
        <v>8528</v>
      </c>
      <c r="F163">
        <v>13284</v>
      </c>
      <c r="G163">
        <v>18614</v>
      </c>
      <c r="H163">
        <v>18614</v>
      </c>
      <c r="I163">
        <v>18614</v>
      </c>
      <c r="J163">
        <v>5740</v>
      </c>
      <c r="K163">
        <v>12382</v>
      </c>
      <c r="L163">
        <v>12382</v>
      </c>
      <c r="AC163">
        <v>114390</v>
      </c>
      <c r="AD163">
        <v>552352</v>
      </c>
    </row>
    <row r="164" spans="1:30" x14ac:dyDescent="0.3">
      <c r="A164" t="s">
        <v>146</v>
      </c>
      <c r="B164">
        <v>0</v>
      </c>
      <c r="C164">
        <v>1476</v>
      </c>
      <c r="D164">
        <v>4756</v>
      </c>
      <c r="E164">
        <v>8528</v>
      </c>
      <c r="F164">
        <v>13284</v>
      </c>
      <c r="G164">
        <v>18614</v>
      </c>
      <c r="H164">
        <v>18614</v>
      </c>
      <c r="I164">
        <v>18614</v>
      </c>
      <c r="J164">
        <v>5740</v>
      </c>
      <c r="K164">
        <v>12382</v>
      </c>
      <c r="L164">
        <v>12382</v>
      </c>
      <c r="M164">
        <v>12382</v>
      </c>
      <c r="AC164">
        <v>126772</v>
      </c>
      <c r="AD164">
        <v>679124</v>
      </c>
    </row>
    <row r="165" spans="1:30" x14ac:dyDescent="0.3">
      <c r="A165" t="s">
        <v>147</v>
      </c>
      <c r="B165">
        <v>0</v>
      </c>
      <c r="C165">
        <v>1476</v>
      </c>
      <c r="D165">
        <v>4756</v>
      </c>
      <c r="E165">
        <v>8528</v>
      </c>
      <c r="F165">
        <v>13284</v>
      </c>
      <c r="G165">
        <v>18614</v>
      </c>
      <c r="H165">
        <v>18614</v>
      </c>
      <c r="I165">
        <v>18614</v>
      </c>
      <c r="J165">
        <v>5740</v>
      </c>
      <c r="K165">
        <v>12382</v>
      </c>
      <c r="L165">
        <v>12382</v>
      </c>
      <c r="M165">
        <v>12382</v>
      </c>
      <c r="N165">
        <v>16974</v>
      </c>
      <c r="AC165">
        <v>143746</v>
      </c>
      <c r="AD165">
        <v>822870</v>
      </c>
    </row>
    <row r="166" spans="1:30" x14ac:dyDescent="0.3">
      <c r="A166" t="s">
        <v>148</v>
      </c>
      <c r="B166">
        <v>0</v>
      </c>
      <c r="C166">
        <v>1476</v>
      </c>
      <c r="D166">
        <v>4756</v>
      </c>
      <c r="E166">
        <v>8528</v>
      </c>
      <c r="F166">
        <v>13284</v>
      </c>
      <c r="G166">
        <v>18614</v>
      </c>
      <c r="H166">
        <v>18614</v>
      </c>
      <c r="I166">
        <v>18614</v>
      </c>
      <c r="J166">
        <v>5740</v>
      </c>
      <c r="K166">
        <v>12382</v>
      </c>
      <c r="L166">
        <v>12382</v>
      </c>
      <c r="M166">
        <v>12382</v>
      </c>
      <c r="N166">
        <v>16974</v>
      </c>
      <c r="O166">
        <v>10496</v>
      </c>
      <c r="AC166">
        <v>154242</v>
      </c>
      <c r="AD166">
        <v>977112</v>
      </c>
    </row>
    <row r="167" spans="1:30" x14ac:dyDescent="0.3">
      <c r="A167" t="s">
        <v>149</v>
      </c>
      <c r="B167">
        <v>0</v>
      </c>
      <c r="C167">
        <v>1476</v>
      </c>
      <c r="D167">
        <v>4756</v>
      </c>
      <c r="E167">
        <v>8528</v>
      </c>
      <c r="F167">
        <v>13284</v>
      </c>
      <c r="G167">
        <v>18614</v>
      </c>
      <c r="H167">
        <v>18614</v>
      </c>
      <c r="I167">
        <v>18614</v>
      </c>
      <c r="J167">
        <v>5740</v>
      </c>
      <c r="K167">
        <v>12382</v>
      </c>
      <c r="L167">
        <v>12382</v>
      </c>
      <c r="M167">
        <v>12382</v>
      </c>
      <c r="N167">
        <v>16974</v>
      </c>
      <c r="O167">
        <v>10496</v>
      </c>
      <c r="P167">
        <v>16974</v>
      </c>
      <c r="AC167">
        <v>171216</v>
      </c>
      <c r="AD167">
        <v>1148328</v>
      </c>
    </row>
    <row r="168" spans="1:30" x14ac:dyDescent="0.3">
      <c r="A168" t="s">
        <v>150</v>
      </c>
      <c r="B168">
        <v>0</v>
      </c>
      <c r="C168">
        <v>1476</v>
      </c>
      <c r="D168">
        <v>4756</v>
      </c>
      <c r="E168">
        <v>8528</v>
      </c>
      <c r="F168">
        <v>13284</v>
      </c>
      <c r="G168">
        <v>18614</v>
      </c>
      <c r="H168">
        <v>18614</v>
      </c>
      <c r="I168">
        <v>18614</v>
      </c>
      <c r="J168">
        <v>5740</v>
      </c>
      <c r="K168">
        <v>12382</v>
      </c>
      <c r="L168">
        <v>12382</v>
      </c>
      <c r="M168">
        <v>12382</v>
      </c>
      <c r="N168">
        <v>16974</v>
      </c>
      <c r="O168">
        <v>10496</v>
      </c>
      <c r="P168">
        <v>16974</v>
      </c>
      <c r="Q168">
        <v>20172</v>
      </c>
      <c r="AC168">
        <v>191388</v>
      </c>
      <c r="AD168">
        <v>1339716</v>
      </c>
    </row>
    <row r="169" spans="1:30" x14ac:dyDescent="0.3">
      <c r="A169" t="s">
        <v>151</v>
      </c>
      <c r="B169">
        <v>0</v>
      </c>
      <c r="C169">
        <v>1476</v>
      </c>
      <c r="D169">
        <v>4756</v>
      </c>
      <c r="E169">
        <v>8528</v>
      </c>
      <c r="F169">
        <v>13284</v>
      </c>
      <c r="G169">
        <v>18614</v>
      </c>
      <c r="H169">
        <v>18614</v>
      </c>
      <c r="I169">
        <v>18614</v>
      </c>
      <c r="J169">
        <v>5740</v>
      </c>
      <c r="K169">
        <v>12382</v>
      </c>
      <c r="L169">
        <v>12382</v>
      </c>
      <c r="M169">
        <v>12382</v>
      </c>
      <c r="N169">
        <v>16974</v>
      </c>
      <c r="O169">
        <v>10496</v>
      </c>
      <c r="P169">
        <v>16974</v>
      </c>
      <c r="Q169">
        <v>20172</v>
      </c>
      <c r="R169">
        <v>16974</v>
      </c>
      <c r="AC169">
        <v>208362</v>
      </c>
      <c r="AD169">
        <v>1548078</v>
      </c>
    </row>
    <row r="170" spans="1:30" x14ac:dyDescent="0.3">
      <c r="A170" t="s">
        <v>152</v>
      </c>
      <c r="B170">
        <v>0</v>
      </c>
      <c r="C170">
        <v>1476</v>
      </c>
      <c r="D170">
        <v>4756</v>
      </c>
      <c r="E170">
        <v>8528</v>
      </c>
      <c r="F170">
        <v>13284</v>
      </c>
      <c r="G170">
        <v>18614</v>
      </c>
      <c r="H170">
        <v>18614</v>
      </c>
      <c r="I170">
        <v>18614</v>
      </c>
      <c r="J170">
        <v>5740</v>
      </c>
      <c r="K170">
        <v>12382</v>
      </c>
      <c r="L170">
        <v>12382</v>
      </c>
      <c r="M170">
        <v>12382</v>
      </c>
      <c r="N170">
        <v>16974</v>
      </c>
      <c r="O170">
        <v>10496</v>
      </c>
      <c r="P170">
        <v>16974</v>
      </c>
      <c r="Q170">
        <v>20172</v>
      </c>
      <c r="R170">
        <v>16974</v>
      </c>
      <c r="S170">
        <v>11808</v>
      </c>
      <c r="AC170">
        <v>220170</v>
      </c>
      <c r="AD170">
        <v>1768248</v>
      </c>
    </row>
    <row r="171" spans="1:30" x14ac:dyDescent="0.3">
      <c r="A171" t="s">
        <v>153</v>
      </c>
      <c r="B171">
        <v>0</v>
      </c>
      <c r="C171">
        <v>1476</v>
      </c>
      <c r="D171">
        <v>4756</v>
      </c>
      <c r="E171">
        <v>8528</v>
      </c>
      <c r="F171">
        <v>13284</v>
      </c>
      <c r="G171">
        <v>18614</v>
      </c>
      <c r="H171">
        <v>18614</v>
      </c>
      <c r="I171">
        <v>18614</v>
      </c>
      <c r="J171">
        <v>5740</v>
      </c>
      <c r="K171">
        <v>12382</v>
      </c>
      <c r="L171">
        <v>12382</v>
      </c>
      <c r="M171">
        <v>12382</v>
      </c>
      <c r="N171">
        <v>16974</v>
      </c>
      <c r="O171">
        <v>10496</v>
      </c>
      <c r="P171">
        <v>16974</v>
      </c>
      <c r="Q171">
        <v>20172</v>
      </c>
      <c r="R171">
        <v>16974</v>
      </c>
      <c r="S171">
        <v>11808</v>
      </c>
      <c r="T171">
        <v>11316</v>
      </c>
      <c r="AC171">
        <v>231486</v>
      </c>
      <c r="AD171">
        <v>1999734</v>
      </c>
    </row>
    <row r="172" spans="1:30" x14ac:dyDescent="0.3">
      <c r="A172" t="s">
        <v>154</v>
      </c>
      <c r="B172">
        <v>0</v>
      </c>
      <c r="C172">
        <v>1476</v>
      </c>
      <c r="D172">
        <v>4756</v>
      </c>
      <c r="E172">
        <v>8528</v>
      </c>
      <c r="F172">
        <v>13284</v>
      </c>
      <c r="G172">
        <v>18614</v>
      </c>
      <c r="H172">
        <v>18614</v>
      </c>
      <c r="I172">
        <v>18614</v>
      </c>
      <c r="J172">
        <v>5740</v>
      </c>
      <c r="K172">
        <v>12382</v>
      </c>
      <c r="L172">
        <v>12382</v>
      </c>
      <c r="M172">
        <v>12382</v>
      </c>
      <c r="N172">
        <v>16974</v>
      </c>
      <c r="O172">
        <v>10496</v>
      </c>
      <c r="P172">
        <v>16974</v>
      </c>
      <c r="Q172">
        <v>20172</v>
      </c>
      <c r="R172">
        <v>16974</v>
      </c>
      <c r="S172">
        <v>11808</v>
      </c>
      <c r="T172">
        <v>11316</v>
      </c>
      <c r="U172">
        <v>7462</v>
      </c>
      <c r="AC172">
        <v>238948</v>
      </c>
      <c r="AD172">
        <v>2238682</v>
      </c>
    </row>
    <row r="173" spans="1:30" x14ac:dyDescent="0.3">
      <c r="A173" t="s">
        <v>155</v>
      </c>
      <c r="B173">
        <v>0</v>
      </c>
      <c r="C173">
        <v>1476</v>
      </c>
      <c r="D173">
        <v>4756</v>
      </c>
      <c r="E173">
        <v>8528</v>
      </c>
      <c r="F173">
        <v>13284</v>
      </c>
      <c r="G173">
        <v>18614</v>
      </c>
      <c r="H173">
        <v>18614</v>
      </c>
      <c r="I173">
        <v>18614</v>
      </c>
      <c r="J173">
        <v>5740</v>
      </c>
      <c r="K173">
        <v>12382</v>
      </c>
      <c r="L173">
        <v>12382</v>
      </c>
      <c r="M173">
        <v>12382</v>
      </c>
      <c r="N173">
        <v>16974</v>
      </c>
      <c r="O173">
        <v>10496</v>
      </c>
      <c r="P173">
        <v>16974</v>
      </c>
      <c r="Q173">
        <v>20172</v>
      </c>
      <c r="R173">
        <v>16974</v>
      </c>
      <c r="S173">
        <v>11808</v>
      </c>
      <c r="T173">
        <v>11316</v>
      </c>
      <c r="U173">
        <v>7462</v>
      </c>
      <c r="V173">
        <v>10332</v>
      </c>
      <c r="AC173">
        <v>249280</v>
      </c>
      <c r="AD173">
        <v>2487962</v>
      </c>
    </row>
    <row r="174" spans="1:30" x14ac:dyDescent="0.3">
      <c r="A174" t="s">
        <v>156</v>
      </c>
      <c r="B174">
        <v>0</v>
      </c>
      <c r="C174">
        <v>1476</v>
      </c>
      <c r="D174">
        <v>4756</v>
      </c>
      <c r="E174">
        <v>8528</v>
      </c>
      <c r="F174">
        <v>13284</v>
      </c>
      <c r="G174">
        <v>18614</v>
      </c>
      <c r="H174">
        <v>18614</v>
      </c>
      <c r="I174">
        <v>18614</v>
      </c>
      <c r="J174">
        <v>5740</v>
      </c>
      <c r="K174">
        <v>12382</v>
      </c>
      <c r="L174">
        <v>12382</v>
      </c>
      <c r="M174">
        <v>12382</v>
      </c>
      <c r="N174">
        <v>16974</v>
      </c>
      <c r="O174">
        <v>10496</v>
      </c>
      <c r="P174">
        <v>16974</v>
      </c>
      <c r="Q174">
        <v>20172</v>
      </c>
      <c r="R174">
        <v>16974</v>
      </c>
      <c r="S174">
        <v>11808</v>
      </c>
      <c r="T174">
        <v>11316</v>
      </c>
      <c r="U174">
        <v>7462</v>
      </c>
      <c r="V174">
        <v>10332</v>
      </c>
      <c r="W174">
        <v>9758</v>
      </c>
      <c r="AC174">
        <v>259038</v>
      </c>
      <c r="AD174">
        <v>2747000</v>
      </c>
    </row>
    <row r="175" spans="1:30" x14ac:dyDescent="0.3">
      <c r="A175" t="s">
        <v>157</v>
      </c>
      <c r="B175">
        <v>0</v>
      </c>
      <c r="C175">
        <v>1476</v>
      </c>
      <c r="D175">
        <v>4756</v>
      </c>
      <c r="E175">
        <v>8528</v>
      </c>
      <c r="F175">
        <v>13284</v>
      </c>
      <c r="G175">
        <v>18614</v>
      </c>
      <c r="H175">
        <v>18614</v>
      </c>
      <c r="I175">
        <v>18614</v>
      </c>
      <c r="J175">
        <v>5740</v>
      </c>
      <c r="K175">
        <v>12382</v>
      </c>
      <c r="L175">
        <v>12382</v>
      </c>
      <c r="M175">
        <v>12382</v>
      </c>
      <c r="N175">
        <v>16974</v>
      </c>
      <c r="O175">
        <v>10496</v>
      </c>
      <c r="P175">
        <v>16974</v>
      </c>
      <c r="Q175">
        <v>20172</v>
      </c>
      <c r="R175">
        <v>16974</v>
      </c>
      <c r="S175">
        <v>11808</v>
      </c>
      <c r="T175">
        <v>11316</v>
      </c>
      <c r="U175">
        <v>7462</v>
      </c>
      <c r="V175">
        <v>10332</v>
      </c>
      <c r="W175">
        <v>9758</v>
      </c>
      <c r="X175">
        <v>3116</v>
      </c>
      <c r="AC175">
        <v>262154</v>
      </c>
      <c r="AD175">
        <v>3009154</v>
      </c>
    </row>
    <row r="176" spans="1:30" x14ac:dyDescent="0.3">
      <c r="A176" t="s">
        <v>158</v>
      </c>
      <c r="B176">
        <v>0</v>
      </c>
      <c r="C176">
        <v>1476</v>
      </c>
      <c r="D176">
        <v>4756</v>
      </c>
      <c r="E176">
        <v>8528</v>
      </c>
      <c r="F176">
        <v>13284</v>
      </c>
      <c r="G176">
        <v>18614</v>
      </c>
      <c r="H176">
        <v>18614</v>
      </c>
      <c r="I176">
        <v>18614</v>
      </c>
      <c r="J176">
        <v>5740</v>
      </c>
      <c r="K176">
        <v>12382</v>
      </c>
      <c r="L176">
        <v>12382</v>
      </c>
      <c r="M176">
        <v>12382</v>
      </c>
      <c r="N176">
        <v>16974</v>
      </c>
      <c r="O176">
        <v>10496</v>
      </c>
      <c r="P176">
        <v>16974</v>
      </c>
      <c r="Q176">
        <v>20172</v>
      </c>
      <c r="R176">
        <v>16974</v>
      </c>
      <c r="S176">
        <v>11808</v>
      </c>
      <c r="T176">
        <v>11316</v>
      </c>
      <c r="U176">
        <v>7462</v>
      </c>
      <c r="V176">
        <v>10332</v>
      </c>
      <c r="W176">
        <v>9758</v>
      </c>
      <c r="X176">
        <v>3116</v>
      </c>
      <c r="Y176">
        <v>5494</v>
      </c>
      <c r="AC176">
        <v>267648</v>
      </c>
      <c r="AD176">
        <v>3276802</v>
      </c>
    </row>
    <row r="177" spans="1:30" x14ac:dyDescent="0.3">
      <c r="A177" t="s">
        <v>159</v>
      </c>
      <c r="B177">
        <v>0</v>
      </c>
      <c r="C177">
        <v>1476</v>
      </c>
      <c r="D177">
        <v>4756</v>
      </c>
      <c r="E177">
        <v>8528</v>
      </c>
      <c r="F177">
        <v>13284</v>
      </c>
      <c r="G177">
        <v>18614</v>
      </c>
      <c r="H177">
        <v>18614</v>
      </c>
      <c r="I177">
        <v>18614</v>
      </c>
      <c r="J177">
        <v>5740</v>
      </c>
      <c r="K177">
        <v>12382</v>
      </c>
      <c r="L177">
        <v>12382</v>
      </c>
      <c r="M177">
        <v>12382</v>
      </c>
      <c r="N177">
        <v>16974</v>
      </c>
      <c r="O177">
        <v>10496</v>
      </c>
      <c r="P177">
        <v>16974</v>
      </c>
      <c r="Q177">
        <v>20172</v>
      </c>
      <c r="R177">
        <v>16974</v>
      </c>
      <c r="S177">
        <v>11808</v>
      </c>
      <c r="T177">
        <v>11316</v>
      </c>
      <c r="U177">
        <v>7462</v>
      </c>
      <c r="V177">
        <v>10332</v>
      </c>
      <c r="W177">
        <v>9758</v>
      </c>
      <c r="X177">
        <v>3116</v>
      </c>
      <c r="Y177">
        <v>5494</v>
      </c>
      <c r="Z177">
        <v>5248</v>
      </c>
      <c r="AC177">
        <v>272896</v>
      </c>
      <c r="AD177">
        <v>3549698</v>
      </c>
    </row>
    <row r="178" spans="1:30" x14ac:dyDescent="0.3">
      <c r="A178" t="s">
        <v>160</v>
      </c>
      <c r="B178">
        <v>0</v>
      </c>
      <c r="C178">
        <v>1476</v>
      </c>
      <c r="D178">
        <v>4756</v>
      </c>
      <c r="E178">
        <v>8528</v>
      </c>
      <c r="F178">
        <v>13284</v>
      </c>
      <c r="G178">
        <v>18614</v>
      </c>
      <c r="H178">
        <v>18614</v>
      </c>
      <c r="I178">
        <v>18614</v>
      </c>
      <c r="J178">
        <v>5740</v>
      </c>
      <c r="K178">
        <v>12382</v>
      </c>
      <c r="L178">
        <v>12382</v>
      </c>
      <c r="M178">
        <v>12382</v>
      </c>
      <c r="N178">
        <v>16974</v>
      </c>
      <c r="O178">
        <v>10496</v>
      </c>
      <c r="P178">
        <v>16974</v>
      </c>
      <c r="Q178">
        <v>20172</v>
      </c>
      <c r="R178">
        <v>16974</v>
      </c>
      <c r="S178">
        <v>11808</v>
      </c>
      <c r="T178">
        <v>11316</v>
      </c>
      <c r="U178">
        <v>7462</v>
      </c>
      <c r="V178">
        <v>10332</v>
      </c>
      <c r="W178">
        <v>9758</v>
      </c>
      <c r="X178">
        <v>3116</v>
      </c>
      <c r="Y178">
        <v>5494</v>
      </c>
      <c r="Z178">
        <v>5248</v>
      </c>
      <c r="AA178">
        <v>7708</v>
      </c>
      <c r="AC178">
        <v>280604</v>
      </c>
      <c r="AD178">
        <v>3830302</v>
      </c>
    </row>
    <row r="179" spans="1:30" x14ac:dyDescent="0.3">
      <c r="AC179">
        <v>3830302</v>
      </c>
      <c r="AD179">
        <v>14057208.34</v>
      </c>
    </row>
    <row r="180" spans="1:30" x14ac:dyDescent="0.3">
      <c r="AC180">
        <v>3.8303020000000001</v>
      </c>
    </row>
    <row r="182" spans="1:30" x14ac:dyDescent="0.3">
      <c r="A182" t="s">
        <v>174</v>
      </c>
      <c r="B182">
        <v>0</v>
      </c>
      <c r="C182">
        <v>383.76</v>
      </c>
      <c r="AC182">
        <v>383.76</v>
      </c>
      <c r="AD182">
        <v>383.76</v>
      </c>
    </row>
    <row r="183" spans="1:30" x14ac:dyDescent="0.3">
      <c r="A183" t="s">
        <v>164</v>
      </c>
      <c r="B183">
        <v>0</v>
      </c>
      <c r="C183">
        <v>383.76</v>
      </c>
      <c r="D183">
        <v>1236.56</v>
      </c>
      <c r="AC183">
        <v>1620.32</v>
      </c>
      <c r="AD183">
        <v>2004.08</v>
      </c>
    </row>
    <row r="184" spans="1:30" x14ac:dyDescent="0.3">
      <c r="A184" t="s">
        <v>138</v>
      </c>
      <c r="B184">
        <v>0</v>
      </c>
      <c r="C184">
        <v>383.76</v>
      </c>
      <c r="D184">
        <v>1236.56</v>
      </c>
      <c r="E184">
        <v>2217.2800000000002</v>
      </c>
      <c r="AC184">
        <v>3837.6000000000004</v>
      </c>
      <c r="AD184">
        <v>5841.68</v>
      </c>
    </row>
    <row r="185" spans="1:30" x14ac:dyDescent="0.3">
      <c r="A185" t="s">
        <v>139</v>
      </c>
      <c r="B185">
        <v>0</v>
      </c>
      <c r="C185">
        <v>383.76</v>
      </c>
      <c r="D185">
        <v>1236.56</v>
      </c>
      <c r="E185">
        <v>2217.2800000000002</v>
      </c>
      <c r="F185">
        <v>3453.84</v>
      </c>
      <c r="AC185">
        <v>7291.4400000000005</v>
      </c>
      <c r="AD185">
        <v>13133.12</v>
      </c>
    </row>
    <row r="186" spans="1:30" x14ac:dyDescent="0.3">
      <c r="A186" t="s">
        <v>140</v>
      </c>
      <c r="B186">
        <v>0</v>
      </c>
      <c r="C186">
        <v>383.76</v>
      </c>
      <c r="D186">
        <v>1236.56</v>
      </c>
      <c r="E186">
        <v>2217.2800000000002</v>
      </c>
      <c r="F186">
        <v>3453.84</v>
      </c>
      <c r="G186">
        <v>4839.6400000000003</v>
      </c>
      <c r="AC186">
        <v>12131.080000000002</v>
      </c>
      <c r="AD186">
        <v>25264.200000000004</v>
      </c>
    </row>
    <row r="187" spans="1:30" x14ac:dyDescent="0.3">
      <c r="A187" t="s">
        <v>141</v>
      </c>
      <c r="B187">
        <v>0</v>
      </c>
      <c r="C187">
        <v>383.76</v>
      </c>
      <c r="D187">
        <v>1236.56</v>
      </c>
      <c r="E187">
        <v>2217.2800000000002</v>
      </c>
      <c r="F187">
        <v>3453.84</v>
      </c>
      <c r="G187">
        <v>4839.6400000000003</v>
      </c>
      <c r="H187">
        <v>4839.6400000000003</v>
      </c>
      <c r="AC187">
        <v>16970.72</v>
      </c>
      <c r="AD187">
        <v>42234.920000000006</v>
      </c>
    </row>
    <row r="188" spans="1:30" x14ac:dyDescent="0.3">
      <c r="A188" t="s">
        <v>142</v>
      </c>
      <c r="B188">
        <v>0</v>
      </c>
      <c r="C188">
        <v>383.76</v>
      </c>
      <c r="D188">
        <v>1236.56</v>
      </c>
      <c r="E188">
        <v>2217.2800000000002</v>
      </c>
      <c r="F188">
        <v>3453.84</v>
      </c>
      <c r="G188">
        <v>4839.6400000000003</v>
      </c>
      <c r="H188">
        <v>4839.6400000000003</v>
      </c>
      <c r="I188">
        <v>4839.6400000000003</v>
      </c>
      <c r="AC188">
        <v>21810.36</v>
      </c>
      <c r="AD188">
        <v>64045.280000000006</v>
      </c>
    </row>
    <row r="189" spans="1:30" x14ac:dyDescent="0.3">
      <c r="A189" t="s">
        <v>143</v>
      </c>
      <c r="B189">
        <v>0</v>
      </c>
      <c r="C189">
        <v>383.76</v>
      </c>
      <c r="D189">
        <v>1236.56</v>
      </c>
      <c r="E189">
        <v>2217.2800000000002</v>
      </c>
      <c r="F189">
        <v>3453.84</v>
      </c>
      <c r="G189">
        <v>4839.6400000000003</v>
      </c>
      <c r="H189">
        <v>4839.6400000000003</v>
      </c>
      <c r="I189">
        <v>4839.6400000000003</v>
      </c>
      <c r="J189">
        <v>1492.3999999999999</v>
      </c>
      <c r="AC189">
        <v>23302.760000000002</v>
      </c>
      <c r="AD189">
        <v>87348.040000000008</v>
      </c>
    </row>
    <row r="190" spans="1:30" x14ac:dyDescent="0.3">
      <c r="A190" t="s">
        <v>144</v>
      </c>
      <c r="B190">
        <v>0</v>
      </c>
      <c r="C190">
        <v>383.76</v>
      </c>
      <c r="D190">
        <v>1236.56</v>
      </c>
      <c r="E190">
        <v>2217.2800000000002</v>
      </c>
      <c r="F190">
        <v>3453.84</v>
      </c>
      <c r="G190">
        <v>4839.6400000000003</v>
      </c>
      <c r="H190">
        <v>4839.6400000000003</v>
      </c>
      <c r="I190">
        <v>4839.6400000000003</v>
      </c>
      <c r="J190">
        <v>1492.3999999999999</v>
      </c>
      <c r="K190">
        <v>3219.32</v>
      </c>
      <c r="AC190">
        <v>26522.080000000002</v>
      </c>
      <c r="AD190">
        <v>113870.12000000001</v>
      </c>
    </row>
    <row r="191" spans="1:30" x14ac:dyDescent="0.3">
      <c r="A191" t="s">
        <v>145</v>
      </c>
      <c r="B191">
        <v>0</v>
      </c>
      <c r="C191">
        <v>383.76</v>
      </c>
      <c r="D191">
        <v>1236.56</v>
      </c>
      <c r="E191">
        <v>2217.2800000000002</v>
      </c>
      <c r="F191">
        <v>3453.84</v>
      </c>
      <c r="G191">
        <v>4839.6400000000003</v>
      </c>
      <c r="H191">
        <v>4839.6400000000003</v>
      </c>
      <c r="I191">
        <v>4839.6400000000003</v>
      </c>
      <c r="J191">
        <v>1492.3999999999999</v>
      </c>
      <c r="K191">
        <v>3219.32</v>
      </c>
      <c r="L191">
        <v>3219.32</v>
      </c>
      <c r="AC191">
        <v>29741.4</v>
      </c>
      <c r="AD191">
        <v>143611.52000000002</v>
      </c>
    </row>
    <row r="192" spans="1:30" x14ac:dyDescent="0.3">
      <c r="A192" t="s">
        <v>146</v>
      </c>
      <c r="B192">
        <v>0</v>
      </c>
      <c r="C192">
        <v>383.76</v>
      </c>
      <c r="D192">
        <v>1236.56</v>
      </c>
      <c r="E192">
        <v>2217.2800000000002</v>
      </c>
      <c r="F192">
        <v>3453.84</v>
      </c>
      <c r="G192">
        <v>4839.6400000000003</v>
      </c>
      <c r="H192">
        <v>4839.6400000000003</v>
      </c>
      <c r="I192">
        <v>4839.6400000000003</v>
      </c>
      <c r="J192">
        <v>1492.3999999999999</v>
      </c>
      <c r="K192">
        <v>3219.32</v>
      </c>
      <c r="L192">
        <v>3219.32</v>
      </c>
      <c r="M192">
        <v>3219.32</v>
      </c>
      <c r="AC192">
        <v>32960.720000000001</v>
      </c>
      <c r="AD192">
        <v>176572.24000000002</v>
      </c>
    </row>
    <row r="193" spans="1:30" x14ac:dyDescent="0.3">
      <c r="A193" t="s">
        <v>147</v>
      </c>
      <c r="B193">
        <v>0</v>
      </c>
      <c r="C193">
        <v>383.76</v>
      </c>
      <c r="D193">
        <v>1236.56</v>
      </c>
      <c r="E193">
        <v>2217.2800000000002</v>
      </c>
      <c r="F193">
        <v>3453.84</v>
      </c>
      <c r="G193">
        <v>4839.6400000000003</v>
      </c>
      <c r="H193">
        <v>4839.6400000000003</v>
      </c>
      <c r="I193">
        <v>4839.6400000000003</v>
      </c>
      <c r="J193">
        <v>1492.3999999999999</v>
      </c>
      <c r="K193">
        <v>3219.32</v>
      </c>
      <c r="L193">
        <v>3219.32</v>
      </c>
      <c r="M193">
        <v>3219.32</v>
      </c>
      <c r="N193">
        <v>4413.24</v>
      </c>
      <c r="AC193">
        <v>37373.96</v>
      </c>
      <c r="AD193">
        <v>213946.2</v>
      </c>
    </row>
    <row r="194" spans="1:30" x14ac:dyDescent="0.3">
      <c r="A194" t="s">
        <v>148</v>
      </c>
      <c r="B194">
        <v>0</v>
      </c>
      <c r="C194">
        <v>383.76</v>
      </c>
      <c r="D194">
        <v>1236.56</v>
      </c>
      <c r="E194">
        <v>2217.2800000000002</v>
      </c>
      <c r="F194">
        <v>3453.84</v>
      </c>
      <c r="G194">
        <v>4839.6400000000003</v>
      </c>
      <c r="H194">
        <v>4839.6400000000003</v>
      </c>
      <c r="I194">
        <v>4839.6400000000003</v>
      </c>
      <c r="J194">
        <v>1492.3999999999999</v>
      </c>
      <c r="K194">
        <v>3219.32</v>
      </c>
      <c r="L194">
        <v>3219.32</v>
      </c>
      <c r="M194">
        <v>3219.32</v>
      </c>
      <c r="N194">
        <v>4413.24</v>
      </c>
      <c r="O194">
        <v>2728.9600000000005</v>
      </c>
      <c r="AC194">
        <v>40102.92</v>
      </c>
      <c r="AD194">
        <v>254049.12</v>
      </c>
    </row>
    <row r="195" spans="1:30" x14ac:dyDescent="0.3">
      <c r="A195" t="s">
        <v>149</v>
      </c>
      <c r="B195">
        <v>0</v>
      </c>
      <c r="C195">
        <v>383.76</v>
      </c>
      <c r="D195">
        <v>1236.56</v>
      </c>
      <c r="E195">
        <v>2217.2800000000002</v>
      </c>
      <c r="F195">
        <v>3453.84</v>
      </c>
      <c r="G195">
        <v>4839.6400000000003</v>
      </c>
      <c r="H195">
        <v>4839.6400000000003</v>
      </c>
      <c r="I195">
        <v>4839.6400000000003</v>
      </c>
      <c r="J195">
        <v>1492.3999999999999</v>
      </c>
      <c r="K195">
        <v>3219.32</v>
      </c>
      <c r="L195">
        <v>3219.32</v>
      </c>
      <c r="M195">
        <v>3219.32</v>
      </c>
      <c r="N195">
        <v>4413.24</v>
      </c>
      <c r="O195">
        <v>2728.9600000000005</v>
      </c>
      <c r="P195">
        <v>4413.24</v>
      </c>
      <c r="AC195">
        <v>44516.159999999996</v>
      </c>
      <c r="AD195">
        <v>298565.27999999997</v>
      </c>
    </row>
    <row r="196" spans="1:30" x14ac:dyDescent="0.3">
      <c r="A196" t="s">
        <v>150</v>
      </c>
      <c r="B196">
        <v>0</v>
      </c>
      <c r="C196">
        <v>383.76</v>
      </c>
      <c r="D196">
        <v>1236.56</v>
      </c>
      <c r="E196">
        <v>2217.2800000000002</v>
      </c>
      <c r="F196">
        <v>3453.84</v>
      </c>
      <c r="G196">
        <v>4839.6400000000003</v>
      </c>
      <c r="H196">
        <v>4839.6400000000003</v>
      </c>
      <c r="I196">
        <v>4839.6400000000003</v>
      </c>
      <c r="J196">
        <v>1492.3999999999999</v>
      </c>
      <c r="K196">
        <v>3219.32</v>
      </c>
      <c r="L196">
        <v>3219.32</v>
      </c>
      <c r="M196">
        <v>3219.32</v>
      </c>
      <c r="N196">
        <v>4413.24</v>
      </c>
      <c r="O196">
        <v>2728.9600000000005</v>
      </c>
      <c r="P196">
        <v>4413.24</v>
      </c>
      <c r="Q196">
        <v>5244.72</v>
      </c>
      <c r="AC196">
        <v>49760.88</v>
      </c>
      <c r="AD196">
        <v>348326.16</v>
      </c>
    </row>
    <row r="197" spans="1:30" x14ac:dyDescent="0.3">
      <c r="A197" t="s">
        <v>151</v>
      </c>
      <c r="B197">
        <v>0</v>
      </c>
      <c r="C197">
        <v>383.76</v>
      </c>
      <c r="D197">
        <v>1236.56</v>
      </c>
      <c r="E197">
        <v>2217.2800000000002</v>
      </c>
      <c r="F197">
        <v>3453.84</v>
      </c>
      <c r="G197">
        <v>4839.6400000000003</v>
      </c>
      <c r="H197">
        <v>4839.6400000000003</v>
      </c>
      <c r="I197">
        <v>4839.6400000000003</v>
      </c>
      <c r="J197">
        <v>1492.3999999999999</v>
      </c>
      <c r="K197">
        <v>3219.32</v>
      </c>
      <c r="L197">
        <v>3219.32</v>
      </c>
      <c r="M197">
        <v>3219.32</v>
      </c>
      <c r="N197">
        <v>4413.24</v>
      </c>
      <c r="O197">
        <v>2728.9600000000005</v>
      </c>
      <c r="P197">
        <v>4413.24</v>
      </c>
      <c r="Q197">
        <v>5244.72</v>
      </c>
      <c r="R197">
        <v>4413.24</v>
      </c>
      <c r="AC197">
        <v>54174.119999999995</v>
      </c>
      <c r="AD197">
        <v>402500.27999999997</v>
      </c>
    </row>
    <row r="198" spans="1:30" x14ac:dyDescent="0.3">
      <c r="A198" t="s">
        <v>152</v>
      </c>
      <c r="B198">
        <v>0</v>
      </c>
      <c r="C198">
        <v>383.76</v>
      </c>
      <c r="D198">
        <v>1236.56</v>
      </c>
      <c r="E198">
        <v>2217.2800000000002</v>
      </c>
      <c r="F198">
        <v>3453.84</v>
      </c>
      <c r="G198">
        <v>4839.6400000000003</v>
      </c>
      <c r="H198">
        <v>4839.6400000000003</v>
      </c>
      <c r="I198">
        <v>4839.6400000000003</v>
      </c>
      <c r="J198">
        <v>1492.3999999999999</v>
      </c>
      <c r="K198">
        <v>3219.32</v>
      </c>
      <c r="L198">
        <v>3219.32</v>
      </c>
      <c r="M198">
        <v>3219.32</v>
      </c>
      <c r="N198">
        <v>4413.24</v>
      </c>
      <c r="O198">
        <v>2728.9600000000005</v>
      </c>
      <c r="P198">
        <v>4413.24</v>
      </c>
      <c r="Q198">
        <v>5244.72</v>
      </c>
      <c r="R198">
        <v>4413.24</v>
      </c>
      <c r="S198">
        <v>3070.08</v>
      </c>
      <c r="AC198">
        <v>57244.2</v>
      </c>
      <c r="AD198">
        <v>459744.48</v>
      </c>
    </row>
    <row r="199" spans="1:30" x14ac:dyDescent="0.3">
      <c r="A199" t="s">
        <v>153</v>
      </c>
      <c r="B199">
        <v>0</v>
      </c>
      <c r="C199">
        <v>383.76</v>
      </c>
      <c r="D199">
        <v>1236.56</v>
      </c>
      <c r="E199">
        <v>2217.2800000000002</v>
      </c>
      <c r="F199">
        <v>3453.84</v>
      </c>
      <c r="G199">
        <v>4839.6400000000003</v>
      </c>
      <c r="H199">
        <v>4839.6400000000003</v>
      </c>
      <c r="I199">
        <v>4839.6400000000003</v>
      </c>
      <c r="J199">
        <v>1492.3999999999999</v>
      </c>
      <c r="K199">
        <v>3219.32</v>
      </c>
      <c r="L199">
        <v>3219.32</v>
      </c>
      <c r="M199">
        <v>3219.32</v>
      </c>
      <c r="N199">
        <v>4413.24</v>
      </c>
      <c r="O199">
        <v>2728.9600000000005</v>
      </c>
      <c r="P199">
        <v>4413.24</v>
      </c>
      <c r="Q199">
        <v>5244.72</v>
      </c>
      <c r="R199">
        <v>4413.24</v>
      </c>
      <c r="S199">
        <v>3070.08</v>
      </c>
      <c r="T199">
        <v>2942.16</v>
      </c>
      <c r="AC199">
        <v>60186.36</v>
      </c>
      <c r="AD199">
        <v>519930.83999999997</v>
      </c>
    </row>
    <row r="200" spans="1:30" x14ac:dyDescent="0.3">
      <c r="A200" t="s">
        <v>154</v>
      </c>
      <c r="B200">
        <v>0</v>
      </c>
      <c r="C200">
        <v>383.76</v>
      </c>
      <c r="D200">
        <v>1236.56</v>
      </c>
      <c r="E200">
        <v>2217.2800000000002</v>
      </c>
      <c r="F200">
        <v>3453.84</v>
      </c>
      <c r="G200">
        <v>4839.6400000000003</v>
      </c>
      <c r="H200">
        <v>4839.6400000000003</v>
      </c>
      <c r="I200">
        <v>4839.6400000000003</v>
      </c>
      <c r="J200">
        <v>1492.3999999999999</v>
      </c>
      <c r="K200">
        <v>3219.32</v>
      </c>
      <c r="L200">
        <v>3219.32</v>
      </c>
      <c r="M200">
        <v>3219.32</v>
      </c>
      <c r="N200">
        <v>4413.24</v>
      </c>
      <c r="O200">
        <v>2728.9600000000005</v>
      </c>
      <c r="P200">
        <v>4413.24</v>
      </c>
      <c r="Q200">
        <v>5244.72</v>
      </c>
      <c r="R200">
        <v>4413.24</v>
      </c>
      <c r="S200">
        <v>3070.08</v>
      </c>
      <c r="T200">
        <v>2942.16</v>
      </c>
      <c r="U200">
        <v>1940.1200000000001</v>
      </c>
      <c r="AC200">
        <v>62126.48</v>
      </c>
      <c r="AD200">
        <v>582057.31999999995</v>
      </c>
    </row>
    <row r="201" spans="1:30" x14ac:dyDescent="0.3">
      <c r="A201" t="s">
        <v>155</v>
      </c>
      <c r="B201">
        <v>0</v>
      </c>
      <c r="C201">
        <v>383.76</v>
      </c>
      <c r="D201">
        <v>1236.56</v>
      </c>
      <c r="E201">
        <v>2217.2800000000002</v>
      </c>
      <c r="F201">
        <v>3453.84</v>
      </c>
      <c r="G201">
        <v>4839.6400000000003</v>
      </c>
      <c r="H201">
        <v>4839.6400000000003</v>
      </c>
      <c r="I201">
        <v>4839.6400000000003</v>
      </c>
      <c r="J201">
        <v>1492.3999999999999</v>
      </c>
      <c r="K201">
        <v>3219.32</v>
      </c>
      <c r="L201">
        <v>3219.32</v>
      </c>
      <c r="M201">
        <v>3219.32</v>
      </c>
      <c r="N201">
        <v>4413.24</v>
      </c>
      <c r="O201">
        <v>2728.9600000000005</v>
      </c>
      <c r="P201">
        <v>4413.24</v>
      </c>
      <c r="Q201">
        <v>5244.72</v>
      </c>
      <c r="R201">
        <v>4413.24</v>
      </c>
      <c r="S201">
        <v>3070.08</v>
      </c>
      <c r="T201">
        <v>2942.16</v>
      </c>
      <c r="U201">
        <v>1940.1200000000001</v>
      </c>
      <c r="V201">
        <v>2686.32</v>
      </c>
      <c r="AC201">
        <v>64812.800000000003</v>
      </c>
      <c r="AD201">
        <v>646870.12</v>
      </c>
    </row>
    <row r="202" spans="1:30" x14ac:dyDescent="0.3">
      <c r="A202" t="s">
        <v>156</v>
      </c>
      <c r="B202">
        <v>0</v>
      </c>
      <c r="C202">
        <v>383.76</v>
      </c>
      <c r="D202">
        <v>1236.56</v>
      </c>
      <c r="E202">
        <v>2217.2800000000002</v>
      </c>
      <c r="F202">
        <v>3453.84</v>
      </c>
      <c r="G202">
        <v>4839.6400000000003</v>
      </c>
      <c r="H202">
        <v>4839.6400000000003</v>
      </c>
      <c r="I202">
        <v>4839.6400000000003</v>
      </c>
      <c r="J202">
        <v>1492.3999999999999</v>
      </c>
      <c r="K202">
        <v>3219.32</v>
      </c>
      <c r="L202">
        <v>3219.32</v>
      </c>
      <c r="M202">
        <v>3219.32</v>
      </c>
      <c r="N202">
        <v>4413.24</v>
      </c>
      <c r="O202">
        <v>2728.9600000000005</v>
      </c>
      <c r="P202">
        <v>4413.24</v>
      </c>
      <c r="Q202">
        <v>5244.72</v>
      </c>
      <c r="R202">
        <v>4413.24</v>
      </c>
      <c r="S202">
        <v>3070.08</v>
      </c>
      <c r="T202">
        <v>2942.16</v>
      </c>
      <c r="U202">
        <v>1940.1200000000001</v>
      </c>
      <c r="V202">
        <v>2686.32</v>
      </c>
      <c r="W202">
        <v>2537.08</v>
      </c>
      <c r="AC202">
        <v>67349.88</v>
      </c>
      <c r="AD202">
        <v>714220</v>
      </c>
    </row>
    <row r="203" spans="1:30" x14ac:dyDescent="0.3">
      <c r="A203" t="s">
        <v>157</v>
      </c>
      <c r="B203">
        <v>0</v>
      </c>
      <c r="C203">
        <v>383.76</v>
      </c>
      <c r="D203">
        <v>1236.56</v>
      </c>
      <c r="E203">
        <v>2217.2800000000002</v>
      </c>
      <c r="F203">
        <v>3453.84</v>
      </c>
      <c r="G203">
        <v>4839.6400000000003</v>
      </c>
      <c r="H203">
        <v>4839.6400000000003</v>
      </c>
      <c r="I203">
        <v>4839.6400000000003</v>
      </c>
      <c r="J203">
        <v>1492.3999999999999</v>
      </c>
      <c r="K203">
        <v>3219.32</v>
      </c>
      <c r="L203">
        <v>3219.32</v>
      </c>
      <c r="M203">
        <v>3219.32</v>
      </c>
      <c r="N203">
        <v>4413.24</v>
      </c>
      <c r="O203">
        <v>2728.9600000000005</v>
      </c>
      <c r="P203">
        <v>4413.24</v>
      </c>
      <c r="Q203">
        <v>5244.72</v>
      </c>
      <c r="R203">
        <v>4413.24</v>
      </c>
      <c r="S203">
        <v>3070.08</v>
      </c>
      <c r="T203">
        <v>2942.16</v>
      </c>
      <c r="U203">
        <v>1940.1200000000001</v>
      </c>
      <c r="V203">
        <v>2686.32</v>
      </c>
      <c r="W203">
        <v>2537.08</v>
      </c>
      <c r="X203">
        <v>810.16</v>
      </c>
      <c r="AC203">
        <v>68160.040000000008</v>
      </c>
      <c r="AD203">
        <v>782380.04</v>
      </c>
    </row>
    <row r="204" spans="1:30" x14ac:dyDescent="0.3">
      <c r="A204" t="s">
        <v>158</v>
      </c>
      <c r="B204">
        <v>0</v>
      </c>
      <c r="C204">
        <v>383.76</v>
      </c>
      <c r="D204">
        <v>1236.56</v>
      </c>
      <c r="E204">
        <v>2217.2800000000002</v>
      </c>
      <c r="F204">
        <v>3453.84</v>
      </c>
      <c r="G204">
        <v>4839.6400000000003</v>
      </c>
      <c r="H204">
        <v>4839.6400000000003</v>
      </c>
      <c r="I204">
        <v>4839.6400000000003</v>
      </c>
      <c r="J204">
        <v>1492.3999999999999</v>
      </c>
      <c r="K204">
        <v>3219.32</v>
      </c>
      <c r="L204">
        <v>3219.32</v>
      </c>
      <c r="M204">
        <v>3219.32</v>
      </c>
      <c r="N204">
        <v>4413.24</v>
      </c>
      <c r="O204">
        <v>2728.9600000000005</v>
      </c>
      <c r="P204">
        <v>4413.24</v>
      </c>
      <c r="Q204">
        <v>5244.72</v>
      </c>
      <c r="R204">
        <v>4413.24</v>
      </c>
      <c r="S204">
        <v>3070.08</v>
      </c>
      <c r="T204">
        <v>2942.16</v>
      </c>
      <c r="U204">
        <v>1940.1200000000001</v>
      </c>
      <c r="V204">
        <v>2686.32</v>
      </c>
      <c r="W204">
        <v>2537.08</v>
      </c>
      <c r="X204">
        <v>810.16</v>
      </c>
      <c r="Y204">
        <v>1428.4400000000003</v>
      </c>
      <c r="AC204">
        <v>69588.48000000001</v>
      </c>
      <c r="AD204">
        <v>851968.52</v>
      </c>
    </row>
    <row r="205" spans="1:30" x14ac:dyDescent="0.3">
      <c r="A205" t="s">
        <v>159</v>
      </c>
      <c r="B205">
        <v>0</v>
      </c>
      <c r="C205">
        <v>383.76</v>
      </c>
      <c r="D205">
        <v>1236.56</v>
      </c>
      <c r="E205">
        <v>2217.2800000000002</v>
      </c>
      <c r="F205">
        <v>3453.84</v>
      </c>
      <c r="G205">
        <v>4839.6400000000003</v>
      </c>
      <c r="H205">
        <v>4839.6400000000003</v>
      </c>
      <c r="I205">
        <v>4839.6400000000003</v>
      </c>
      <c r="J205">
        <v>1492.3999999999999</v>
      </c>
      <c r="K205">
        <v>3219.32</v>
      </c>
      <c r="L205">
        <v>3219.32</v>
      </c>
      <c r="M205">
        <v>3219.32</v>
      </c>
      <c r="N205">
        <v>4413.24</v>
      </c>
      <c r="O205">
        <v>2728.9600000000005</v>
      </c>
      <c r="P205">
        <v>4413.24</v>
      </c>
      <c r="Q205">
        <v>5244.72</v>
      </c>
      <c r="R205">
        <v>4413.24</v>
      </c>
      <c r="S205">
        <v>3070.08</v>
      </c>
      <c r="T205">
        <v>2942.16</v>
      </c>
      <c r="U205">
        <v>1940.1200000000001</v>
      </c>
      <c r="V205">
        <v>2686.32</v>
      </c>
      <c r="W205">
        <v>2537.08</v>
      </c>
      <c r="X205">
        <v>810.16</v>
      </c>
      <c r="Y205">
        <v>1428.4400000000003</v>
      </c>
      <c r="Z205">
        <v>1364.4800000000002</v>
      </c>
      <c r="AC205">
        <v>70952.960000000006</v>
      </c>
      <c r="AD205">
        <v>922921.48</v>
      </c>
    </row>
    <row r="206" spans="1:30" x14ac:dyDescent="0.3">
      <c r="A206" t="s">
        <v>160</v>
      </c>
      <c r="B206">
        <v>0</v>
      </c>
      <c r="C206">
        <v>383.76</v>
      </c>
      <c r="D206">
        <v>1236.56</v>
      </c>
      <c r="E206">
        <v>2217.2800000000002</v>
      </c>
      <c r="F206">
        <v>3453.84</v>
      </c>
      <c r="G206">
        <v>4839.6400000000003</v>
      </c>
      <c r="H206">
        <v>4839.6400000000003</v>
      </c>
      <c r="I206">
        <v>4839.6400000000003</v>
      </c>
      <c r="J206">
        <v>1492.3999999999999</v>
      </c>
      <c r="K206">
        <v>3219.32</v>
      </c>
      <c r="L206">
        <v>3219.32</v>
      </c>
      <c r="M206">
        <v>3219.32</v>
      </c>
      <c r="N206">
        <v>4413.24</v>
      </c>
      <c r="O206">
        <v>2728.9600000000005</v>
      </c>
      <c r="P206">
        <v>4413.24</v>
      </c>
      <c r="Q206">
        <v>5244.72</v>
      </c>
      <c r="R206">
        <v>4413.24</v>
      </c>
      <c r="S206">
        <v>3070.08</v>
      </c>
      <c r="T206">
        <v>2942.16</v>
      </c>
      <c r="U206">
        <v>1940.1200000000001</v>
      </c>
      <c r="V206">
        <v>2686.32</v>
      </c>
      <c r="W206">
        <v>2537.08</v>
      </c>
      <c r="X206">
        <v>810.16</v>
      </c>
      <c r="Y206">
        <v>1428.4400000000003</v>
      </c>
      <c r="Z206">
        <v>1364.4800000000002</v>
      </c>
      <c r="AA206">
        <v>2004.0800000000002</v>
      </c>
      <c r="AC206">
        <v>72957.040000000008</v>
      </c>
      <c r="AD206">
        <v>995878.52</v>
      </c>
    </row>
    <row r="207" spans="1:30" x14ac:dyDescent="0.3">
      <c r="AC207">
        <v>995878.52</v>
      </c>
      <c r="AD207">
        <v>3654874.1683999998</v>
      </c>
    </row>
    <row r="208" spans="1:30" x14ac:dyDescent="0.3">
      <c r="AC208">
        <v>0.99587851999999999</v>
      </c>
    </row>
    <row r="211" spans="1:30" x14ac:dyDescent="0.3">
      <c r="A211" t="s">
        <v>175</v>
      </c>
      <c r="B211">
        <v>1993</v>
      </c>
      <c r="C211">
        <v>1994</v>
      </c>
      <c r="D211">
        <v>1995</v>
      </c>
      <c r="E211">
        <v>1996</v>
      </c>
      <c r="F211">
        <v>1997</v>
      </c>
      <c r="G211">
        <v>1998</v>
      </c>
      <c r="H211">
        <v>1999</v>
      </c>
      <c r="I211">
        <v>2000</v>
      </c>
      <c r="J211">
        <v>2001</v>
      </c>
      <c r="K211">
        <v>2002</v>
      </c>
      <c r="L211">
        <v>2003</v>
      </c>
      <c r="M211">
        <v>2004</v>
      </c>
      <c r="N211">
        <v>2005</v>
      </c>
      <c r="O211">
        <v>2006</v>
      </c>
      <c r="P211">
        <v>2007</v>
      </c>
      <c r="Q211">
        <v>2008</v>
      </c>
      <c r="R211">
        <v>2009</v>
      </c>
      <c r="S211">
        <v>2010</v>
      </c>
      <c r="T211">
        <v>2011</v>
      </c>
      <c r="U211">
        <v>2012</v>
      </c>
      <c r="V211">
        <v>2013</v>
      </c>
      <c r="W211">
        <v>2014</v>
      </c>
      <c r="X211">
        <v>2015</v>
      </c>
      <c r="Y211">
        <v>2016</v>
      </c>
      <c r="Z211">
        <v>2017</v>
      </c>
      <c r="AA211">
        <v>2018</v>
      </c>
    </row>
    <row r="212" spans="1:30" x14ac:dyDescent="0.3">
      <c r="A212" t="s">
        <v>176</v>
      </c>
      <c r="B212">
        <v>0</v>
      </c>
      <c r="C212">
        <v>0.23</v>
      </c>
      <c r="D212">
        <v>0.64</v>
      </c>
      <c r="E212">
        <v>0.93</v>
      </c>
      <c r="F212">
        <v>1.73</v>
      </c>
      <c r="G212">
        <v>2.75</v>
      </c>
      <c r="H212">
        <v>2.75</v>
      </c>
      <c r="I212">
        <v>2.75</v>
      </c>
      <c r="J212">
        <v>1.18</v>
      </c>
      <c r="K212">
        <v>2.0030000000000001</v>
      </c>
      <c r="L212">
        <v>2.0030000000000001</v>
      </c>
      <c r="M212">
        <v>2.0030000000000001</v>
      </c>
      <c r="N212">
        <v>2.94</v>
      </c>
      <c r="O212">
        <v>1.88</v>
      </c>
      <c r="P212">
        <v>3.008</v>
      </c>
      <c r="Q212">
        <v>3.35</v>
      </c>
      <c r="R212">
        <v>3.03</v>
      </c>
      <c r="S212">
        <v>3.33</v>
      </c>
      <c r="T212">
        <v>2.36</v>
      </c>
      <c r="U212">
        <v>1.39</v>
      </c>
      <c r="V212">
        <v>2.2400000000000002</v>
      </c>
      <c r="W212">
        <v>2.52</v>
      </c>
      <c r="X212">
        <v>2.73</v>
      </c>
      <c r="Y212">
        <v>2.2599999999999998</v>
      </c>
      <c r="Z212">
        <v>2.12</v>
      </c>
      <c r="AA212">
        <v>2.74</v>
      </c>
    </row>
    <row r="213" spans="1:30" x14ac:dyDescent="0.3">
      <c r="A213" t="s">
        <v>173</v>
      </c>
      <c r="B213">
        <v>0</v>
      </c>
      <c r="C213">
        <v>1886</v>
      </c>
      <c r="AC213">
        <v>1886</v>
      </c>
      <c r="AD213">
        <v>1886</v>
      </c>
    </row>
    <row r="214" spans="1:30" x14ac:dyDescent="0.3">
      <c r="A214" t="s">
        <v>164</v>
      </c>
      <c r="B214">
        <v>0</v>
      </c>
      <c r="C214">
        <v>1886</v>
      </c>
      <c r="D214">
        <v>5248</v>
      </c>
      <c r="AC214">
        <v>7134</v>
      </c>
      <c r="AD214">
        <v>9020</v>
      </c>
    </row>
    <row r="215" spans="1:30" x14ac:dyDescent="0.3">
      <c r="A215" t="s">
        <v>138</v>
      </c>
      <c r="B215">
        <v>0</v>
      </c>
      <c r="C215">
        <v>1886</v>
      </c>
      <c r="D215">
        <v>5248</v>
      </c>
      <c r="E215">
        <v>7626</v>
      </c>
      <c r="AC215">
        <v>14760</v>
      </c>
      <c r="AD215">
        <v>23780</v>
      </c>
    </row>
    <row r="216" spans="1:30" x14ac:dyDescent="0.3">
      <c r="A216" t="s">
        <v>139</v>
      </c>
      <c r="B216">
        <v>0</v>
      </c>
      <c r="C216">
        <v>1886</v>
      </c>
      <c r="D216">
        <v>5248</v>
      </c>
      <c r="E216">
        <v>7626</v>
      </c>
      <c r="F216">
        <v>14186</v>
      </c>
      <c r="AC216">
        <v>28946</v>
      </c>
      <c r="AD216">
        <v>52726</v>
      </c>
    </row>
    <row r="217" spans="1:30" x14ac:dyDescent="0.3">
      <c r="A217" t="s">
        <v>140</v>
      </c>
      <c r="B217">
        <v>0</v>
      </c>
      <c r="C217">
        <v>1886</v>
      </c>
      <c r="D217">
        <v>5248</v>
      </c>
      <c r="E217">
        <v>7626</v>
      </c>
      <c r="F217">
        <v>14186</v>
      </c>
      <c r="G217">
        <v>22550</v>
      </c>
      <c r="AC217">
        <v>51496</v>
      </c>
      <c r="AD217">
        <v>104222</v>
      </c>
    </row>
    <row r="218" spans="1:30" x14ac:dyDescent="0.3">
      <c r="A218" t="s">
        <v>141</v>
      </c>
      <c r="B218">
        <v>0</v>
      </c>
      <c r="C218">
        <v>1886</v>
      </c>
      <c r="D218">
        <v>5248</v>
      </c>
      <c r="E218">
        <v>7626</v>
      </c>
      <c r="F218">
        <v>14186</v>
      </c>
      <c r="G218">
        <v>22550</v>
      </c>
      <c r="H218">
        <v>22550</v>
      </c>
      <c r="AC218">
        <v>74046</v>
      </c>
      <c r="AD218">
        <v>178268</v>
      </c>
    </row>
    <row r="219" spans="1:30" x14ac:dyDescent="0.3">
      <c r="A219" t="s">
        <v>142</v>
      </c>
      <c r="B219">
        <v>0</v>
      </c>
      <c r="C219">
        <v>1886</v>
      </c>
      <c r="D219">
        <v>5248</v>
      </c>
      <c r="E219">
        <v>7626</v>
      </c>
      <c r="F219">
        <v>14186</v>
      </c>
      <c r="G219">
        <v>22550</v>
      </c>
      <c r="H219">
        <v>22550</v>
      </c>
      <c r="I219">
        <v>22550</v>
      </c>
      <c r="AC219">
        <v>96596</v>
      </c>
      <c r="AD219">
        <v>274864</v>
      </c>
    </row>
    <row r="220" spans="1:30" x14ac:dyDescent="0.3">
      <c r="A220" t="s">
        <v>143</v>
      </c>
      <c r="B220">
        <v>0</v>
      </c>
      <c r="C220">
        <v>1886</v>
      </c>
      <c r="D220">
        <v>5248</v>
      </c>
      <c r="E220">
        <v>7626</v>
      </c>
      <c r="F220">
        <v>14186</v>
      </c>
      <c r="G220">
        <v>22550</v>
      </c>
      <c r="H220">
        <v>22550</v>
      </c>
      <c r="I220">
        <v>22550</v>
      </c>
      <c r="J220">
        <v>9676</v>
      </c>
      <c r="AC220">
        <v>106272</v>
      </c>
      <c r="AD220">
        <v>381136</v>
      </c>
    </row>
    <row r="221" spans="1:30" x14ac:dyDescent="0.3">
      <c r="A221" t="s">
        <v>144</v>
      </c>
      <c r="B221">
        <v>0</v>
      </c>
      <c r="C221">
        <v>1886</v>
      </c>
      <c r="D221">
        <v>5248</v>
      </c>
      <c r="E221">
        <v>7626</v>
      </c>
      <c r="F221">
        <v>14186</v>
      </c>
      <c r="G221">
        <v>22550</v>
      </c>
      <c r="H221">
        <v>22550</v>
      </c>
      <c r="I221">
        <v>22550</v>
      </c>
      <c r="J221">
        <v>9676</v>
      </c>
      <c r="K221">
        <v>16424.600000000002</v>
      </c>
      <c r="AC221">
        <v>122696.6</v>
      </c>
      <c r="AD221">
        <v>503832.6</v>
      </c>
    </row>
    <row r="222" spans="1:30" x14ac:dyDescent="0.3">
      <c r="A222" t="s">
        <v>145</v>
      </c>
      <c r="B222">
        <v>0</v>
      </c>
      <c r="C222">
        <v>1886</v>
      </c>
      <c r="D222">
        <v>5248</v>
      </c>
      <c r="E222">
        <v>7626</v>
      </c>
      <c r="F222">
        <v>14186</v>
      </c>
      <c r="G222">
        <v>22550</v>
      </c>
      <c r="H222">
        <v>22550</v>
      </c>
      <c r="I222">
        <v>22550</v>
      </c>
      <c r="J222">
        <v>9676</v>
      </c>
      <c r="K222">
        <v>16424.600000000002</v>
      </c>
      <c r="L222">
        <v>16424.600000000002</v>
      </c>
      <c r="AC222">
        <v>139121.20000000001</v>
      </c>
      <c r="AD222">
        <v>642953.80000000005</v>
      </c>
    </row>
    <row r="223" spans="1:30" x14ac:dyDescent="0.3">
      <c r="A223" t="s">
        <v>146</v>
      </c>
      <c r="B223">
        <v>0</v>
      </c>
      <c r="C223">
        <v>1886</v>
      </c>
      <c r="D223">
        <v>5248</v>
      </c>
      <c r="E223">
        <v>7626</v>
      </c>
      <c r="F223">
        <v>14186</v>
      </c>
      <c r="G223">
        <v>22550</v>
      </c>
      <c r="H223">
        <v>22550</v>
      </c>
      <c r="I223">
        <v>22550</v>
      </c>
      <c r="J223">
        <v>9676</v>
      </c>
      <c r="K223">
        <v>16424.600000000002</v>
      </c>
      <c r="L223">
        <v>16424.600000000002</v>
      </c>
      <c r="M223">
        <v>16424.600000000002</v>
      </c>
      <c r="AC223">
        <v>155545.80000000002</v>
      </c>
      <c r="AD223">
        <v>798499.60000000009</v>
      </c>
    </row>
    <row r="224" spans="1:30" x14ac:dyDescent="0.3">
      <c r="A224" t="s">
        <v>147</v>
      </c>
      <c r="B224">
        <v>0</v>
      </c>
      <c r="C224">
        <v>1886</v>
      </c>
      <c r="D224">
        <v>5248</v>
      </c>
      <c r="E224">
        <v>7626</v>
      </c>
      <c r="F224">
        <v>14186</v>
      </c>
      <c r="G224">
        <v>22550</v>
      </c>
      <c r="H224">
        <v>22550</v>
      </c>
      <c r="I224">
        <v>22550</v>
      </c>
      <c r="J224">
        <v>9676</v>
      </c>
      <c r="K224">
        <v>16424.600000000002</v>
      </c>
      <c r="L224">
        <v>16424.600000000002</v>
      </c>
      <c r="M224">
        <v>16424.600000000002</v>
      </c>
      <c r="N224">
        <v>24108</v>
      </c>
      <c r="AC224">
        <v>179653.80000000002</v>
      </c>
      <c r="AD224">
        <v>978153.40000000014</v>
      </c>
    </row>
    <row r="225" spans="1:30" x14ac:dyDescent="0.3">
      <c r="A225" t="s">
        <v>148</v>
      </c>
      <c r="B225">
        <v>0</v>
      </c>
      <c r="C225">
        <v>1886</v>
      </c>
      <c r="D225">
        <v>5248</v>
      </c>
      <c r="E225">
        <v>7626</v>
      </c>
      <c r="F225">
        <v>14186</v>
      </c>
      <c r="G225">
        <v>22550</v>
      </c>
      <c r="H225">
        <v>22550</v>
      </c>
      <c r="I225">
        <v>22550</v>
      </c>
      <c r="J225">
        <v>9676</v>
      </c>
      <c r="K225">
        <v>16424.600000000002</v>
      </c>
      <c r="L225">
        <v>16424.600000000002</v>
      </c>
      <c r="M225">
        <v>16424.600000000002</v>
      </c>
      <c r="N225">
        <v>24108</v>
      </c>
      <c r="O225">
        <v>15416</v>
      </c>
      <c r="AC225">
        <v>195069.80000000002</v>
      </c>
      <c r="AD225">
        <v>1173223.2000000002</v>
      </c>
    </row>
    <row r="226" spans="1:30" x14ac:dyDescent="0.3">
      <c r="A226" t="s">
        <v>149</v>
      </c>
      <c r="B226">
        <v>0</v>
      </c>
      <c r="C226">
        <v>1886</v>
      </c>
      <c r="D226">
        <v>5248</v>
      </c>
      <c r="E226">
        <v>7626</v>
      </c>
      <c r="F226">
        <v>14186</v>
      </c>
      <c r="G226">
        <v>22550</v>
      </c>
      <c r="H226">
        <v>22550</v>
      </c>
      <c r="I226">
        <v>22550</v>
      </c>
      <c r="J226">
        <v>9676</v>
      </c>
      <c r="K226">
        <v>16424.600000000002</v>
      </c>
      <c r="L226">
        <v>16424.600000000002</v>
      </c>
      <c r="M226">
        <v>16424.600000000002</v>
      </c>
      <c r="N226">
        <v>24108</v>
      </c>
      <c r="O226">
        <v>15416</v>
      </c>
      <c r="P226">
        <v>24665.599999999999</v>
      </c>
      <c r="AC226">
        <v>219735.40000000002</v>
      </c>
      <c r="AD226">
        <v>1392958.6</v>
      </c>
    </row>
    <row r="227" spans="1:30" x14ac:dyDescent="0.3">
      <c r="A227" t="s">
        <v>150</v>
      </c>
      <c r="B227">
        <v>0</v>
      </c>
      <c r="C227">
        <v>1886</v>
      </c>
      <c r="D227">
        <v>5248</v>
      </c>
      <c r="E227">
        <v>7626</v>
      </c>
      <c r="F227">
        <v>14186</v>
      </c>
      <c r="G227">
        <v>22550</v>
      </c>
      <c r="H227">
        <v>22550</v>
      </c>
      <c r="I227">
        <v>22550</v>
      </c>
      <c r="J227">
        <v>9676</v>
      </c>
      <c r="K227">
        <v>16424.600000000002</v>
      </c>
      <c r="L227">
        <v>16424.600000000002</v>
      </c>
      <c r="M227">
        <v>16424.600000000002</v>
      </c>
      <c r="N227">
        <v>24108</v>
      </c>
      <c r="O227">
        <v>15416</v>
      </c>
      <c r="P227">
        <v>24665.599999999999</v>
      </c>
      <c r="Q227">
        <v>27470</v>
      </c>
      <c r="AC227">
        <v>247205.40000000002</v>
      </c>
      <c r="AD227">
        <v>1640164</v>
      </c>
    </row>
    <row r="228" spans="1:30" x14ac:dyDescent="0.3">
      <c r="A228" t="s">
        <v>151</v>
      </c>
      <c r="B228">
        <v>0</v>
      </c>
      <c r="C228">
        <v>1886</v>
      </c>
      <c r="D228">
        <v>5248</v>
      </c>
      <c r="E228">
        <v>7626</v>
      </c>
      <c r="F228">
        <v>14186</v>
      </c>
      <c r="G228">
        <v>22550</v>
      </c>
      <c r="H228">
        <v>22550</v>
      </c>
      <c r="I228">
        <v>22550</v>
      </c>
      <c r="J228">
        <v>9676</v>
      </c>
      <c r="K228">
        <v>16424.600000000002</v>
      </c>
      <c r="L228">
        <v>16424.600000000002</v>
      </c>
      <c r="M228">
        <v>16424.600000000002</v>
      </c>
      <c r="N228">
        <v>24108</v>
      </c>
      <c r="O228">
        <v>15416</v>
      </c>
      <c r="P228">
        <v>24665.599999999999</v>
      </c>
      <c r="Q228">
        <v>27470</v>
      </c>
      <c r="R228">
        <v>24846</v>
      </c>
      <c r="AC228">
        <v>272051.40000000002</v>
      </c>
      <c r="AD228">
        <v>1912215.4</v>
      </c>
    </row>
    <row r="229" spans="1:30" x14ac:dyDescent="0.3">
      <c r="A229" t="s">
        <v>152</v>
      </c>
      <c r="B229">
        <v>0</v>
      </c>
      <c r="C229">
        <v>1886</v>
      </c>
      <c r="D229">
        <v>5248</v>
      </c>
      <c r="E229">
        <v>7626</v>
      </c>
      <c r="F229">
        <v>14186</v>
      </c>
      <c r="G229">
        <v>22550</v>
      </c>
      <c r="H229">
        <v>22550</v>
      </c>
      <c r="I229">
        <v>22550</v>
      </c>
      <c r="J229">
        <v>9676</v>
      </c>
      <c r="K229">
        <v>16424.600000000002</v>
      </c>
      <c r="L229">
        <v>16424.600000000002</v>
      </c>
      <c r="M229">
        <v>16424.600000000002</v>
      </c>
      <c r="N229">
        <v>24108</v>
      </c>
      <c r="O229">
        <v>15416</v>
      </c>
      <c r="P229">
        <v>24665.599999999999</v>
      </c>
      <c r="Q229">
        <v>27470</v>
      </c>
      <c r="R229">
        <v>24846</v>
      </c>
      <c r="S229">
        <v>27306</v>
      </c>
      <c r="AC229">
        <v>299357.40000000002</v>
      </c>
      <c r="AD229">
        <v>2211572.7999999998</v>
      </c>
    </row>
    <row r="230" spans="1:30" x14ac:dyDescent="0.3">
      <c r="A230" t="s">
        <v>153</v>
      </c>
      <c r="B230">
        <v>0</v>
      </c>
      <c r="C230">
        <v>1886</v>
      </c>
      <c r="D230">
        <v>5248</v>
      </c>
      <c r="E230">
        <v>7626</v>
      </c>
      <c r="F230">
        <v>14186</v>
      </c>
      <c r="G230">
        <v>22550</v>
      </c>
      <c r="H230">
        <v>22550</v>
      </c>
      <c r="I230">
        <v>22550</v>
      </c>
      <c r="J230">
        <v>9676</v>
      </c>
      <c r="K230">
        <v>16424.600000000002</v>
      </c>
      <c r="L230">
        <v>16424.600000000002</v>
      </c>
      <c r="M230">
        <v>16424.600000000002</v>
      </c>
      <c r="N230">
        <v>24108</v>
      </c>
      <c r="O230">
        <v>15416</v>
      </c>
      <c r="P230">
        <v>24665.599999999999</v>
      </c>
      <c r="Q230">
        <v>27470</v>
      </c>
      <c r="R230">
        <v>24846</v>
      </c>
      <c r="S230">
        <v>27306</v>
      </c>
      <c r="T230">
        <v>19352</v>
      </c>
      <c r="AC230">
        <v>318709.40000000002</v>
      </c>
      <c r="AD230">
        <v>2530282.1999999997</v>
      </c>
    </row>
    <row r="231" spans="1:30" x14ac:dyDescent="0.3">
      <c r="A231" t="s">
        <v>154</v>
      </c>
      <c r="B231">
        <v>0</v>
      </c>
      <c r="C231">
        <v>1886</v>
      </c>
      <c r="D231">
        <v>5248</v>
      </c>
      <c r="E231">
        <v>7626</v>
      </c>
      <c r="F231">
        <v>14186</v>
      </c>
      <c r="G231">
        <v>22550</v>
      </c>
      <c r="H231">
        <v>22550</v>
      </c>
      <c r="I231">
        <v>22550</v>
      </c>
      <c r="J231">
        <v>9676</v>
      </c>
      <c r="K231">
        <v>16424.600000000002</v>
      </c>
      <c r="L231">
        <v>16424.600000000002</v>
      </c>
      <c r="M231">
        <v>16424.600000000002</v>
      </c>
      <c r="N231">
        <v>24108</v>
      </c>
      <c r="O231">
        <v>15416</v>
      </c>
      <c r="P231">
        <v>24665.599999999999</v>
      </c>
      <c r="Q231">
        <v>27470</v>
      </c>
      <c r="R231">
        <v>24846</v>
      </c>
      <c r="S231">
        <v>27306</v>
      </c>
      <c r="T231">
        <v>19352</v>
      </c>
      <c r="U231">
        <v>11398</v>
      </c>
      <c r="AC231">
        <v>330107.40000000002</v>
      </c>
      <c r="AD231">
        <v>2860389.5999999996</v>
      </c>
    </row>
    <row r="232" spans="1:30" x14ac:dyDescent="0.3">
      <c r="A232" t="s">
        <v>155</v>
      </c>
      <c r="B232">
        <v>0</v>
      </c>
      <c r="C232">
        <v>1886</v>
      </c>
      <c r="D232">
        <v>5248</v>
      </c>
      <c r="E232">
        <v>7626</v>
      </c>
      <c r="F232">
        <v>14186</v>
      </c>
      <c r="G232">
        <v>22550</v>
      </c>
      <c r="H232">
        <v>22550</v>
      </c>
      <c r="I232">
        <v>22550</v>
      </c>
      <c r="J232">
        <v>9676</v>
      </c>
      <c r="K232">
        <v>16424.600000000002</v>
      </c>
      <c r="L232">
        <v>16424.600000000002</v>
      </c>
      <c r="M232">
        <v>16424.600000000002</v>
      </c>
      <c r="N232">
        <v>24108</v>
      </c>
      <c r="O232">
        <v>15416</v>
      </c>
      <c r="P232">
        <v>24665.599999999999</v>
      </c>
      <c r="Q232">
        <v>27470</v>
      </c>
      <c r="R232">
        <v>24846</v>
      </c>
      <c r="S232">
        <v>27306</v>
      </c>
      <c r="T232">
        <v>19352</v>
      </c>
      <c r="U232">
        <v>11398</v>
      </c>
      <c r="V232">
        <v>18368</v>
      </c>
      <c r="AC232">
        <v>348475.4</v>
      </c>
      <c r="AD232">
        <v>3208864.9999999995</v>
      </c>
    </row>
    <row r="233" spans="1:30" x14ac:dyDescent="0.3">
      <c r="A233" t="s">
        <v>156</v>
      </c>
      <c r="B233">
        <v>0</v>
      </c>
      <c r="C233">
        <v>1886</v>
      </c>
      <c r="D233">
        <v>5248</v>
      </c>
      <c r="E233">
        <v>7626</v>
      </c>
      <c r="F233">
        <v>14186</v>
      </c>
      <c r="G233">
        <v>22550</v>
      </c>
      <c r="H233">
        <v>22550</v>
      </c>
      <c r="I233">
        <v>22550</v>
      </c>
      <c r="J233">
        <v>9676</v>
      </c>
      <c r="K233">
        <v>16424.600000000002</v>
      </c>
      <c r="L233">
        <v>16424.600000000002</v>
      </c>
      <c r="M233">
        <v>16424.600000000002</v>
      </c>
      <c r="N233">
        <v>24108</v>
      </c>
      <c r="O233">
        <v>15416</v>
      </c>
      <c r="P233">
        <v>24665.599999999999</v>
      </c>
      <c r="Q233">
        <v>27470</v>
      </c>
      <c r="R233">
        <v>24846</v>
      </c>
      <c r="S233">
        <v>27306</v>
      </c>
      <c r="T233">
        <v>19352</v>
      </c>
      <c r="U233">
        <v>11398</v>
      </c>
      <c r="V233">
        <v>18368</v>
      </c>
      <c r="W233">
        <v>20664</v>
      </c>
      <c r="AC233">
        <v>369139.4</v>
      </c>
      <c r="AD233">
        <v>3578004.3999999994</v>
      </c>
    </row>
    <row r="234" spans="1:30" x14ac:dyDescent="0.3">
      <c r="A234" t="s">
        <v>157</v>
      </c>
      <c r="B234">
        <v>0</v>
      </c>
      <c r="C234">
        <v>1886</v>
      </c>
      <c r="D234">
        <v>5248</v>
      </c>
      <c r="E234">
        <v>7626</v>
      </c>
      <c r="F234">
        <v>14186</v>
      </c>
      <c r="G234">
        <v>22550</v>
      </c>
      <c r="H234">
        <v>22550</v>
      </c>
      <c r="I234">
        <v>22550</v>
      </c>
      <c r="J234">
        <v>9676</v>
      </c>
      <c r="K234">
        <v>16424.600000000002</v>
      </c>
      <c r="L234">
        <v>16424.600000000002</v>
      </c>
      <c r="M234">
        <v>16424.600000000002</v>
      </c>
      <c r="N234">
        <v>24108</v>
      </c>
      <c r="O234">
        <v>15416</v>
      </c>
      <c r="P234">
        <v>24665.599999999999</v>
      </c>
      <c r="Q234">
        <v>27470</v>
      </c>
      <c r="R234">
        <v>24846</v>
      </c>
      <c r="S234">
        <v>27306</v>
      </c>
      <c r="T234">
        <v>19352</v>
      </c>
      <c r="U234">
        <v>11398</v>
      </c>
      <c r="V234">
        <v>18368</v>
      </c>
      <c r="W234">
        <v>20664</v>
      </c>
      <c r="X234">
        <v>22386</v>
      </c>
      <c r="AC234">
        <v>391525.4</v>
      </c>
      <c r="AD234">
        <v>3969529.7999999993</v>
      </c>
    </row>
    <row r="235" spans="1:30" x14ac:dyDescent="0.3">
      <c r="A235" t="s">
        <v>158</v>
      </c>
      <c r="B235">
        <v>0</v>
      </c>
      <c r="C235">
        <v>1886</v>
      </c>
      <c r="D235">
        <v>5248</v>
      </c>
      <c r="E235">
        <v>7626</v>
      </c>
      <c r="F235">
        <v>14186</v>
      </c>
      <c r="G235">
        <v>22550</v>
      </c>
      <c r="H235">
        <v>22550</v>
      </c>
      <c r="I235">
        <v>22550</v>
      </c>
      <c r="J235">
        <v>9676</v>
      </c>
      <c r="K235">
        <v>16424.600000000002</v>
      </c>
      <c r="L235">
        <v>16424.600000000002</v>
      </c>
      <c r="M235">
        <v>16424.600000000002</v>
      </c>
      <c r="N235">
        <v>24108</v>
      </c>
      <c r="O235">
        <v>15416</v>
      </c>
      <c r="P235">
        <v>24665.599999999999</v>
      </c>
      <c r="Q235">
        <v>27470</v>
      </c>
      <c r="R235">
        <v>24846</v>
      </c>
      <c r="S235">
        <v>27306</v>
      </c>
      <c r="T235">
        <v>19352</v>
      </c>
      <c r="U235">
        <v>11398</v>
      </c>
      <c r="V235">
        <v>18368</v>
      </c>
      <c r="W235">
        <v>20664</v>
      </c>
      <c r="X235">
        <v>22386</v>
      </c>
      <c r="Y235">
        <v>18532</v>
      </c>
      <c r="AC235">
        <v>410057.4</v>
      </c>
      <c r="AD235">
        <v>4379587.1999999993</v>
      </c>
    </row>
    <row r="236" spans="1:30" x14ac:dyDescent="0.3">
      <c r="A236" t="s">
        <v>159</v>
      </c>
      <c r="B236">
        <v>0</v>
      </c>
      <c r="C236">
        <v>1886</v>
      </c>
      <c r="D236">
        <v>5248</v>
      </c>
      <c r="E236">
        <v>7626</v>
      </c>
      <c r="F236">
        <v>14186</v>
      </c>
      <c r="G236">
        <v>22550</v>
      </c>
      <c r="H236">
        <v>22550</v>
      </c>
      <c r="I236">
        <v>22550</v>
      </c>
      <c r="J236">
        <v>9676</v>
      </c>
      <c r="K236">
        <v>16424.600000000002</v>
      </c>
      <c r="L236">
        <v>16424.600000000002</v>
      </c>
      <c r="M236">
        <v>16424.600000000002</v>
      </c>
      <c r="N236">
        <v>24108</v>
      </c>
      <c r="O236">
        <v>15416</v>
      </c>
      <c r="P236">
        <v>24665.599999999999</v>
      </c>
      <c r="Q236">
        <v>27470</v>
      </c>
      <c r="R236">
        <v>24846</v>
      </c>
      <c r="S236">
        <v>27306</v>
      </c>
      <c r="T236">
        <v>19352</v>
      </c>
      <c r="U236">
        <v>11398</v>
      </c>
      <c r="V236">
        <v>18368</v>
      </c>
      <c r="W236">
        <v>20664</v>
      </c>
      <c r="X236">
        <v>22386</v>
      </c>
      <c r="Y236">
        <v>18532</v>
      </c>
      <c r="Z236">
        <v>17384</v>
      </c>
      <c r="AC236">
        <v>427441.4</v>
      </c>
      <c r="AD236">
        <v>4807028.5999999996</v>
      </c>
    </row>
    <row r="237" spans="1:30" x14ac:dyDescent="0.3">
      <c r="A237" t="s">
        <v>160</v>
      </c>
      <c r="B237">
        <v>0</v>
      </c>
      <c r="C237">
        <v>1886</v>
      </c>
      <c r="D237">
        <v>5248</v>
      </c>
      <c r="E237">
        <v>7626</v>
      </c>
      <c r="F237">
        <v>14186</v>
      </c>
      <c r="G237">
        <v>22550</v>
      </c>
      <c r="H237">
        <v>22550</v>
      </c>
      <c r="I237">
        <v>22550</v>
      </c>
      <c r="J237">
        <v>9676</v>
      </c>
      <c r="K237">
        <v>16424.600000000002</v>
      </c>
      <c r="L237">
        <v>16424.600000000002</v>
      </c>
      <c r="M237">
        <v>16424.600000000002</v>
      </c>
      <c r="N237">
        <v>24108</v>
      </c>
      <c r="O237">
        <v>15416</v>
      </c>
      <c r="P237">
        <v>24665.599999999999</v>
      </c>
      <c r="Q237">
        <v>27470</v>
      </c>
      <c r="R237">
        <v>24846</v>
      </c>
      <c r="S237">
        <v>27306</v>
      </c>
      <c r="T237">
        <v>19352</v>
      </c>
      <c r="U237">
        <v>11398</v>
      </c>
      <c r="V237">
        <v>18368</v>
      </c>
      <c r="W237">
        <v>20664</v>
      </c>
      <c r="X237">
        <v>22386</v>
      </c>
      <c r="Y237">
        <v>18532</v>
      </c>
      <c r="Z237">
        <v>17384</v>
      </c>
      <c r="AA237">
        <v>22468</v>
      </c>
      <c r="AC237">
        <v>449909.4</v>
      </c>
      <c r="AD237">
        <v>5256938</v>
      </c>
    </row>
    <row r="238" spans="1:30" x14ac:dyDescent="0.3">
      <c r="AC238">
        <v>5256938</v>
      </c>
      <c r="AD238">
        <v>19292962.460000001</v>
      </c>
    </row>
    <row r="239" spans="1:30" x14ac:dyDescent="0.3">
      <c r="AC239">
        <v>5.2569379999999999</v>
      </c>
    </row>
    <row r="241" spans="1:30" x14ac:dyDescent="0.3">
      <c r="A241" t="s">
        <v>177</v>
      </c>
      <c r="B241">
        <v>0</v>
      </c>
      <c r="C241">
        <v>490.36000000000007</v>
      </c>
      <c r="AC241">
        <v>490.36000000000007</v>
      </c>
      <c r="AD241">
        <v>490.36000000000007</v>
      </c>
    </row>
    <row r="242" spans="1:30" x14ac:dyDescent="0.3">
      <c r="A242" t="s">
        <v>164</v>
      </c>
      <c r="B242">
        <v>0</v>
      </c>
      <c r="C242">
        <v>490.36000000000007</v>
      </c>
      <c r="D242">
        <v>1364.4800000000002</v>
      </c>
      <c r="AC242">
        <v>1854.8400000000004</v>
      </c>
      <c r="AD242">
        <v>2345.2000000000003</v>
      </c>
    </row>
    <row r="243" spans="1:30" x14ac:dyDescent="0.3">
      <c r="A243" t="s">
        <v>138</v>
      </c>
      <c r="B243">
        <v>0</v>
      </c>
      <c r="C243">
        <v>490.36000000000007</v>
      </c>
      <c r="D243">
        <v>1364.4800000000002</v>
      </c>
      <c r="E243">
        <v>1982.7600000000002</v>
      </c>
      <c r="AC243">
        <v>3837.6000000000004</v>
      </c>
      <c r="AD243">
        <v>6182.8000000000011</v>
      </c>
    </row>
    <row r="244" spans="1:30" x14ac:dyDescent="0.3">
      <c r="A244" t="s">
        <v>139</v>
      </c>
      <c r="B244">
        <v>0</v>
      </c>
      <c r="C244">
        <v>490.36000000000007</v>
      </c>
      <c r="D244">
        <v>1364.4800000000002</v>
      </c>
      <c r="E244">
        <v>1982.7600000000002</v>
      </c>
      <c r="F244">
        <v>3688.36</v>
      </c>
      <c r="AC244">
        <v>7525.9600000000009</v>
      </c>
      <c r="AD244">
        <v>13708.760000000002</v>
      </c>
    </row>
    <row r="245" spans="1:30" x14ac:dyDescent="0.3">
      <c r="A245" t="s">
        <v>140</v>
      </c>
      <c r="B245">
        <v>0</v>
      </c>
      <c r="C245">
        <v>490.36000000000007</v>
      </c>
      <c r="D245">
        <v>1364.4800000000002</v>
      </c>
      <c r="E245">
        <v>1982.7600000000002</v>
      </c>
      <c r="F245">
        <v>3688.36</v>
      </c>
      <c r="G245">
        <v>5863.0000000000009</v>
      </c>
      <c r="AC245">
        <v>13388.960000000003</v>
      </c>
      <c r="AD245">
        <v>27097.720000000005</v>
      </c>
    </row>
    <row r="246" spans="1:30" x14ac:dyDescent="0.3">
      <c r="A246" t="s">
        <v>141</v>
      </c>
      <c r="B246">
        <v>0</v>
      </c>
      <c r="C246">
        <v>490.36000000000007</v>
      </c>
      <c r="D246">
        <v>1364.4800000000002</v>
      </c>
      <c r="E246">
        <v>1982.7600000000002</v>
      </c>
      <c r="F246">
        <v>3688.36</v>
      </c>
      <c r="G246">
        <v>5863.0000000000009</v>
      </c>
      <c r="H246">
        <v>5863.0000000000009</v>
      </c>
      <c r="AC246">
        <v>19251.960000000003</v>
      </c>
      <c r="AD246">
        <v>46349.680000000008</v>
      </c>
    </row>
    <row r="247" spans="1:30" x14ac:dyDescent="0.3">
      <c r="A247" t="s">
        <v>142</v>
      </c>
      <c r="B247">
        <v>0</v>
      </c>
      <c r="C247">
        <v>490.36000000000007</v>
      </c>
      <c r="D247">
        <v>1364.4800000000002</v>
      </c>
      <c r="E247">
        <v>1982.7600000000002</v>
      </c>
      <c r="F247">
        <v>3688.36</v>
      </c>
      <c r="G247">
        <v>5863.0000000000009</v>
      </c>
      <c r="H247">
        <v>5863.0000000000009</v>
      </c>
      <c r="I247">
        <v>5863.0000000000009</v>
      </c>
      <c r="AC247">
        <v>25114.960000000003</v>
      </c>
      <c r="AD247">
        <v>71464.640000000014</v>
      </c>
    </row>
    <row r="248" spans="1:30" x14ac:dyDescent="0.3">
      <c r="A248" t="s">
        <v>143</v>
      </c>
      <c r="B248">
        <v>0</v>
      </c>
      <c r="C248">
        <v>490.36000000000007</v>
      </c>
      <c r="D248">
        <v>1364.4800000000002</v>
      </c>
      <c r="E248">
        <v>1982.7600000000002</v>
      </c>
      <c r="F248">
        <v>3688.36</v>
      </c>
      <c r="G248">
        <v>5863.0000000000009</v>
      </c>
      <c r="H248">
        <v>5863.0000000000009</v>
      </c>
      <c r="I248">
        <v>5863.0000000000009</v>
      </c>
      <c r="J248">
        <v>2515.7600000000002</v>
      </c>
      <c r="AC248">
        <v>27630.720000000001</v>
      </c>
      <c r="AD248">
        <v>99095.360000000015</v>
      </c>
    </row>
    <row r="249" spans="1:30" x14ac:dyDescent="0.3">
      <c r="A249" t="s">
        <v>144</v>
      </c>
      <c r="B249">
        <v>0</v>
      </c>
      <c r="C249">
        <v>490.36000000000007</v>
      </c>
      <c r="D249">
        <v>1364.4800000000002</v>
      </c>
      <c r="E249">
        <v>1982.7600000000002</v>
      </c>
      <c r="F249">
        <v>3688.36</v>
      </c>
      <c r="G249">
        <v>5863.0000000000009</v>
      </c>
      <c r="H249">
        <v>5863.0000000000009</v>
      </c>
      <c r="I249">
        <v>5863.0000000000009</v>
      </c>
      <c r="J249">
        <v>2515.7600000000002</v>
      </c>
      <c r="K249">
        <v>4270.3959999999997</v>
      </c>
      <c r="AC249">
        <v>31901.116000000002</v>
      </c>
      <c r="AD249">
        <v>130996.47600000002</v>
      </c>
    </row>
    <row r="250" spans="1:30" x14ac:dyDescent="0.3">
      <c r="A250" t="s">
        <v>145</v>
      </c>
      <c r="B250">
        <v>0</v>
      </c>
      <c r="C250">
        <v>490.36000000000007</v>
      </c>
      <c r="D250">
        <v>1364.4800000000002</v>
      </c>
      <c r="E250">
        <v>1982.7600000000002</v>
      </c>
      <c r="F250">
        <v>3688.36</v>
      </c>
      <c r="G250">
        <v>5863.0000000000009</v>
      </c>
      <c r="H250">
        <v>5863.0000000000009</v>
      </c>
      <c r="I250">
        <v>5863.0000000000009</v>
      </c>
      <c r="J250">
        <v>2515.7600000000002</v>
      </c>
      <c r="K250">
        <v>4270.3959999999997</v>
      </c>
      <c r="L250">
        <v>4270.3959999999997</v>
      </c>
      <c r="AC250">
        <v>36171.512000000002</v>
      </c>
      <c r="AD250">
        <v>167167.98800000001</v>
      </c>
    </row>
    <row r="251" spans="1:30" x14ac:dyDescent="0.3">
      <c r="A251" t="s">
        <v>146</v>
      </c>
      <c r="B251">
        <v>0</v>
      </c>
      <c r="C251">
        <v>490.36000000000007</v>
      </c>
      <c r="D251">
        <v>1364.4800000000002</v>
      </c>
      <c r="E251">
        <v>1982.7600000000002</v>
      </c>
      <c r="F251">
        <v>3688.36</v>
      </c>
      <c r="G251">
        <v>5863.0000000000009</v>
      </c>
      <c r="H251">
        <v>5863.0000000000009</v>
      </c>
      <c r="I251">
        <v>5863.0000000000009</v>
      </c>
      <c r="J251">
        <v>2515.7600000000002</v>
      </c>
      <c r="K251">
        <v>4270.3959999999997</v>
      </c>
      <c r="L251">
        <v>4270.3959999999997</v>
      </c>
      <c r="M251">
        <v>4270.3959999999997</v>
      </c>
      <c r="AC251">
        <v>40441.908000000003</v>
      </c>
      <c r="AD251">
        <v>207609.89600000001</v>
      </c>
    </row>
    <row r="252" spans="1:30" x14ac:dyDescent="0.3">
      <c r="A252" t="s">
        <v>147</v>
      </c>
      <c r="B252">
        <v>0</v>
      </c>
      <c r="C252">
        <v>490.36000000000007</v>
      </c>
      <c r="D252">
        <v>1364.4800000000002</v>
      </c>
      <c r="E252">
        <v>1982.7600000000002</v>
      </c>
      <c r="F252">
        <v>3688.36</v>
      </c>
      <c r="G252">
        <v>5863.0000000000009</v>
      </c>
      <c r="H252">
        <v>5863.0000000000009</v>
      </c>
      <c r="I252">
        <v>5863.0000000000009</v>
      </c>
      <c r="J252">
        <v>2515.7600000000002</v>
      </c>
      <c r="K252">
        <v>4270.3959999999997</v>
      </c>
      <c r="L252">
        <v>4270.3959999999997</v>
      </c>
      <c r="M252">
        <v>4270.3959999999997</v>
      </c>
      <c r="N252">
        <v>6268.08</v>
      </c>
      <c r="AC252">
        <v>46709.988000000005</v>
      </c>
      <c r="AD252">
        <v>254319.88400000002</v>
      </c>
    </row>
    <row r="253" spans="1:30" x14ac:dyDescent="0.3">
      <c r="A253" t="s">
        <v>148</v>
      </c>
      <c r="B253">
        <v>0</v>
      </c>
      <c r="C253">
        <v>490.36000000000007</v>
      </c>
      <c r="D253">
        <v>1364.4800000000002</v>
      </c>
      <c r="E253">
        <v>1982.7600000000002</v>
      </c>
      <c r="F253">
        <v>3688.36</v>
      </c>
      <c r="G253">
        <v>5863.0000000000009</v>
      </c>
      <c r="H253">
        <v>5863.0000000000009</v>
      </c>
      <c r="I253">
        <v>5863.0000000000009</v>
      </c>
      <c r="J253">
        <v>2515.7600000000002</v>
      </c>
      <c r="K253">
        <v>4270.3959999999997</v>
      </c>
      <c r="L253">
        <v>4270.3959999999997</v>
      </c>
      <c r="M253">
        <v>4270.3959999999997</v>
      </c>
      <c r="N253">
        <v>6268.08</v>
      </c>
      <c r="O253">
        <v>4008.1600000000003</v>
      </c>
      <c r="AC253">
        <v>50718.148000000008</v>
      </c>
      <c r="AD253">
        <v>305038.03200000001</v>
      </c>
    </row>
    <row r="254" spans="1:30" x14ac:dyDescent="0.3">
      <c r="A254" t="s">
        <v>149</v>
      </c>
      <c r="B254">
        <v>0</v>
      </c>
      <c r="C254">
        <v>490.36000000000007</v>
      </c>
      <c r="D254">
        <v>1364.4800000000002</v>
      </c>
      <c r="E254">
        <v>1982.7600000000002</v>
      </c>
      <c r="F254">
        <v>3688.36</v>
      </c>
      <c r="G254">
        <v>5863.0000000000009</v>
      </c>
      <c r="H254">
        <v>5863.0000000000009</v>
      </c>
      <c r="I254">
        <v>5863.0000000000009</v>
      </c>
      <c r="J254">
        <v>2515.7600000000002</v>
      </c>
      <c r="K254">
        <v>4270.3959999999997</v>
      </c>
      <c r="L254">
        <v>4270.3959999999997</v>
      </c>
      <c r="M254">
        <v>4270.3959999999997</v>
      </c>
      <c r="N254">
        <v>6268.08</v>
      </c>
      <c r="O254">
        <v>4008.1600000000003</v>
      </c>
      <c r="P254">
        <v>6413.0559999999996</v>
      </c>
      <c r="AC254">
        <v>57131.204000000005</v>
      </c>
      <c r="AD254">
        <v>362169.23600000003</v>
      </c>
    </row>
    <row r="255" spans="1:30" x14ac:dyDescent="0.3">
      <c r="A255" t="s">
        <v>150</v>
      </c>
      <c r="B255">
        <v>0</v>
      </c>
      <c r="C255">
        <v>490.36000000000007</v>
      </c>
      <c r="D255">
        <v>1364.4800000000002</v>
      </c>
      <c r="E255">
        <v>1982.7600000000002</v>
      </c>
      <c r="F255">
        <v>3688.36</v>
      </c>
      <c r="G255">
        <v>5863.0000000000009</v>
      </c>
      <c r="H255">
        <v>5863.0000000000009</v>
      </c>
      <c r="I255">
        <v>5863.0000000000009</v>
      </c>
      <c r="J255">
        <v>2515.7600000000002</v>
      </c>
      <c r="K255">
        <v>4270.3959999999997</v>
      </c>
      <c r="L255">
        <v>4270.3959999999997</v>
      </c>
      <c r="M255">
        <v>4270.3959999999997</v>
      </c>
      <c r="N255">
        <v>6268.08</v>
      </c>
      <c r="O255">
        <v>4008.1600000000003</v>
      </c>
      <c r="P255">
        <v>6413.0559999999996</v>
      </c>
      <c r="Q255">
        <v>7142.2000000000007</v>
      </c>
      <c r="AC255">
        <v>64273.40400000001</v>
      </c>
      <c r="AD255">
        <v>426442.64</v>
      </c>
    </row>
    <row r="256" spans="1:30" x14ac:dyDescent="0.3">
      <c r="A256" t="s">
        <v>151</v>
      </c>
      <c r="B256">
        <v>0</v>
      </c>
      <c r="C256">
        <v>490.36000000000007</v>
      </c>
      <c r="D256">
        <v>1364.4800000000002</v>
      </c>
      <c r="E256">
        <v>1982.7600000000002</v>
      </c>
      <c r="F256">
        <v>3688.36</v>
      </c>
      <c r="G256">
        <v>5863.0000000000009</v>
      </c>
      <c r="H256">
        <v>5863.0000000000009</v>
      </c>
      <c r="I256">
        <v>5863.0000000000009</v>
      </c>
      <c r="J256">
        <v>2515.7600000000002</v>
      </c>
      <c r="K256">
        <v>4270.3959999999997</v>
      </c>
      <c r="L256">
        <v>4270.3959999999997</v>
      </c>
      <c r="M256">
        <v>4270.3959999999997</v>
      </c>
      <c r="N256">
        <v>6268.08</v>
      </c>
      <c r="O256">
        <v>4008.1600000000003</v>
      </c>
      <c r="P256">
        <v>6413.0559999999996</v>
      </c>
      <c r="Q256">
        <v>7142.2000000000007</v>
      </c>
      <c r="R256">
        <v>6459.9599999999991</v>
      </c>
      <c r="AC256">
        <v>70733.364000000001</v>
      </c>
      <c r="AD256">
        <v>497176.00400000002</v>
      </c>
    </row>
    <row r="257" spans="1:30" x14ac:dyDescent="0.3">
      <c r="A257" t="s">
        <v>152</v>
      </c>
      <c r="B257">
        <v>0</v>
      </c>
      <c r="C257">
        <v>490.36000000000007</v>
      </c>
      <c r="D257">
        <v>1364.4800000000002</v>
      </c>
      <c r="E257">
        <v>1982.7600000000002</v>
      </c>
      <c r="F257">
        <v>3688.36</v>
      </c>
      <c r="G257">
        <v>5863.0000000000009</v>
      </c>
      <c r="H257">
        <v>5863.0000000000009</v>
      </c>
      <c r="I257">
        <v>5863.0000000000009</v>
      </c>
      <c r="J257">
        <v>2515.7600000000002</v>
      </c>
      <c r="K257">
        <v>4270.3959999999997</v>
      </c>
      <c r="L257">
        <v>4270.3959999999997</v>
      </c>
      <c r="M257">
        <v>4270.3959999999997</v>
      </c>
      <c r="N257">
        <v>6268.08</v>
      </c>
      <c r="O257">
        <v>4008.1600000000003</v>
      </c>
      <c r="P257">
        <v>6413.0559999999996</v>
      </c>
      <c r="Q257">
        <v>7142.2000000000007</v>
      </c>
      <c r="R257">
        <v>6459.9599999999991</v>
      </c>
      <c r="S257">
        <v>7099.56</v>
      </c>
      <c r="AC257">
        <v>77832.923999999999</v>
      </c>
      <c r="AD257">
        <v>575008.92800000007</v>
      </c>
    </row>
    <row r="258" spans="1:30" x14ac:dyDescent="0.3">
      <c r="A258" t="s">
        <v>153</v>
      </c>
      <c r="B258">
        <v>0</v>
      </c>
      <c r="C258">
        <v>490.36000000000007</v>
      </c>
      <c r="D258">
        <v>1364.4800000000002</v>
      </c>
      <c r="E258">
        <v>1982.7600000000002</v>
      </c>
      <c r="F258">
        <v>3688.36</v>
      </c>
      <c r="G258">
        <v>5863.0000000000009</v>
      </c>
      <c r="H258">
        <v>5863.0000000000009</v>
      </c>
      <c r="I258">
        <v>5863.0000000000009</v>
      </c>
      <c r="J258">
        <v>2515.7600000000002</v>
      </c>
      <c r="K258">
        <v>4270.3959999999997</v>
      </c>
      <c r="L258">
        <v>4270.3959999999997</v>
      </c>
      <c r="M258">
        <v>4270.3959999999997</v>
      </c>
      <c r="N258">
        <v>6268.08</v>
      </c>
      <c r="O258">
        <v>4008.1600000000003</v>
      </c>
      <c r="P258">
        <v>6413.0559999999996</v>
      </c>
      <c r="Q258">
        <v>7142.2000000000007</v>
      </c>
      <c r="R258">
        <v>6459.9599999999991</v>
      </c>
      <c r="S258">
        <v>7099.56</v>
      </c>
      <c r="T258">
        <v>5031.5200000000004</v>
      </c>
      <c r="AC258">
        <v>82864.444000000003</v>
      </c>
      <c r="AD258">
        <v>657873.37200000009</v>
      </c>
    </row>
    <row r="259" spans="1:30" x14ac:dyDescent="0.3">
      <c r="A259" t="s">
        <v>154</v>
      </c>
      <c r="B259">
        <v>0</v>
      </c>
      <c r="C259">
        <v>490.36000000000007</v>
      </c>
      <c r="D259">
        <v>1364.4800000000002</v>
      </c>
      <c r="E259">
        <v>1982.7600000000002</v>
      </c>
      <c r="F259">
        <v>3688.36</v>
      </c>
      <c r="G259">
        <v>5863.0000000000009</v>
      </c>
      <c r="H259">
        <v>5863.0000000000009</v>
      </c>
      <c r="I259">
        <v>5863.0000000000009</v>
      </c>
      <c r="J259">
        <v>2515.7600000000002</v>
      </c>
      <c r="K259">
        <v>4270.3959999999997</v>
      </c>
      <c r="L259">
        <v>4270.3959999999997</v>
      </c>
      <c r="M259">
        <v>4270.3959999999997</v>
      </c>
      <c r="N259">
        <v>6268.08</v>
      </c>
      <c r="O259">
        <v>4008.1600000000003</v>
      </c>
      <c r="P259">
        <v>6413.0559999999996</v>
      </c>
      <c r="Q259">
        <v>7142.2000000000007</v>
      </c>
      <c r="R259">
        <v>6459.9599999999991</v>
      </c>
      <c r="S259">
        <v>7099.56</v>
      </c>
      <c r="T259">
        <v>5031.5200000000004</v>
      </c>
      <c r="U259">
        <v>2963.48</v>
      </c>
      <c r="AC259">
        <v>85827.923999999999</v>
      </c>
      <c r="AD259">
        <v>743701.29600000009</v>
      </c>
    </row>
    <row r="260" spans="1:30" x14ac:dyDescent="0.3">
      <c r="A260" t="s">
        <v>155</v>
      </c>
      <c r="B260">
        <v>0</v>
      </c>
      <c r="C260">
        <v>490.36000000000007</v>
      </c>
      <c r="D260">
        <v>1364.4800000000002</v>
      </c>
      <c r="E260">
        <v>1982.7600000000002</v>
      </c>
      <c r="F260">
        <v>3688.36</v>
      </c>
      <c r="G260">
        <v>5863.0000000000009</v>
      </c>
      <c r="H260">
        <v>5863.0000000000009</v>
      </c>
      <c r="I260">
        <v>5863.0000000000009</v>
      </c>
      <c r="J260">
        <v>2515.7600000000002</v>
      </c>
      <c r="K260">
        <v>4270.3959999999997</v>
      </c>
      <c r="L260">
        <v>4270.3959999999997</v>
      </c>
      <c r="M260">
        <v>4270.3959999999997</v>
      </c>
      <c r="N260">
        <v>6268.08</v>
      </c>
      <c r="O260">
        <v>4008.1600000000003</v>
      </c>
      <c r="P260">
        <v>6413.0559999999996</v>
      </c>
      <c r="Q260">
        <v>7142.2000000000007</v>
      </c>
      <c r="R260">
        <v>6459.9599999999991</v>
      </c>
      <c r="S260">
        <v>7099.56</v>
      </c>
      <c r="T260">
        <v>5031.5200000000004</v>
      </c>
      <c r="U260">
        <v>2963.48</v>
      </c>
      <c r="V260">
        <v>4775.68</v>
      </c>
      <c r="AC260">
        <v>90603.603999999992</v>
      </c>
      <c r="AD260">
        <v>834304.90000000014</v>
      </c>
    </row>
    <row r="261" spans="1:30" x14ac:dyDescent="0.3">
      <c r="A261" t="s">
        <v>156</v>
      </c>
      <c r="B261">
        <v>0</v>
      </c>
      <c r="C261">
        <v>490.36000000000007</v>
      </c>
      <c r="D261">
        <v>1364.4800000000002</v>
      </c>
      <c r="E261">
        <v>1982.7600000000002</v>
      </c>
      <c r="F261">
        <v>3688.36</v>
      </c>
      <c r="G261">
        <v>5863.0000000000009</v>
      </c>
      <c r="H261">
        <v>5863.0000000000009</v>
      </c>
      <c r="I261">
        <v>5863.0000000000009</v>
      </c>
      <c r="J261">
        <v>2515.7600000000002</v>
      </c>
      <c r="K261">
        <v>4270.3959999999997</v>
      </c>
      <c r="L261">
        <v>4270.3959999999997</v>
      </c>
      <c r="M261">
        <v>4270.3959999999997</v>
      </c>
      <c r="N261">
        <v>6268.08</v>
      </c>
      <c r="O261">
        <v>4008.1600000000003</v>
      </c>
      <c r="P261">
        <v>6413.0559999999996</v>
      </c>
      <c r="Q261">
        <v>7142.2000000000007</v>
      </c>
      <c r="R261">
        <v>6459.9599999999991</v>
      </c>
      <c r="S261">
        <v>7099.56</v>
      </c>
      <c r="T261">
        <v>5031.5200000000004</v>
      </c>
      <c r="U261">
        <v>2963.48</v>
      </c>
      <c r="V261">
        <v>4775.68</v>
      </c>
      <c r="W261">
        <v>5372.64</v>
      </c>
      <c r="AC261">
        <v>95976.243999999992</v>
      </c>
      <c r="AD261">
        <v>930281.14400000009</v>
      </c>
    </row>
    <row r="262" spans="1:30" x14ac:dyDescent="0.3">
      <c r="A262" t="s">
        <v>157</v>
      </c>
      <c r="B262">
        <v>0</v>
      </c>
      <c r="C262">
        <v>490.36000000000007</v>
      </c>
      <c r="D262">
        <v>1364.4800000000002</v>
      </c>
      <c r="E262">
        <v>1982.7600000000002</v>
      </c>
      <c r="F262">
        <v>3688.36</v>
      </c>
      <c r="G262">
        <v>5863.0000000000009</v>
      </c>
      <c r="H262">
        <v>5863.0000000000009</v>
      </c>
      <c r="I262">
        <v>5863.0000000000009</v>
      </c>
      <c r="J262">
        <v>2515.7600000000002</v>
      </c>
      <c r="K262">
        <v>4270.3959999999997</v>
      </c>
      <c r="L262">
        <v>4270.3959999999997</v>
      </c>
      <c r="M262">
        <v>4270.3959999999997</v>
      </c>
      <c r="N262">
        <v>6268.08</v>
      </c>
      <c r="O262">
        <v>4008.1600000000003</v>
      </c>
      <c r="P262">
        <v>6413.0559999999996</v>
      </c>
      <c r="Q262">
        <v>7142.2000000000007</v>
      </c>
      <c r="R262">
        <v>6459.9599999999991</v>
      </c>
      <c r="S262">
        <v>7099.56</v>
      </c>
      <c r="T262">
        <v>5031.5200000000004</v>
      </c>
      <c r="U262">
        <v>2963.48</v>
      </c>
      <c r="V262">
        <v>4775.68</v>
      </c>
      <c r="W262">
        <v>5372.64</v>
      </c>
      <c r="X262">
        <v>5820.36</v>
      </c>
      <c r="AC262">
        <v>101796.60399999999</v>
      </c>
      <c r="AD262">
        <v>1032077.7480000001</v>
      </c>
    </row>
    <row r="263" spans="1:30" x14ac:dyDescent="0.3">
      <c r="A263" t="s">
        <v>158</v>
      </c>
      <c r="B263">
        <v>0</v>
      </c>
      <c r="C263">
        <v>490.36000000000007</v>
      </c>
      <c r="D263">
        <v>1364.4800000000002</v>
      </c>
      <c r="E263">
        <v>1982.7600000000002</v>
      </c>
      <c r="F263">
        <v>3688.36</v>
      </c>
      <c r="G263">
        <v>5863.0000000000009</v>
      </c>
      <c r="H263">
        <v>5863.0000000000009</v>
      </c>
      <c r="I263">
        <v>5863.0000000000009</v>
      </c>
      <c r="J263">
        <v>2515.7600000000002</v>
      </c>
      <c r="K263">
        <v>4270.3959999999997</v>
      </c>
      <c r="L263">
        <v>4270.3959999999997</v>
      </c>
      <c r="M263">
        <v>4270.3959999999997</v>
      </c>
      <c r="N263">
        <v>6268.08</v>
      </c>
      <c r="O263">
        <v>4008.1600000000003</v>
      </c>
      <c r="P263">
        <v>6413.0559999999996</v>
      </c>
      <c r="Q263">
        <v>7142.2000000000007</v>
      </c>
      <c r="R263">
        <v>6459.9599999999991</v>
      </c>
      <c r="S263">
        <v>7099.56</v>
      </c>
      <c r="T263">
        <v>5031.5200000000004</v>
      </c>
      <c r="U263">
        <v>2963.48</v>
      </c>
      <c r="V263">
        <v>4775.68</v>
      </c>
      <c r="W263">
        <v>5372.64</v>
      </c>
      <c r="X263">
        <v>5820.36</v>
      </c>
      <c r="Y263">
        <v>4818.32</v>
      </c>
      <c r="AC263">
        <v>106614.924</v>
      </c>
      <c r="AD263">
        <v>1138692.6720000003</v>
      </c>
    </row>
    <row r="264" spans="1:30" x14ac:dyDescent="0.3">
      <c r="A264" t="s">
        <v>159</v>
      </c>
      <c r="B264">
        <v>0</v>
      </c>
      <c r="C264">
        <v>490.36000000000007</v>
      </c>
      <c r="D264">
        <v>1364.4800000000002</v>
      </c>
      <c r="E264">
        <v>1982.7600000000002</v>
      </c>
      <c r="F264">
        <v>3688.36</v>
      </c>
      <c r="G264">
        <v>5863.0000000000009</v>
      </c>
      <c r="H264">
        <v>5863.0000000000009</v>
      </c>
      <c r="I264">
        <v>5863.0000000000009</v>
      </c>
      <c r="J264">
        <v>2515.7600000000002</v>
      </c>
      <c r="K264">
        <v>4270.3959999999997</v>
      </c>
      <c r="L264">
        <v>4270.3959999999997</v>
      </c>
      <c r="M264">
        <v>4270.3959999999997</v>
      </c>
      <c r="N264">
        <v>6268.08</v>
      </c>
      <c r="O264">
        <v>4008.1600000000003</v>
      </c>
      <c r="P264">
        <v>6413.0559999999996</v>
      </c>
      <c r="Q264">
        <v>7142.2000000000007</v>
      </c>
      <c r="R264">
        <v>6459.9599999999991</v>
      </c>
      <c r="S264">
        <v>7099.56</v>
      </c>
      <c r="T264">
        <v>5031.5200000000004</v>
      </c>
      <c r="U264">
        <v>2963.48</v>
      </c>
      <c r="V264">
        <v>4775.68</v>
      </c>
      <c r="W264">
        <v>5372.64</v>
      </c>
      <c r="X264">
        <v>5820.36</v>
      </c>
      <c r="Y264">
        <v>4818.32</v>
      </c>
      <c r="Z264">
        <v>4519.84</v>
      </c>
      <c r="AC264">
        <v>111134.764</v>
      </c>
      <c r="AD264">
        <v>1249827.4360000002</v>
      </c>
    </row>
    <row r="265" spans="1:30" x14ac:dyDescent="0.3">
      <c r="A265" t="s">
        <v>160</v>
      </c>
      <c r="B265">
        <v>0</v>
      </c>
      <c r="C265">
        <v>490.36000000000007</v>
      </c>
      <c r="D265">
        <v>1364.4800000000002</v>
      </c>
      <c r="E265">
        <v>1982.7600000000002</v>
      </c>
      <c r="F265">
        <v>3688.36</v>
      </c>
      <c r="G265">
        <v>5863.0000000000009</v>
      </c>
      <c r="H265">
        <v>5863.0000000000009</v>
      </c>
      <c r="I265">
        <v>5863.0000000000009</v>
      </c>
      <c r="J265">
        <v>2515.7600000000002</v>
      </c>
      <c r="K265">
        <v>4270.3959999999997</v>
      </c>
      <c r="L265">
        <v>4270.3959999999997</v>
      </c>
      <c r="M265">
        <v>4270.3959999999997</v>
      </c>
      <c r="N265">
        <v>6268.08</v>
      </c>
      <c r="O265">
        <v>4008.1600000000003</v>
      </c>
      <c r="P265">
        <v>6413.0559999999996</v>
      </c>
      <c r="Q265">
        <v>7142.2000000000007</v>
      </c>
      <c r="R265">
        <v>6459.9599999999991</v>
      </c>
      <c r="S265">
        <v>7099.56</v>
      </c>
      <c r="T265">
        <v>5031.5200000000004</v>
      </c>
      <c r="U265">
        <v>2963.48</v>
      </c>
      <c r="V265">
        <v>4775.68</v>
      </c>
      <c r="W265">
        <v>5372.64</v>
      </c>
      <c r="X265">
        <v>5820.36</v>
      </c>
      <c r="Y265">
        <v>4818.32</v>
      </c>
      <c r="Z265">
        <v>4519.84</v>
      </c>
      <c r="AA265">
        <v>5841.68</v>
      </c>
      <c r="AC265">
        <v>116976.44399999999</v>
      </c>
      <c r="AD265">
        <v>1366803.8800000001</v>
      </c>
    </row>
    <row r="266" spans="1:30" x14ac:dyDescent="0.3">
      <c r="AC266">
        <v>1366803.8800000001</v>
      </c>
      <c r="AD266">
        <v>5016170.2396</v>
      </c>
    </row>
    <row r="267" spans="1:30" x14ac:dyDescent="0.3">
      <c r="AC267">
        <v>1.3668038800000002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AB671-70E2-446B-9362-B3E3BC44C2F0}">
  <dimension ref="A1:AA192"/>
  <sheetViews>
    <sheetView topLeftCell="C1" workbookViewId="0">
      <selection activeCell="C1" sqref="C1"/>
    </sheetView>
  </sheetViews>
  <sheetFormatPr defaultRowHeight="14.4" x14ac:dyDescent="0.3"/>
  <cols>
    <col min="1" max="1" width="44.88671875" customWidth="1"/>
    <col min="2" max="2" width="16.88671875" customWidth="1"/>
  </cols>
  <sheetData>
    <row r="1" spans="1:27" ht="15.6" x14ac:dyDescent="0.3">
      <c r="A1" t="s">
        <v>0</v>
      </c>
      <c r="B1" t="s">
        <v>1</v>
      </c>
      <c r="C1" t="s">
        <v>5</v>
      </c>
      <c r="G1" s="22" t="s">
        <v>202</v>
      </c>
      <c r="H1" s="6"/>
      <c r="I1" s="6"/>
      <c r="J1" s="6"/>
      <c r="K1" s="6"/>
      <c r="L1" s="6"/>
      <c r="M1" s="6"/>
      <c r="N1" s="6"/>
      <c r="T1" s="22" t="s">
        <v>203</v>
      </c>
      <c r="U1" s="6"/>
      <c r="V1" s="6"/>
      <c r="W1" s="6"/>
      <c r="X1" s="6"/>
      <c r="Y1" s="6"/>
      <c r="Z1" s="6"/>
      <c r="AA1" s="6"/>
    </row>
    <row r="2" spans="1:27" ht="15.6" x14ac:dyDescent="0.3">
      <c r="A2" t="s">
        <v>6</v>
      </c>
      <c r="B2" t="s">
        <v>7</v>
      </c>
      <c r="C2">
        <v>45.588000000000001</v>
      </c>
      <c r="G2" s="22" t="s">
        <v>204</v>
      </c>
      <c r="H2" s="6"/>
      <c r="I2" s="6"/>
      <c r="J2" s="6"/>
      <c r="K2" s="6"/>
      <c r="L2" s="6"/>
      <c r="M2" s="6"/>
      <c r="N2" s="6"/>
      <c r="T2" s="22" t="s">
        <v>204</v>
      </c>
      <c r="U2" s="6"/>
      <c r="V2" s="6"/>
      <c r="W2" s="6"/>
      <c r="X2" s="6"/>
      <c r="Y2" s="6"/>
      <c r="Z2" s="6"/>
      <c r="AA2" s="6"/>
    </row>
    <row r="3" spans="1:27" ht="15.6" x14ac:dyDescent="0.3">
      <c r="A3" t="s">
        <v>6</v>
      </c>
      <c r="B3" t="s">
        <v>8</v>
      </c>
      <c r="C3">
        <v>29.295000000000002</v>
      </c>
      <c r="G3" s="23" t="s">
        <v>205</v>
      </c>
      <c r="H3" s="6"/>
      <c r="I3" s="6"/>
      <c r="J3" s="6"/>
      <c r="K3" s="6"/>
      <c r="L3" s="6"/>
      <c r="M3" s="6"/>
      <c r="N3" s="6"/>
      <c r="T3" s="23" t="s">
        <v>205</v>
      </c>
      <c r="U3" s="6"/>
      <c r="V3" s="6"/>
      <c r="W3" s="6"/>
      <c r="X3" s="6"/>
      <c r="Y3" s="6"/>
      <c r="Z3" s="6"/>
      <c r="AA3" s="6"/>
    </row>
    <row r="4" spans="1:27" ht="15.6" x14ac:dyDescent="0.3">
      <c r="A4" t="s">
        <v>6</v>
      </c>
      <c r="B4" t="s">
        <v>7</v>
      </c>
      <c r="C4">
        <v>42.455999999999996</v>
      </c>
      <c r="G4" s="24" t="s">
        <v>206</v>
      </c>
      <c r="H4" s="6"/>
      <c r="I4" s="6"/>
      <c r="J4" s="6"/>
      <c r="K4" s="6"/>
      <c r="L4" s="6"/>
      <c r="M4" s="6"/>
      <c r="N4" s="6"/>
      <c r="T4" s="24" t="s">
        <v>207</v>
      </c>
      <c r="U4" s="6"/>
      <c r="V4" s="6"/>
      <c r="W4" s="6"/>
      <c r="X4" s="6"/>
      <c r="Y4" s="6"/>
      <c r="Z4" s="6"/>
      <c r="AA4" s="6"/>
    </row>
    <row r="5" spans="1:27" ht="15.6" x14ac:dyDescent="0.3">
      <c r="A5" t="s">
        <v>6</v>
      </c>
      <c r="B5" t="s">
        <v>8</v>
      </c>
      <c r="C5">
        <v>29.386500000000002</v>
      </c>
      <c r="G5" s="25" t="s">
        <v>208</v>
      </c>
      <c r="H5" s="6"/>
      <c r="I5" s="6"/>
      <c r="J5" s="6"/>
      <c r="K5" s="6"/>
      <c r="L5" s="6"/>
      <c r="M5" s="6"/>
      <c r="N5" s="6"/>
      <c r="T5" s="25" t="s">
        <v>209</v>
      </c>
      <c r="U5" s="6"/>
      <c r="V5" s="6"/>
      <c r="W5" s="6"/>
      <c r="X5" s="6"/>
      <c r="Y5" s="6"/>
      <c r="Z5" s="6"/>
      <c r="AA5" s="6"/>
    </row>
    <row r="6" spans="1:27" ht="15.6" x14ac:dyDescent="0.3">
      <c r="A6" t="s">
        <v>6</v>
      </c>
      <c r="B6" t="s">
        <v>7</v>
      </c>
      <c r="C6">
        <v>40.537499999999994</v>
      </c>
      <c r="G6" s="25" t="s">
        <v>210</v>
      </c>
      <c r="H6" s="6"/>
      <c r="I6" s="6"/>
      <c r="J6" s="6"/>
      <c r="K6" s="6"/>
      <c r="L6" s="6"/>
      <c r="M6" s="6"/>
      <c r="N6" s="6"/>
      <c r="T6" s="25" t="s">
        <v>211</v>
      </c>
      <c r="U6" s="6"/>
      <c r="V6" s="6"/>
      <c r="W6" s="6"/>
      <c r="X6" s="6"/>
      <c r="Y6" s="6"/>
      <c r="Z6" s="6"/>
      <c r="AA6" s="6"/>
    </row>
    <row r="7" spans="1:27" x14ac:dyDescent="0.3">
      <c r="A7" t="s">
        <v>6</v>
      </c>
      <c r="B7" t="s">
        <v>8</v>
      </c>
      <c r="C7">
        <v>34.32</v>
      </c>
      <c r="G7" s="4"/>
    </row>
    <row r="8" spans="1:27" x14ac:dyDescent="0.3">
      <c r="A8" t="s">
        <v>6</v>
      </c>
      <c r="B8" t="s">
        <v>7</v>
      </c>
      <c r="C8">
        <v>33.264000000000003</v>
      </c>
      <c r="G8" s="11"/>
    </row>
    <row r="9" spans="1:27" ht="15.6" x14ac:dyDescent="0.3">
      <c r="A9" t="s">
        <v>6</v>
      </c>
      <c r="B9" t="s">
        <v>8</v>
      </c>
      <c r="C9">
        <v>29.862000000000002</v>
      </c>
      <c r="G9" s="10" t="s">
        <v>212</v>
      </c>
      <c r="T9" s="12" t="s">
        <v>213</v>
      </c>
      <c r="U9" s="6"/>
      <c r="V9" s="6"/>
      <c r="W9" s="6"/>
      <c r="X9" s="6"/>
      <c r="Y9" s="6"/>
      <c r="Z9" s="6"/>
    </row>
    <row r="10" spans="1:27" ht="15.6" x14ac:dyDescent="0.3">
      <c r="A10" t="s">
        <v>6</v>
      </c>
      <c r="B10" t="s">
        <v>7</v>
      </c>
      <c r="C10">
        <v>53.298000000000002</v>
      </c>
      <c r="G10" s="10" t="s">
        <v>214</v>
      </c>
      <c r="T10" s="12" t="s">
        <v>215</v>
      </c>
      <c r="U10" s="6"/>
      <c r="V10" s="6"/>
      <c r="W10" s="6"/>
      <c r="X10" s="6"/>
      <c r="Y10" s="6"/>
      <c r="Z10" s="6"/>
    </row>
    <row r="11" spans="1:27" ht="15.6" x14ac:dyDescent="0.3">
      <c r="A11" t="s">
        <v>6</v>
      </c>
      <c r="B11" t="s">
        <v>8</v>
      </c>
      <c r="C11">
        <v>28.729500000000002</v>
      </c>
      <c r="G11" s="10" t="s">
        <v>216</v>
      </c>
      <c r="T11" s="13" t="s">
        <v>216</v>
      </c>
      <c r="U11" s="6"/>
      <c r="V11" s="6"/>
      <c r="W11" s="6"/>
      <c r="X11" s="6"/>
      <c r="Y11" s="6"/>
      <c r="Z11" s="6"/>
    </row>
    <row r="12" spans="1:27" ht="15.6" x14ac:dyDescent="0.3">
      <c r="A12" t="s">
        <v>6</v>
      </c>
      <c r="B12" t="s">
        <v>7</v>
      </c>
      <c r="C12">
        <v>45.934499999999993</v>
      </c>
      <c r="G12" s="1" t="s">
        <v>217</v>
      </c>
      <c r="T12" s="14" t="s">
        <v>218</v>
      </c>
      <c r="U12" s="6"/>
      <c r="V12" s="6"/>
      <c r="W12" s="6"/>
      <c r="X12" s="6"/>
      <c r="Y12" s="6"/>
      <c r="Z12" s="6"/>
    </row>
    <row r="13" spans="1:27" ht="15.6" x14ac:dyDescent="0.3">
      <c r="A13" t="s">
        <v>6</v>
      </c>
      <c r="B13" t="s">
        <v>8</v>
      </c>
      <c r="C13">
        <v>32.880000000000003</v>
      </c>
      <c r="G13" s="2" t="s">
        <v>219</v>
      </c>
      <c r="T13" s="15" t="s">
        <v>220</v>
      </c>
      <c r="U13" s="6"/>
      <c r="V13" s="6"/>
      <c r="W13" s="6"/>
      <c r="X13" s="6"/>
      <c r="Y13" s="6"/>
      <c r="Z13" s="6"/>
    </row>
    <row r="14" spans="1:27" ht="15.6" x14ac:dyDescent="0.3">
      <c r="A14" t="s">
        <v>6</v>
      </c>
      <c r="B14" t="s">
        <v>7</v>
      </c>
      <c r="C14">
        <v>35.640000000000008</v>
      </c>
      <c r="G14" s="3" t="s">
        <v>221</v>
      </c>
      <c r="T14" s="9" t="s">
        <v>222</v>
      </c>
      <c r="U14" s="6"/>
      <c r="V14" s="6"/>
      <c r="W14" s="6"/>
      <c r="X14" s="6"/>
      <c r="Y14" s="6"/>
      <c r="Z14" s="6"/>
    </row>
    <row r="15" spans="1:27" ht="15.6" x14ac:dyDescent="0.3">
      <c r="A15" t="s">
        <v>6</v>
      </c>
      <c r="B15" t="s">
        <v>8</v>
      </c>
      <c r="C15">
        <v>17.669999999999998</v>
      </c>
      <c r="G15" s="3" t="s">
        <v>223</v>
      </c>
      <c r="T15" s="9" t="s">
        <v>224</v>
      </c>
      <c r="U15" s="6"/>
      <c r="V15" s="6"/>
      <c r="W15" s="6"/>
      <c r="X15" s="6"/>
      <c r="Y15" s="6"/>
      <c r="Z15" s="6"/>
    </row>
    <row r="16" spans="1:27" x14ac:dyDescent="0.3">
      <c r="A16" t="s">
        <v>6</v>
      </c>
      <c r="B16" t="s">
        <v>7</v>
      </c>
      <c r="C16">
        <v>42.9495</v>
      </c>
      <c r="G16" s="3" t="s">
        <v>225</v>
      </c>
    </row>
    <row r="17" spans="1:7" x14ac:dyDescent="0.3">
      <c r="A17" t="s">
        <v>6</v>
      </c>
      <c r="B17" t="s">
        <v>8</v>
      </c>
      <c r="C17">
        <v>38.148000000000003</v>
      </c>
      <c r="G17" s="3" t="s">
        <v>226</v>
      </c>
    </row>
    <row r="18" spans="1:7" x14ac:dyDescent="0.3">
      <c r="A18" t="s">
        <v>6</v>
      </c>
      <c r="B18" t="s">
        <v>7</v>
      </c>
      <c r="C18">
        <v>33.146999999999998</v>
      </c>
    </row>
    <row r="19" spans="1:7" x14ac:dyDescent="0.3">
      <c r="A19" t="s">
        <v>6</v>
      </c>
      <c r="B19" t="s">
        <v>8</v>
      </c>
      <c r="C19">
        <v>32.174999999999997</v>
      </c>
    </row>
    <row r="20" spans="1:7" x14ac:dyDescent="0.3">
      <c r="A20" t="s">
        <v>6</v>
      </c>
      <c r="B20" t="s">
        <v>7</v>
      </c>
      <c r="C20">
        <v>44.212500000000006</v>
      </c>
    </row>
    <row r="21" spans="1:7" x14ac:dyDescent="0.3">
      <c r="A21" t="s">
        <v>6</v>
      </c>
      <c r="B21" t="s">
        <v>8</v>
      </c>
      <c r="C21">
        <v>34.881</v>
      </c>
    </row>
    <row r="22" spans="1:7" x14ac:dyDescent="0.3">
      <c r="A22" t="s">
        <v>6</v>
      </c>
      <c r="B22" t="s">
        <v>7</v>
      </c>
      <c r="C22">
        <v>45.198000000000008</v>
      </c>
    </row>
    <row r="23" spans="1:7" x14ac:dyDescent="0.3">
      <c r="A23" t="s">
        <v>6</v>
      </c>
      <c r="B23" t="s">
        <v>8</v>
      </c>
      <c r="C23">
        <v>29.266500000000004</v>
      </c>
    </row>
    <row r="24" spans="1:7" x14ac:dyDescent="0.3">
      <c r="A24" t="s">
        <v>6</v>
      </c>
      <c r="B24" t="s">
        <v>7</v>
      </c>
      <c r="C24">
        <v>40.897500000000001</v>
      </c>
    </row>
    <row r="25" spans="1:7" x14ac:dyDescent="0.3">
      <c r="A25" t="s">
        <v>6</v>
      </c>
      <c r="B25" t="s">
        <v>8</v>
      </c>
      <c r="C25">
        <v>27.139500000000002</v>
      </c>
    </row>
    <row r="26" spans="1:7" x14ac:dyDescent="0.3">
      <c r="A26" t="s">
        <v>6</v>
      </c>
      <c r="B26" t="s">
        <v>7</v>
      </c>
      <c r="C26">
        <v>42.432000000000002</v>
      </c>
    </row>
    <row r="27" spans="1:7" x14ac:dyDescent="0.3">
      <c r="A27" t="s">
        <v>6</v>
      </c>
      <c r="B27" t="s">
        <v>8</v>
      </c>
      <c r="C27">
        <v>27.972000000000001</v>
      </c>
      <c r="G27" s="4"/>
    </row>
    <row r="28" spans="1:7" x14ac:dyDescent="0.3">
      <c r="A28" t="s">
        <v>6</v>
      </c>
      <c r="B28" t="s">
        <v>7</v>
      </c>
      <c r="C28">
        <v>38.376000000000005</v>
      </c>
      <c r="G28" s="11" t="s">
        <v>227</v>
      </c>
    </row>
    <row r="29" spans="1:7" x14ac:dyDescent="0.3">
      <c r="A29" t="s">
        <v>6</v>
      </c>
      <c r="B29" t="s">
        <v>8</v>
      </c>
      <c r="C29">
        <v>32.782499999999999</v>
      </c>
    </row>
    <row r="30" spans="1:7" x14ac:dyDescent="0.3">
      <c r="A30" t="s">
        <v>6</v>
      </c>
      <c r="B30" t="s">
        <v>7</v>
      </c>
      <c r="C30">
        <v>40.295999999999999</v>
      </c>
    </row>
    <row r="31" spans="1:7" x14ac:dyDescent="0.3">
      <c r="A31" t="s">
        <v>6</v>
      </c>
      <c r="B31" t="s">
        <v>8</v>
      </c>
      <c r="C31">
        <v>27.810000000000002</v>
      </c>
    </row>
    <row r="32" spans="1:7" x14ac:dyDescent="0.3">
      <c r="A32" t="s">
        <v>6</v>
      </c>
      <c r="B32" t="s">
        <v>7</v>
      </c>
      <c r="C32">
        <v>45.086999999999996</v>
      </c>
    </row>
    <row r="33" spans="1:3" x14ac:dyDescent="0.3">
      <c r="A33" t="s">
        <v>6</v>
      </c>
      <c r="B33" t="s">
        <v>8</v>
      </c>
      <c r="C33">
        <v>36.430499999999995</v>
      </c>
    </row>
    <row r="34" spans="1:3" x14ac:dyDescent="0.3">
      <c r="A34" t="s">
        <v>6</v>
      </c>
      <c r="B34" t="s">
        <v>7</v>
      </c>
      <c r="C34">
        <v>44.050499999999992</v>
      </c>
    </row>
    <row r="35" spans="1:3" x14ac:dyDescent="0.3">
      <c r="A35" t="s">
        <v>6</v>
      </c>
      <c r="B35" t="s">
        <v>8</v>
      </c>
      <c r="C35">
        <v>35.741999999999997</v>
      </c>
    </row>
    <row r="36" spans="1:3" x14ac:dyDescent="0.3">
      <c r="A36" t="s">
        <v>6</v>
      </c>
      <c r="B36" t="s">
        <v>7</v>
      </c>
      <c r="C36">
        <v>45.36</v>
      </c>
    </row>
    <row r="37" spans="1:3" x14ac:dyDescent="0.3">
      <c r="A37" t="s">
        <v>6</v>
      </c>
      <c r="B37" t="s">
        <v>8</v>
      </c>
      <c r="C37">
        <v>33.5685</v>
      </c>
    </row>
    <row r="38" spans="1:3" x14ac:dyDescent="0.3">
      <c r="A38" t="s">
        <v>6</v>
      </c>
      <c r="B38" t="s">
        <v>7</v>
      </c>
      <c r="C38">
        <v>48.204000000000001</v>
      </c>
    </row>
    <row r="39" spans="1:3" x14ac:dyDescent="0.3">
      <c r="A39" t="s">
        <v>6</v>
      </c>
      <c r="B39" t="s">
        <v>8</v>
      </c>
      <c r="C39">
        <v>29.606999999999996</v>
      </c>
    </row>
    <row r="40" spans="1:3" x14ac:dyDescent="0.3">
      <c r="A40" t="s">
        <v>6</v>
      </c>
      <c r="B40" t="s">
        <v>7</v>
      </c>
      <c r="C40">
        <v>48.997499999999995</v>
      </c>
    </row>
    <row r="41" spans="1:3" x14ac:dyDescent="0.3">
      <c r="A41" t="s">
        <v>6</v>
      </c>
      <c r="B41" t="s">
        <v>8</v>
      </c>
      <c r="C41">
        <v>37.667999999999999</v>
      </c>
    </row>
    <row r="42" spans="1:3" x14ac:dyDescent="0.3">
      <c r="A42" t="s">
        <v>6</v>
      </c>
      <c r="B42" t="s">
        <v>7</v>
      </c>
      <c r="C42">
        <v>41.183999999999997</v>
      </c>
    </row>
    <row r="43" spans="1:3" x14ac:dyDescent="0.3">
      <c r="A43" t="s">
        <v>6</v>
      </c>
      <c r="B43" t="s">
        <v>8</v>
      </c>
      <c r="C43">
        <v>32.2575</v>
      </c>
    </row>
    <row r="44" spans="1:3" x14ac:dyDescent="0.3">
      <c r="A44" t="s">
        <v>6</v>
      </c>
      <c r="B44" t="s">
        <v>7</v>
      </c>
      <c r="C44">
        <v>52.298999999999992</v>
      </c>
    </row>
    <row r="45" spans="1:3" x14ac:dyDescent="0.3">
      <c r="A45" t="s">
        <v>6</v>
      </c>
      <c r="B45" t="s">
        <v>8</v>
      </c>
      <c r="C45">
        <v>31.62</v>
      </c>
    </row>
    <row r="46" spans="1:3" x14ac:dyDescent="0.3">
      <c r="A46" t="s">
        <v>6</v>
      </c>
      <c r="B46" t="s">
        <v>7</v>
      </c>
      <c r="C46">
        <v>57.212999999999994</v>
      </c>
    </row>
    <row r="47" spans="1:3" x14ac:dyDescent="0.3">
      <c r="A47" t="s">
        <v>6</v>
      </c>
      <c r="B47" t="s">
        <v>8</v>
      </c>
      <c r="C47">
        <v>37.169999999999995</v>
      </c>
    </row>
    <row r="48" spans="1:3" x14ac:dyDescent="0.3">
      <c r="A48" t="s">
        <v>6</v>
      </c>
      <c r="B48" t="s">
        <v>7</v>
      </c>
      <c r="C48">
        <v>53.286000000000001</v>
      </c>
    </row>
    <row r="49" spans="1:3" x14ac:dyDescent="0.3">
      <c r="A49" t="s">
        <v>6</v>
      </c>
      <c r="B49" t="s">
        <v>8</v>
      </c>
      <c r="C49">
        <v>30.673499999999997</v>
      </c>
    </row>
    <row r="50" spans="1:3" x14ac:dyDescent="0.3">
      <c r="A50" t="s">
        <v>12</v>
      </c>
      <c r="B50" t="s">
        <v>7</v>
      </c>
      <c r="C50">
        <v>47.064</v>
      </c>
    </row>
    <row r="51" spans="1:3" x14ac:dyDescent="0.3">
      <c r="A51" t="s">
        <v>12</v>
      </c>
      <c r="B51" t="s">
        <v>8</v>
      </c>
      <c r="C51">
        <v>35.392499999999998</v>
      </c>
    </row>
    <row r="52" spans="1:3" x14ac:dyDescent="0.3">
      <c r="A52" t="s">
        <v>12</v>
      </c>
      <c r="B52" t="s">
        <v>7</v>
      </c>
      <c r="C52">
        <v>45.24</v>
      </c>
    </row>
    <row r="53" spans="1:3" x14ac:dyDescent="0.3">
      <c r="A53" t="s">
        <v>12</v>
      </c>
      <c r="B53" t="s">
        <v>8</v>
      </c>
      <c r="C53">
        <v>28.365000000000002</v>
      </c>
    </row>
    <row r="54" spans="1:3" x14ac:dyDescent="0.3">
      <c r="A54" t="s">
        <v>12</v>
      </c>
      <c r="B54" t="s">
        <v>7</v>
      </c>
      <c r="C54">
        <v>42.432000000000002</v>
      </c>
    </row>
    <row r="55" spans="1:3" x14ac:dyDescent="0.3">
      <c r="A55" t="s">
        <v>12</v>
      </c>
      <c r="B55" t="s">
        <v>8</v>
      </c>
      <c r="C55">
        <v>29.07</v>
      </c>
    </row>
    <row r="56" spans="1:3" x14ac:dyDescent="0.3">
      <c r="A56" t="s">
        <v>12</v>
      </c>
      <c r="B56" t="s">
        <v>7</v>
      </c>
      <c r="C56">
        <v>34.56</v>
      </c>
    </row>
    <row r="57" spans="1:3" x14ac:dyDescent="0.3">
      <c r="A57" t="s">
        <v>12</v>
      </c>
      <c r="B57" t="s">
        <v>8</v>
      </c>
      <c r="C57">
        <v>24.702000000000002</v>
      </c>
    </row>
    <row r="58" spans="1:3" x14ac:dyDescent="0.3">
      <c r="A58" t="s">
        <v>12</v>
      </c>
      <c r="B58" t="s">
        <v>7</v>
      </c>
      <c r="C58">
        <v>49.760999999999996</v>
      </c>
    </row>
    <row r="59" spans="1:3" x14ac:dyDescent="0.3">
      <c r="A59" t="s">
        <v>12</v>
      </c>
      <c r="B59" t="s">
        <v>8</v>
      </c>
      <c r="C59">
        <v>29.403000000000002</v>
      </c>
    </row>
    <row r="60" spans="1:3" x14ac:dyDescent="0.3">
      <c r="A60" t="s">
        <v>12</v>
      </c>
      <c r="B60" t="s">
        <v>7</v>
      </c>
      <c r="C60">
        <v>45.616500000000002</v>
      </c>
    </row>
    <row r="61" spans="1:3" x14ac:dyDescent="0.3">
      <c r="A61" t="s">
        <v>12</v>
      </c>
      <c r="B61" t="s">
        <v>8</v>
      </c>
      <c r="C61">
        <v>36.635999999999996</v>
      </c>
    </row>
    <row r="62" spans="1:3" x14ac:dyDescent="0.3">
      <c r="A62" t="s">
        <v>12</v>
      </c>
      <c r="B62" t="s">
        <v>7</v>
      </c>
      <c r="C62">
        <v>44.82</v>
      </c>
    </row>
    <row r="63" spans="1:3" x14ac:dyDescent="0.3">
      <c r="A63" t="s">
        <v>12</v>
      </c>
      <c r="B63" t="s">
        <v>8</v>
      </c>
      <c r="C63">
        <v>29.132999999999996</v>
      </c>
    </row>
    <row r="64" spans="1:3" x14ac:dyDescent="0.3">
      <c r="A64" t="s">
        <v>12</v>
      </c>
      <c r="B64" t="s">
        <v>7</v>
      </c>
      <c r="C64">
        <v>39.375</v>
      </c>
    </row>
    <row r="65" spans="1:3" x14ac:dyDescent="0.3">
      <c r="A65" t="s">
        <v>12</v>
      </c>
      <c r="B65" t="s">
        <v>8</v>
      </c>
      <c r="C65">
        <v>22.907999999999998</v>
      </c>
    </row>
    <row r="66" spans="1:3" x14ac:dyDescent="0.3">
      <c r="A66" t="s">
        <v>12</v>
      </c>
      <c r="B66" t="s">
        <v>7</v>
      </c>
      <c r="C66">
        <v>44.421000000000006</v>
      </c>
    </row>
    <row r="67" spans="1:3" x14ac:dyDescent="0.3">
      <c r="A67" t="s">
        <v>12</v>
      </c>
      <c r="B67" t="s">
        <v>8</v>
      </c>
      <c r="C67">
        <v>29.463000000000001</v>
      </c>
    </row>
    <row r="68" spans="1:3" x14ac:dyDescent="0.3">
      <c r="A68" t="s">
        <v>12</v>
      </c>
      <c r="B68" t="s">
        <v>7</v>
      </c>
      <c r="C68">
        <v>36.431999999999995</v>
      </c>
    </row>
    <row r="69" spans="1:3" x14ac:dyDescent="0.3">
      <c r="A69" t="s">
        <v>12</v>
      </c>
      <c r="B69" t="s">
        <v>8</v>
      </c>
      <c r="C69">
        <v>24.881999999999998</v>
      </c>
    </row>
    <row r="70" spans="1:3" x14ac:dyDescent="0.3">
      <c r="A70" t="s">
        <v>12</v>
      </c>
      <c r="B70" t="s">
        <v>7</v>
      </c>
      <c r="C70">
        <v>45.742499999999993</v>
      </c>
    </row>
    <row r="71" spans="1:3" x14ac:dyDescent="0.3">
      <c r="A71" t="s">
        <v>12</v>
      </c>
      <c r="B71" t="s">
        <v>8</v>
      </c>
      <c r="C71">
        <v>23.763000000000002</v>
      </c>
    </row>
    <row r="72" spans="1:3" x14ac:dyDescent="0.3">
      <c r="A72" t="s">
        <v>12</v>
      </c>
      <c r="B72" t="s">
        <v>7</v>
      </c>
      <c r="C72">
        <v>39.139499999999998</v>
      </c>
    </row>
    <row r="73" spans="1:3" x14ac:dyDescent="0.3">
      <c r="A73" t="s">
        <v>12</v>
      </c>
      <c r="B73" t="s">
        <v>7</v>
      </c>
      <c r="C73">
        <v>40.365000000000002</v>
      </c>
    </row>
    <row r="74" spans="1:3" x14ac:dyDescent="0.3">
      <c r="A74" t="s">
        <v>12</v>
      </c>
      <c r="B74" t="s">
        <v>8</v>
      </c>
      <c r="C74">
        <v>22.968</v>
      </c>
    </row>
    <row r="75" spans="1:3" x14ac:dyDescent="0.3">
      <c r="A75" t="s">
        <v>12</v>
      </c>
      <c r="B75" t="s">
        <v>7</v>
      </c>
      <c r="C75">
        <v>41.467500000000001</v>
      </c>
    </row>
    <row r="76" spans="1:3" x14ac:dyDescent="0.3">
      <c r="A76" t="s">
        <v>12</v>
      </c>
      <c r="B76" t="s">
        <v>8</v>
      </c>
      <c r="C76">
        <v>28.4955</v>
      </c>
    </row>
    <row r="77" spans="1:3" x14ac:dyDescent="0.3">
      <c r="A77" t="s">
        <v>12</v>
      </c>
      <c r="B77" t="s">
        <v>7</v>
      </c>
      <c r="C77">
        <v>41.085000000000008</v>
      </c>
    </row>
    <row r="78" spans="1:3" x14ac:dyDescent="0.3">
      <c r="A78" t="s">
        <v>12</v>
      </c>
      <c r="B78" t="s">
        <v>8</v>
      </c>
      <c r="C78">
        <v>26.044499999999999</v>
      </c>
    </row>
    <row r="79" spans="1:3" x14ac:dyDescent="0.3">
      <c r="A79" t="s">
        <v>12</v>
      </c>
      <c r="B79" t="s">
        <v>7</v>
      </c>
      <c r="C79">
        <v>43.623000000000005</v>
      </c>
    </row>
    <row r="80" spans="1:3" x14ac:dyDescent="0.3">
      <c r="A80" t="s">
        <v>12</v>
      </c>
      <c r="B80" t="s">
        <v>8</v>
      </c>
      <c r="C80">
        <v>31.200000000000003</v>
      </c>
    </row>
    <row r="81" spans="1:3" x14ac:dyDescent="0.3">
      <c r="A81" t="s">
        <v>12</v>
      </c>
      <c r="B81" t="s">
        <v>7</v>
      </c>
      <c r="C81">
        <v>46.214999999999996</v>
      </c>
    </row>
    <row r="82" spans="1:3" x14ac:dyDescent="0.3">
      <c r="A82" t="s">
        <v>12</v>
      </c>
      <c r="B82" t="s">
        <v>8</v>
      </c>
      <c r="C82">
        <v>39.127500000000005</v>
      </c>
    </row>
    <row r="83" spans="1:3" x14ac:dyDescent="0.3">
      <c r="A83" t="s">
        <v>12</v>
      </c>
      <c r="B83" t="s">
        <v>7</v>
      </c>
      <c r="C83">
        <v>34.342500000000001</v>
      </c>
    </row>
    <row r="84" spans="1:3" x14ac:dyDescent="0.3">
      <c r="A84" t="s">
        <v>12</v>
      </c>
      <c r="B84" t="s">
        <v>8</v>
      </c>
      <c r="C84">
        <v>22.797000000000001</v>
      </c>
    </row>
    <row r="85" spans="1:3" x14ac:dyDescent="0.3">
      <c r="A85" t="s">
        <v>12</v>
      </c>
      <c r="B85" t="s">
        <v>7</v>
      </c>
      <c r="C85">
        <v>35.0625</v>
      </c>
    </row>
    <row r="86" spans="1:3" x14ac:dyDescent="0.3">
      <c r="A86" t="s">
        <v>12</v>
      </c>
      <c r="B86" t="s">
        <v>7</v>
      </c>
      <c r="C86">
        <v>52.974000000000004</v>
      </c>
    </row>
    <row r="87" spans="1:3" x14ac:dyDescent="0.3">
      <c r="A87" t="s">
        <v>12</v>
      </c>
      <c r="B87" t="s">
        <v>8</v>
      </c>
      <c r="C87">
        <v>37.440000000000005</v>
      </c>
    </row>
    <row r="88" spans="1:3" x14ac:dyDescent="0.3">
      <c r="A88" t="s">
        <v>12</v>
      </c>
      <c r="B88" t="s">
        <v>7</v>
      </c>
      <c r="C88">
        <v>36.161999999999999</v>
      </c>
    </row>
    <row r="89" spans="1:3" x14ac:dyDescent="0.3">
      <c r="A89" t="s">
        <v>12</v>
      </c>
      <c r="B89" t="s">
        <v>8</v>
      </c>
      <c r="C89">
        <v>24.533999999999999</v>
      </c>
    </row>
    <row r="90" spans="1:3" x14ac:dyDescent="0.3">
      <c r="A90" t="s">
        <v>12</v>
      </c>
      <c r="B90" t="s">
        <v>7</v>
      </c>
      <c r="C90">
        <v>44.1</v>
      </c>
    </row>
    <row r="91" spans="1:3" x14ac:dyDescent="0.3">
      <c r="A91" t="s">
        <v>12</v>
      </c>
      <c r="B91" t="s">
        <v>8</v>
      </c>
      <c r="C91">
        <v>36.119999999999997</v>
      </c>
    </row>
    <row r="92" spans="1:3" x14ac:dyDescent="0.3">
      <c r="A92" t="s">
        <v>12</v>
      </c>
      <c r="B92" t="s">
        <v>7</v>
      </c>
      <c r="C92">
        <v>43.456499999999998</v>
      </c>
    </row>
    <row r="93" spans="1:3" x14ac:dyDescent="0.3">
      <c r="A93" t="s">
        <v>12</v>
      </c>
      <c r="B93" t="s">
        <v>8</v>
      </c>
      <c r="C93">
        <v>29.862000000000002</v>
      </c>
    </row>
    <row r="94" spans="1:3" x14ac:dyDescent="0.3">
      <c r="A94" t="s">
        <v>12</v>
      </c>
      <c r="B94" t="s">
        <v>7</v>
      </c>
      <c r="C94">
        <v>47.481000000000002</v>
      </c>
    </row>
    <row r="95" spans="1:3" x14ac:dyDescent="0.3">
      <c r="A95" t="s">
        <v>14</v>
      </c>
      <c r="B95" t="s">
        <v>7</v>
      </c>
      <c r="C95">
        <v>29.095499999999998</v>
      </c>
    </row>
    <row r="96" spans="1:3" x14ac:dyDescent="0.3">
      <c r="A96" t="s">
        <v>14</v>
      </c>
      <c r="B96" t="s">
        <v>8</v>
      </c>
      <c r="C96">
        <v>30.654</v>
      </c>
    </row>
    <row r="97" spans="1:3" x14ac:dyDescent="0.3">
      <c r="A97" t="s">
        <v>14</v>
      </c>
      <c r="B97" t="s">
        <v>7</v>
      </c>
      <c r="C97">
        <v>29.765999999999995</v>
      </c>
    </row>
    <row r="98" spans="1:3" x14ac:dyDescent="0.3">
      <c r="A98" t="s">
        <v>14</v>
      </c>
      <c r="B98" t="s">
        <v>8</v>
      </c>
      <c r="C98">
        <v>26.04</v>
      </c>
    </row>
    <row r="99" spans="1:3" x14ac:dyDescent="0.3">
      <c r="A99" t="s">
        <v>14</v>
      </c>
      <c r="B99" t="s">
        <v>7</v>
      </c>
      <c r="C99">
        <v>29.337</v>
      </c>
    </row>
    <row r="100" spans="1:3" x14ac:dyDescent="0.3">
      <c r="A100" t="s">
        <v>14</v>
      </c>
      <c r="B100" t="s">
        <v>8</v>
      </c>
      <c r="C100">
        <v>21.955500000000001</v>
      </c>
    </row>
    <row r="101" spans="1:3" x14ac:dyDescent="0.3">
      <c r="A101" t="s">
        <v>14</v>
      </c>
      <c r="B101" t="s">
        <v>7</v>
      </c>
      <c r="C101">
        <v>30.340499999999999</v>
      </c>
    </row>
    <row r="102" spans="1:3" x14ac:dyDescent="0.3">
      <c r="A102" t="s">
        <v>14</v>
      </c>
      <c r="B102" t="s">
        <v>8</v>
      </c>
      <c r="C102">
        <v>26.780999999999999</v>
      </c>
    </row>
    <row r="103" spans="1:3" x14ac:dyDescent="0.3">
      <c r="A103" t="s">
        <v>14</v>
      </c>
      <c r="B103" t="s">
        <v>7</v>
      </c>
      <c r="C103">
        <v>37.321499999999993</v>
      </c>
    </row>
    <row r="104" spans="1:3" x14ac:dyDescent="0.3">
      <c r="A104" t="s">
        <v>14</v>
      </c>
      <c r="B104" t="s">
        <v>8</v>
      </c>
      <c r="C104">
        <v>25.152000000000001</v>
      </c>
    </row>
    <row r="105" spans="1:3" x14ac:dyDescent="0.3">
      <c r="A105" t="s">
        <v>14</v>
      </c>
      <c r="B105" t="s">
        <v>7</v>
      </c>
      <c r="C105">
        <v>33.022499999999994</v>
      </c>
    </row>
    <row r="106" spans="1:3" x14ac:dyDescent="0.3">
      <c r="A106" t="s">
        <v>14</v>
      </c>
      <c r="B106" t="s">
        <v>8</v>
      </c>
      <c r="C106">
        <v>36.252000000000002</v>
      </c>
    </row>
    <row r="107" spans="1:3" x14ac:dyDescent="0.3">
      <c r="A107" t="s">
        <v>14</v>
      </c>
      <c r="B107" t="s">
        <v>7</v>
      </c>
      <c r="C107">
        <v>33.579000000000001</v>
      </c>
    </row>
    <row r="108" spans="1:3" x14ac:dyDescent="0.3">
      <c r="A108" t="s">
        <v>14</v>
      </c>
      <c r="B108" t="s">
        <v>8</v>
      </c>
      <c r="C108">
        <v>21.533999999999999</v>
      </c>
    </row>
    <row r="109" spans="1:3" x14ac:dyDescent="0.3">
      <c r="A109" t="s">
        <v>14</v>
      </c>
      <c r="B109" t="s">
        <v>7</v>
      </c>
      <c r="C109">
        <v>8.2079999999999984</v>
      </c>
    </row>
    <row r="110" spans="1:3" x14ac:dyDescent="0.3">
      <c r="A110" t="s">
        <v>14</v>
      </c>
      <c r="B110" t="s">
        <v>7</v>
      </c>
      <c r="C110">
        <v>49.95</v>
      </c>
    </row>
    <row r="111" spans="1:3" x14ac:dyDescent="0.3">
      <c r="A111" t="s">
        <v>14</v>
      </c>
      <c r="B111" t="s">
        <v>8</v>
      </c>
      <c r="C111">
        <v>33.264000000000003</v>
      </c>
    </row>
    <row r="112" spans="1:3" x14ac:dyDescent="0.3">
      <c r="A112" t="s">
        <v>14</v>
      </c>
      <c r="B112" t="s">
        <v>7</v>
      </c>
      <c r="C112">
        <v>15.007499999999999</v>
      </c>
    </row>
    <row r="113" spans="1:3" x14ac:dyDescent="0.3">
      <c r="A113" t="s">
        <v>14</v>
      </c>
      <c r="B113" t="s">
        <v>8</v>
      </c>
      <c r="C113">
        <v>17.343</v>
      </c>
    </row>
    <row r="114" spans="1:3" x14ac:dyDescent="0.3">
      <c r="A114" t="s">
        <v>14</v>
      </c>
      <c r="B114" t="s">
        <v>7</v>
      </c>
      <c r="C114">
        <v>28.087500000000002</v>
      </c>
    </row>
    <row r="115" spans="1:3" x14ac:dyDescent="0.3">
      <c r="A115" t="s">
        <v>14</v>
      </c>
      <c r="B115" t="s">
        <v>8</v>
      </c>
      <c r="C115">
        <v>13.965</v>
      </c>
    </row>
    <row r="116" spans="1:3" x14ac:dyDescent="0.3">
      <c r="A116" t="s">
        <v>14</v>
      </c>
      <c r="B116" t="s">
        <v>7</v>
      </c>
      <c r="C116">
        <v>30.942000000000004</v>
      </c>
    </row>
    <row r="117" spans="1:3" x14ac:dyDescent="0.3">
      <c r="A117" t="s">
        <v>14</v>
      </c>
      <c r="B117" t="s">
        <v>8</v>
      </c>
      <c r="C117">
        <v>33</v>
      </c>
    </row>
    <row r="118" spans="1:3" x14ac:dyDescent="0.3">
      <c r="A118" t="s">
        <v>14</v>
      </c>
      <c r="B118" t="s">
        <v>7</v>
      </c>
      <c r="C118">
        <v>30.186</v>
      </c>
    </row>
    <row r="119" spans="1:3" x14ac:dyDescent="0.3">
      <c r="A119" t="s">
        <v>14</v>
      </c>
      <c r="B119" t="s">
        <v>8</v>
      </c>
      <c r="C119">
        <v>29.821499999999997</v>
      </c>
    </row>
    <row r="120" spans="1:3" x14ac:dyDescent="0.3">
      <c r="A120" t="s">
        <v>14</v>
      </c>
      <c r="B120" t="s">
        <v>7</v>
      </c>
      <c r="C120">
        <v>30.972000000000001</v>
      </c>
    </row>
    <row r="121" spans="1:3" x14ac:dyDescent="0.3">
      <c r="A121" t="s">
        <v>14</v>
      </c>
      <c r="B121" t="s">
        <v>8</v>
      </c>
      <c r="C121">
        <v>29.735999999999997</v>
      </c>
    </row>
    <row r="122" spans="1:3" x14ac:dyDescent="0.3">
      <c r="A122" t="s">
        <v>14</v>
      </c>
      <c r="B122" t="s">
        <v>7</v>
      </c>
      <c r="C122">
        <v>28.95</v>
      </c>
    </row>
    <row r="123" spans="1:3" x14ac:dyDescent="0.3">
      <c r="A123" t="s">
        <v>14</v>
      </c>
      <c r="B123" t="s">
        <v>8</v>
      </c>
      <c r="C123">
        <v>24.235500000000002</v>
      </c>
    </row>
    <row r="124" spans="1:3" x14ac:dyDescent="0.3">
      <c r="A124" t="s">
        <v>14</v>
      </c>
      <c r="B124" t="s">
        <v>7</v>
      </c>
      <c r="C124">
        <v>18.391500000000004</v>
      </c>
    </row>
    <row r="125" spans="1:3" x14ac:dyDescent="0.3">
      <c r="A125" t="s">
        <v>14</v>
      </c>
      <c r="B125" t="s">
        <v>8</v>
      </c>
      <c r="C125">
        <v>35.298000000000002</v>
      </c>
    </row>
    <row r="126" spans="1:3" x14ac:dyDescent="0.3">
      <c r="A126" t="s">
        <v>14</v>
      </c>
      <c r="B126" t="s">
        <v>7</v>
      </c>
      <c r="C126">
        <v>29.853000000000002</v>
      </c>
    </row>
    <row r="127" spans="1:3" x14ac:dyDescent="0.3">
      <c r="A127" t="s">
        <v>14</v>
      </c>
      <c r="B127" t="s">
        <v>8</v>
      </c>
      <c r="C127">
        <v>29.527500000000003</v>
      </c>
    </row>
    <row r="128" spans="1:3" x14ac:dyDescent="0.3">
      <c r="A128" t="s">
        <v>14</v>
      </c>
      <c r="B128" t="s">
        <v>7</v>
      </c>
      <c r="C128">
        <v>31.475999999999999</v>
      </c>
    </row>
    <row r="129" spans="1:3" x14ac:dyDescent="0.3">
      <c r="A129" t="s">
        <v>14</v>
      </c>
      <c r="B129" t="s">
        <v>8</v>
      </c>
      <c r="C129">
        <v>33.247500000000002</v>
      </c>
    </row>
    <row r="130" spans="1:3" x14ac:dyDescent="0.3">
      <c r="A130" t="s">
        <v>14</v>
      </c>
      <c r="B130" t="s">
        <v>7</v>
      </c>
      <c r="C130">
        <v>32.763000000000005</v>
      </c>
    </row>
    <row r="131" spans="1:3" x14ac:dyDescent="0.3">
      <c r="A131" t="s">
        <v>14</v>
      </c>
      <c r="B131" t="s">
        <v>8</v>
      </c>
      <c r="C131">
        <v>31.310999999999996</v>
      </c>
    </row>
    <row r="132" spans="1:3" x14ac:dyDescent="0.3">
      <c r="A132" t="s">
        <v>14</v>
      </c>
      <c r="B132" t="s">
        <v>7</v>
      </c>
      <c r="C132">
        <v>36.017999999999994</v>
      </c>
    </row>
    <row r="133" spans="1:3" x14ac:dyDescent="0.3">
      <c r="A133" t="s">
        <v>14</v>
      </c>
      <c r="B133" t="s">
        <v>8</v>
      </c>
      <c r="C133">
        <v>31.746000000000002</v>
      </c>
    </row>
    <row r="134" spans="1:3" x14ac:dyDescent="0.3">
      <c r="A134" t="s">
        <v>14</v>
      </c>
      <c r="B134" t="s">
        <v>7</v>
      </c>
      <c r="C134">
        <v>32.706000000000003</v>
      </c>
    </row>
    <row r="135" spans="1:3" x14ac:dyDescent="0.3">
      <c r="A135" t="s">
        <v>14</v>
      </c>
      <c r="B135" t="s">
        <v>8</v>
      </c>
      <c r="C135">
        <v>36.635999999999996</v>
      </c>
    </row>
    <row r="136" spans="1:3" x14ac:dyDescent="0.3">
      <c r="A136" t="s">
        <v>14</v>
      </c>
      <c r="B136" t="s">
        <v>7</v>
      </c>
      <c r="C136">
        <v>31.432499999999997</v>
      </c>
    </row>
    <row r="137" spans="1:3" x14ac:dyDescent="0.3">
      <c r="A137" t="s">
        <v>14</v>
      </c>
      <c r="B137" t="s">
        <v>8</v>
      </c>
      <c r="C137">
        <v>21.024000000000001</v>
      </c>
    </row>
    <row r="138" spans="1:3" x14ac:dyDescent="0.3">
      <c r="A138" t="s">
        <v>14</v>
      </c>
      <c r="B138" t="s">
        <v>7</v>
      </c>
      <c r="C138">
        <v>23.134499999999999</v>
      </c>
    </row>
    <row r="139" spans="1:3" x14ac:dyDescent="0.3">
      <c r="A139" t="s">
        <v>14</v>
      </c>
      <c r="B139" t="s">
        <v>8</v>
      </c>
      <c r="C139">
        <v>30.491999999999997</v>
      </c>
    </row>
    <row r="140" spans="1:3" x14ac:dyDescent="0.3">
      <c r="A140" t="s">
        <v>14</v>
      </c>
      <c r="B140" t="s">
        <v>7</v>
      </c>
      <c r="C140">
        <v>36.155999999999999</v>
      </c>
    </row>
    <row r="141" spans="1:3" x14ac:dyDescent="0.3">
      <c r="A141" t="s">
        <v>14</v>
      </c>
      <c r="B141" t="s">
        <v>8</v>
      </c>
      <c r="C141">
        <v>29.386500000000002</v>
      </c>
    </row>
    <row r="142" spans="1:3" x14ac:dyDescent="0.3">
      <c r="A142" t="s">
        <v>14</v>
      </c>
      <c r="B142" t="s">
        <v>7</v>
      </c>
      <c r="C142">
        <v>34.748999999999995</v>
      </c>
    </row>
    <row r="143" spans="1:3" x14ac:dyDescent="0.3">
      <c r="A143" t="s">
        <v>14</v>
      </c>
      <c r="B143" t="s">
        <v>8</v>
      </c>
      <c r="C143">
        <v>33.506999999999998</v>
      </c>
    </row>
    <row r="144" spans="1:3" x14ac:dyDescent="0.3">
      <c r="A144" t="s">
        <v>14</v>
      </c>
      <c r="B144" t="s">
        <v>7</v>
      </c>
      <c r="C144">
        <v>29.151</v>
      </c>
    </row>
    <row r="145" spans="1:3" x14ac:dyDescent="0.3">
      <c r="A145" t="s">
        <v>14</v>
      </c>
      <c r="B145" t="s">
        <v>8</v>
      </c>
      <c r="C145">
        <v>23.904</v>
      </c>
    </row>
    <row r="146" spans="1:3" x14ac:dyDescent="0.3">
      <c r="A146" t="s">
        <v>14</v>
      </c>
      <c r="B146" t="s">
        <v>7</v>
      </c>
      <c r="C146">
        <v>31.875</v>
      </c>
    </row>
    <row r="147" spans="1:3" x14ac:dyDescent="0.3">
      <c r="A147" t="s">
        <v>14</v>
      </c>
      <c r="B147" t="s">
        <v>8</v>
      </c>
      <c r="C147">
        <v>30.608999999999998</v>
      </c>
    </row>
    <row r="148" spans="1:3" x14ac:dyDescent="0.3">
      <c r="A148" t="s">
        <v>14</v>
      </c>
      <c r="B148" t="s">
        <v>7</v>
      </c>
      <c r="C148">
        <v>26.964000000000002</v>
      </c>
    </row>
    <row r="149" spans="1:3" x14ac:dyDescent="0.3">
      <c r="A149" t="s">
        <v>14</v>
      </c>
      <c r="B149" t="s">
        <v>8</v>
      </c>
      <c r="C149">
        <v>23.476500000000001</v>
      </c>
    </row>
    <row r="150" spans="1:3" x14ac:dyDescent="0.3">
      <c r="A150" t="s">
        <v>14</v>
      </c>
      <c r="B150" t="s">
        <v>7</v>
      </c>
      <c r="C150">
        <v>28.314</v>
      </c>
    </row>
    <row r="151" spans="1:3" x14ac:dyDescent="0.3">
      <c r="A151" t="s">
        <v>14</v>
      </c>
      <c r="B151" t="s">
        <v>8</v>
      </c>
      <c r="C151">
        <v>29.952000000000002</v>
      </c>
    </row>
    <row r="152" spans="1:3" x14ac:dyDescent="0.3">
      <c r="A152" t="s">
        <v>14</v>
      </c>
      <c r="B152" t="s">
        <v>7</v>
      </c>
      <c r="C152">
        <v>34.559999999999995</v>
      </c>
    </row>
    <row r="153" spans="1:3" x14ac:dyDescent="0.3">
      <c r="A153" t="s">
        <v>14</v>
      </c>
      <c r="B153" t="s">
        <v>8</v>
      </c>
      <c r="C153">
        <v>30.857999999999997</v>
      </c>
    </row>
    <row r="154" spans="1:3" x14ac:dyDescent="0.3">
      <c r="A154" t="s">
        <v>14</v>
      </c>
      <c r="B154" t="s">
        <v>7</v>
      </c>
      <c r="C154">
        <v>28.98</v>
      </c>
    </row>
    <row r="155" spans="1:3" x14ac:dyDescent="0.3">
      <c r="A155" t="s">
        <v>14</v>
      </c>
      <c r="B155" t="s">
        <v>8</v>
      </c>
      <c r="C155">
        <v>29.0625</v>
      </c>
    </row>
    <row r="156" spans="1:3" x14ac:dyDescent="0.3">
      <c r="A156" t="s">
        <v>14</v>
      </c>
      <c r="B156" t="s">
        <v>7</v>
      </c>
      <c r="C156">
        <v>33.601500000000001</v>
      </c>
    </row>
    <row r="157" spans="1:3" x14ac:dyDescent="0.3">
      <c r="A157" t="s">
        <v>14</v>
      </c>
      <c r="B157" t="s">
        <v>8</v>
      </c>
      <c r="C157">
        <v>33.247500000000002</v>
      </c>
    </row>
    <row r="158" spans="1:3" x14ac:dyDescent="0.3">
      <c r="A158" t="s">
        <v>14</v>
      </c>
      <c r="B158" t="s">
        <v>7</v>
      </c>
      <c r="C158">
        <v>34.020000000000003</v>
      </c>
    </row>
    <row r="159" spans="1:3" x14ac:dyDescent="0.3">
      <c r="A159" t="s">
        <v>14</v>
      </c>
      <c r="B159" t="s">
        <v>8</v>
      </c>
      <c r="C159">
        <v>31.063499999999998</v>
      </c>
    </row>
    <row r="160" spans="1:3" x14ac:dyDescent="0.3">
      <c r="A160" t="s">
        <v>14</v>
      </c>
      <c r="B160" t="s">
        <v>7</v>
      </c>
      <c r="C160">
        <v>32.04</v>
      </c>
    </row>
    <row r="161" spans="1:3" x14ac:dyDescent="0.3">
      <c r="A161" t="s">
        <v>14</v>
      </c>
      <c r="B161" t="s">
        <v>8</v>
      </c>
      <c r="C161">
        <v>30.618000000000006</v>
      </c>
    </row>
    <row r="162" spans="1:3" x14ac:dyDescent="0.3">
      <c r="A162" t="s">
        <v>14</v>
      </c>
      <c r="B162" t="s">
        <v>7</v>
      </c>
      <c r="C162">
        <v>35.112000000000002</v>
      </c>
    </row>
    <row r="163" spans="1:3" x14ac:dyDescent="0.3">
      <c r="A163" t="s">
        <v>14</v>
      </c>
      <c r="B163" t="s">
        <v>8</v>
      </c>
      <c r="C163">
        <v>30.9375</v>
      </c>
    </row>
    <row r="164" spans="1:3" x14ac:dyDescent="0.3">
      <c r="A164" t="s">
        <v>14</v>
      </c>
      <c r="B164" t="s">
        <v>7</v>
      </c>
      <c r="C164">
        <v>29.484000000000002</v>
      </c>
    </row>
    <row r="165" spans="1:3" x14ac:dyDescent="0.3">
      <c r="A165" t="s">
        <v>14</v>
      </c>
      <c r="B165" t="s">
        <v>8</v>
      </c>
      <c r="C165">
        <v>25.152000000000001</v>
      </c>
    </row>
    <row r="166" spans="1:3" x14ac:dyDescent="0.3">
      <c r="A166" t="s">
        <v>14</v>
      </c>
      <c r="B166" t="s">
        <v>7</v>
      </c>
      <c r="C166">
        <v>30</v>
      </c>
    </row>
    <row r="167" spans="1:3" x14ac:dyDescent="0.3">
      <c r="A167" t="s">
        <v>14</v>
      </c>
      <c r="B167" t="s">
        <v>8</v>
      </c>
      <c r="C167">
        <v>23.1</v>
      </c>
    </row>
    <row r="168" spans="1:3" x14ac:dyDescent="0.3">
      <c r="A168" t="s">
        <v>14</v>
      </c>
      <c r="B168" t="s">
        <v>7</v>
      </c>
      <c r="C168">
        <v>17.549999999999997</v>
      </c>
    </row>
    <row r="169" spans="1:3" x14ac:dyDescent="0.3">
      <c r="A169" t="s">
        <v>14</v>
      </c>
      <c r="B169" t="s">
        <v>8</v>
      </c>
      <c r="C169">
        <v>29.189999999999998</v>
      </c>
    </row>
    <row r="170" spans="1:3" x14ac:dyDescent="0.3">
      <c r="A170" t="s">
        <v>14</v>
      </c>
      <c r="B170" t="s">
        <v>7</v>
      </c>
      <c r="C170">
        <v>27.017999999999997</v>
      </c>
    </row>
    <row r="171" spans="1:3" x14ac:dyDescent="0.3">
      <c r="A171" t="s">
        <v>14</v>
      </c>
      <c r="B171" t="s">
        <v>8</v>
      </c>
      <c r="C171">
        <v>28.356000000000002</v>
      </c>
    </row>
    <row r="172" spans="1:3" x14ac:dyDescent="0.3">
      <c r="A172" t="s">
        <v>14</v>
      </c>
      <c r="B172" t="s">
        <v>7</v>
      </c>
      <c r="C172">
        <v>35.878499999999995</v>
      </c>
    </row>
    <row r="173" spans="1:3" x14ac:dyDescent="0.3">
      <c r="A173" t="s">
        <v>14</v>
      </c>
      <c r="B173" t="s">
        <v>8</v>
      </c>
      <c r="C173">
        <v>13.768500000000003</v>
      </c>
    </row>
    <row r="174" spans="1:3" x14ac:dyDescent="0.3">
      <c r="A174" t="s">
        <v>14</v>
      </c>
      <c r="B174" t="s">
        <v>7</v>
      </c>
      <c r="C174">
        <v>36.322499999999998</v>
      </c>
    </row>
    <row r="175" spans="1:3" x14ac:dyDescent="0.3">
      <c r="A175" t="s">
        <v>14</v>
      </c>
      <c r="B175" t="s">
        <v>8</v>
      </c>
      <c r="C175">
        <v>24.961500000000001</v>
      </c>
    </row>
    <row r="176" spans="1:3" x14ac:dyDescent="0.3">
      <c r="A176" t="s">
        <v>14</v>
      </c>
      <c r="B176" t="s">
        <v>7</v>
      </c>
      <c r="C176">
        <v>31.3125</v>
      </c>
    </row>
    <row r="177" spans="1:3" x14ac:dyDescent="0.3">
      <c r="A177" t="s">
        <v>14</v>
      </c>
      <c r="B177" t="s">
        <v>8</v>
      </c>
      <c r="C177">
        <v>32.400000000000006</v>
      </c>
    </row>
    <row r="178" spans="1:3" x14ac:dyDescent="0.3">
      <c r="A178" t="s">
        <v>14</v>
      </c>
      <c r="B178" t="s">
        <v>7</v>
      </c>
      <c r="C178">
        <v>38.963999999999999</v>
      </c>
    </row>
    <row r="179" spans="1:3" x14ac:dyDescent="0.3">
      <c r="A179" t="s">
        <v>14</v>
      </c>
      <c r="B179" t="s">
        <v>8</v>
      </c>
      <c r="C179">
        <v>30.324000000000005</v>
      </c>
    </row>
    <row r="180" spans="1:3" x14ac:dyDescent="0.3">
      <c r="A180" t="s">
        <v>14</v>
      </c>
      <c r="B180" t="s">
        <v>7</v>
      </c>
      <c r="C180">
        <v>33.344999999999999</v>
      </c>
    </row>
    <row r="181" spans="1:3" x14ac:dyDescent="0.3">
      <c r="A181" t="s">
        <v>14</v>
      </c>
      <c r="B181" t="s">
        <v>8</v>
      </c>
      <c r="C181">
        <v>23.329500000000003</v>
      </c>
    </row>
    <row r="182" spans="1:3" x14ac:dyDescent="0.3">
      <c r="A182" t="s">
        <v>14</v>
      </c>
      <c r="B182" t="s">
        <v>7</v>
      </c>
      <c r="C182">
        <v>27.772499999999997</v>
      </c>
    </row>
    <row r="183" spans="1:3" x14ac:dyDescent="0.3">
      <c r="A183" t="s">
        <v>14</v>
      </c>
      <c r="B183" t="s">
        <v>8</v>
      </c>
      <c r="C183">
        <v>32.076000000000008</v>
      </c>
    </row>
    <row r="184" spans="1:3" x14ac:dyDescent="0.3">
      <c r="A184" t="s">
        <v>14</v>
      </c>
      <c r="B184" t="s">
        <v>7</v>
      </c>
      <c r="C184">
        <v>34.176000000000002</v>
      </c>
    </row>
    <row r="185" spans="1:3" x14ac:dyDescent="0.3">
      <c r="A185" t="s">
        <v>14</v>
      </c>
      <c r="B185" t="s">
        <v>8</v>
      </c>
      <c r="C185">
        <v>29.362500000000001</v>
      </c>
    </row>
    <row r="186" spans="1:3" x14ac:dyDescent="0.3">
      <c r="A186" t="s">
        <v>14</v>
      </c>
      <c r="B186" t="s">
        <v>7</v>
      </c>
      <c r="C186">
        <v>35.802</v>
      </c>
    </row>
    <row r="187" spans="1:3" x14ac:dyDescent="0.3">
      <c r="A187" t="s">
        <v>14</v>
      </c>
      <c r="B187" t="s">
        <v>8</v>
      </c>
      <c r="C187">
        <v>31.395000000000007</v>
      </c>
    </row>
    <row r="188" spans="1:3" x14ac:dyDescent="0.3">
      <c r="A188" t="s">
        <v>14</v>
      </c>
      <c r="B188" t="s">
        <v>7</v>
      </c>
      <c r="C188">
        <v>27.074999999999999</v>
      </c>
    </row>
    <row r="189" spans="1:3" x14ac:dyDescent="0.3">
      <c r="A189" t="s">
        <v>14</v>
      </c>
      <c r="B189" t="s">
        <v>8</v>
      </c>
      <c r="C189">
        <v>30.187499999999996</v>
      </c>
    </row>
    <row r="192" spans="1:3" x14ac:dyDescent="0.3">
      <c r="A192" t="s">
        <v>228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BAA9A-2202-4C33-9FF1-B0DF0C8462C9}">
  <dimension ref="A1:R287"/>
  <sheetViews>
    <sheetView workbookViewId="0">
      <selection activeCell="B9" sqref="B9"/>
    </sheetView>
  </sheetViews>
  <sheetFormatPr defaultRowHeight="14.4" x14ac:dyDescent="0.3"/>
  <sheetData>
    <row r="1" spans="1:18" ht="15.6" x14ac:dyDescent="0.3">
      <c r="A1" t="s">
        <v>0</v>
      </c>
      <c r="B1" t="s">
        <v>1</v>
      </c>
      <c r="C1" t="s">
        <v>5</v>
      </c>
      <c r="I1" t="s">
        <v>0</v>
      </c>
      <c r="J1" t="s">
        <v>1</v>
      </c>
      <c r="K1" t="s">
        <v>5</v>
      </c>
      <c r="N1" s="12" t="s">
        <v>229</v>
      </c>
      <c r="O1" s="6"/>
      <c r="P1" s="6"/>
      <c r="Q1" s="6"/>
      <c r="R1" s="6"/>
    </row>
    <row r="2" spans="1:18" ht="15.6" x14ac:dyDescent="0.3">
      <c r="A2" t="s">
        <v>6</v>
      </c>
      <c r="B2" t="s">
        <v>7</v>
      </c>
      <c r="C2">
        <v>45.588000000000001</v>
      </c>
      <c r="D2">
        <v>74.882999999999996</v>
      </c>
      <c r="I2" t="s">
        <v>230</v>
      </c>
      <c r="J2" t="s">
        <v>36</v>
      </c>
      <c r="K2">
        <v>74.882999999999996</v>
      </c>
      <c r="N2" s="13" t="s">
        <v>204</v>
      </c>
      <c r="O2" s="6"/>
      <c r="P2" s="6"/>
      <c r="Q2" s="6"/>
      <c r="R2" s="6"/>
    </row>
    <row r="3" spans="1:18" ht="15.6" x14ac:dyDescent="0.3">
      <c r="A3" t="s">
        <v>6</v>
      </c>
      <c r="B3" t="s">
        <v>8</v>
      </c>
      <c r="C3">
        <v>29.295000000000002</v>
      </c>
      <c r="I3" t="s">
        <v>231</v>
      </c>
      <c r="J3" t="s">
        <v>36</v>
      </c>
      <c r="K3">
        <v>71.842500000000001</v>
      </c>
      <c r="N3" s="14" t="s">
        <v>205</v>
      </c>
      <c r="O3" s="6"/>
      <c r="P3" s="6"/>
      <c r="Q3" s="6"/>
      <c r="R3" s="6"/>
    </row>
    <row r="4" spans="1:18" ht="15.6" x14ac:dyDescent="0.3">
      <c r="C4">
        <f>C2+C3</f>
        <v>74.88300000000001</v>
      </c>
      <c r="I4" t="s">
        <v>232</v>
      </c>
      <c r="J4" t="s">
        <v>36</v>
      </c>
      <c r="K4">
        <v>74.857499999999987</v>
      </c>
      <c r="N4" s="15" t="s">
        <v>233</v>
      </c>
      <c r="O4" s="6"/>
      <c r="P4" s="6"/>
      <c r="Q4" s="6"/>
      <c r="R4" s="6"/>
    </row>
    <row r="5" spans="1:18" ht="15.6" x14ac:dyDescent="0.3">
      <c r="A5" t="s">
        <v>6</v>
      </c>
      <c r="B5" t="s">
        <v>7</v>
      </c>
      <c r="C5">
        <v>42.455999999999996</v>
      </c>
      <c r="D5">
        <v>71.842500000000001</v>
      </c>
      <c r="I5" t="s">
        <v>234</v>
      </c>
      <c r="J5" t="s">
        <v>36</v>
      </c>
      <c r="K5">
        <v>63.126000000000005</v>
      </c>
      <c r="N5" s="9" t="s">
        <v>235</v>
      </c>
      <c r="O5" s="6"/>
      <c r="P5" s="6"/>
      <c r="Q5" s="6"/>
      <c r="R5" s="6"/>
    </row>
    <row r="6" spans="1:18" ht="15.6" x14ac:dyDescent="0.3">
      <c r="A6" t="s">
        <v>6</v>
      </c>
      <c r="B6" t="s">
        <v>8</v>
      </c>
      <c r="C6">
        <v>29.386500000000002</v>
      </c>
      <c r="I6" t="s">
        <v>236</v>
      </c>
      <c r="J6" t="s">
        <v>36</v>
      </c>
      <c r="K6">
        <v>82.027500000000003</v>
      </c>
      <c r="N6" s="9" t="s">
        <v>237</v>
      </c>
      <c r="O6" s="6"/>
      <c r="P6" s="6"/>
      <c r="Q6" s="6"/>
      <c r="R6" s="6"/>
    </row>
    <row r="7" spans="1:18" ht="15.6" x14ac:dyDescent="0.3">
      <c r="C7">
        <f>C5+C6</f>
        <v>71.842500000000001</v>
      </c>
      <c r="I7" t="s">
        <v>238</v>
      </c>
      <c r="J7" t="s">
        <v>36</v>
      </c>
      <c r="K7">
        <v>78.814499999999995</v>
      </c>
      <c r="N7" s="6"/>
      <c r="O7" s="6"/>
      <c r="P7" s="6"/>
      <c r="Q7" s="6"/>
      <c r="R7" s="6"/>
    </row>
    <row r="8" spans="1:18" x14ac:dyDescent="0.3">
      <c r="A8" t="s">
        <v>6</v>
      </c>
      <c r="B8" t="s">
        <v>7</v>
      </c>
      <c r="C8">
        <v>40.537500000000001</v>
      </c>
      <c r="D8">
        <v>74.857499999999987</v>
      </c>
      <c r="I8" t="s">
        <v>239</v>
      </c>
      <c r="J8" t="s">
        <v>36</v>
      </c>
      <c r="K8">
        <v>53.31</v>
      </c>
    </row>
    <row r="9" spans="1:18" x14ac:dyDescent="0.3">
      <c r="A9" t="s">
        <v>6</v>
      </c>
      <c r="B9" t="s">
        <v>8</v>
      </c>
      <c r="C9">
        <v>34.32</v>
      </c>
      <c r="I9" t="s">
        <v>240</v>
      </c>
      <c r="J9" t="s">
        <v>36</v>
      </c>
      <c r="K9">
        <v>81.097499999999997</v>
      </c>
    </row>
    <row r="10" spans="1:18" x14ac:dyDescent="0.3">
      <c r="C10">
        <f>C8+C9</f>
        <v>74.857500000000002</v>
      </c>
      <c r="I10" t="s">
        <v>241</v>
      </c>
      <c r="J10" t="s">
        <v>36</v>
      </c>
      <c r="K10">
        <v>65.322000000000003</v>
      </c>
    </row>
    <row r="11" spans="1:18" x14ac:dyDescent="0.3">
      <c r="A11" t="s">
        <v>6</v>
      </c>
      <c r="B11" t="s">
        <v>7</v>
      </c>
      <c r="C11">
        <v>33.264000000000003</v>
      </c>
      <c r="D11">
        <v>63.126000000000005</v>
      </c>
      <c r="I11" t="s">
        <v>242</v>
      </c>
      <c r="J11" t="s">
        <v>36</v>
      </c>
      <c r="K11">
        <v>79.093500000000006</v>
      </c>
    </row>
    <row r="12" spans="1:18" x14ac:dyDescent="0.3">
      <c r="A12" t="s">
        <v>6</v>
      </c>
      <c r="B12" t="s">
        <v>8</v>
      </c>
      <c r="C12">
        <v>29.862000000000002</v>
      </c>
      <c r="I12" t="s">
        <v>243</v>
      </c>
      <c r="J12" t="s">
        <v>36</v>
      </c>
      <c r="K12">
        <v>74.464500000000015</v>
      </c>
    </row>
    <row r="13" spans="1:18" x14ac:dyDescent="0.3">
      <c r="C13">
        <f>C11+C12</f>
        <v>63.126000000000005</v>
      </c>
      <c r="I13" t="s">
        <v>244</v>
      </c>
      <c r="J13" t="s">
        <v>36</v>
      </c>
      <c r="K13">
        <v>68.037000000000006</v>
      </c>
    </row>
    <row r="14" spans="1:18" x14ac:dyDescent="0.3">
      <c r="A14" t="s">
        <v>6</v>
      </c>
      <c r="B14" t="s">
        <v>7</v>
      </c>
      <c r="C14">
        <v>53.298000000000002</v>
      </c>
      <c r="D14">
        <v>82.027500000000003</v>
      </c>
      <c r="I14" t="s">
        <v>245</v>
      </c>
      <c r="J14" t="s">
        <v>36</v>
      </c>
      <c r="K14">
        <v>70.403999999999996</v>
      </c>
    </row>
    <row r="15" spans="1:18" x14ac:dyDescent="0.3">
      <c r="A15" t="s">
        <v>6</v>
      </c>
      <c r="B15" t="s">
        <v>8</v>
      </c>
      <c r="C15">
        <v>28.729500000000002</v>
      </c>
      <c r="I15" t="s">
        <v>246</v>
      </c>
      <c r="J15" t="s">
        <v>36</v>
      </c>
      <c r="K15">
        <v>71.158500000000004</v>
      </c>
    </row>
    <row r="16" spans="1:18" x14ac:dyDescent="0.3">
      <c r="C16">
        <f>C14+C15</f>
        <v>82.027500000000003</v>
      </c>
      <c r="I16" t="s">
        <v>247</v>
      </c>
      <c r="J16" t="s">
        <v>36</v>
      </c>
      <c r="K16">
        <v>68.105999999999995</v>
      </c>
    </row>
    <row r="17" spans="1:11" x14ac:dyDescent="0.3">
      <c r="A17" t="s">
        <v>6</v>
      </c>
      <c r="B17" t="s">
        <v>7</v>
      </c>
      <c r="C17">
        <v>45.934499999999993</v>
      </c>
      <c r="D17">
        <v>78.814499999999995</v>
      </c>
      <c r="I17" t="s">
        <v>248</v>
      </c>
      <c r="J17" t="s">
        <v>36</v>
      </c>
      <c r="K17">
        <v>81.517499999999984</v>
      </c>
    </row>
    <row r="18" spans="1:11" x14ac:dyDescent="0.3">
      <c r="A18" t="s">
        <v>6</v>
      </c>
      <c r="B18" t="s">
        <v>8</v>
      </c>
      <c r="C18">
        <v>32.880000000000003</v>
      </c>
      <c r="I18" t="s">
        <v>249</v>
      </c>
      <c r="J18" t="s">
        <v>36</v>
      </c>
      <c r="K18">
        <v>79.79249999999999</v>
      </c>
    </row>
    <row r="19" spans="1:11" x14ac:dyDescent="0.3">
      <c r="C19">
        <f>C17+C18</f>
        <v>78.814499999999995</v>
      </c>
      <c r="I19" t="s">
        <v>250</v>
      </c>
      <c r="J19" t="s">
        <v>36</v>
      </c>
      <c r="K19">
        <v>78.9285</v>
      </c>
    </row>
    <row r="20" spans="1:11" x14ac:dyDescent="0.3">
      <c r="A20" t="s">
        <v>6</v>
      </c>
      <c r="B20" t="s">
        <v>7</v>
      </c>
      <c r="C20">
        <v>35.640000000000008</v>
      </c>
      <c r="D20">
        <v>53.31</v>
      </c>
      <c r="I20" t="s">
        <v>251</v>
      </c>
      <c r="J20" t="s">
        <v>36</v>
      </c>
      <c r="K20">
        <v>77.810999999999993</v>
      </c>
    </row>
    <row r="21" spans="1:11" x14ac:dyDescent="0.3">
      <c r="A21" t="s">
        <v>6</v>
      </c>
      <c r="B21" t="s">
        <v>8</v>
      </c>
      <c r="C21">
        <v>17.669999999999998</v>
      </c>
      <c r="I21" t="s">
        <v>252</v>
      </c>
      <c r="J21" t="s">
        <v>36</v>
      </c>
      <c r="K21">
        <v>86.665499999999994</v>
      </c>
    </row>
    <row r="22" spans="1:11" x14ac:dyDescent="0.3">
      <c r="C22">
        <f>C20+C21</f>
        <v>53.31</v>
      </c>
      <c r="I22" t="s">
        <v>253</v>
      </c>
      <c r="J22" t="s">
        <v>36</v>
      </c>
      <c r="K22">
        <v>73.441499999999991</v>
      </c>
    </row>
    <row r="23" spans="1:11" x14ac:dyDescent="0.3">
      <c r="A23" t="s">
        <v>6</v>
      </c>
      <c r="B23" t="s">
        <v>7</v>
      </c>
      <c r="C23">
        <v>42.9495</v>
      </c>
      <c r="D23">
        <v>81.097499999999997</v>
      </c>
      <c r="I23" t="s">
        <v>254</v>
      </c>
      <c r="J23" t="s">
        <v>36</v>
      </c>
      <c r="K23">
        <v>83.918999999999997</v>
      </c>
    </row>
    <row r="24" spans="1:11" x14ac:dyDescent="0.3">
      <c r="A24" t="s">
        <v>6</v>
      </c>
      <c r="B24" t="s">
        <v>8</v>
      </c>
      <c r="C24">
        <v>38.148000000000003</v>
      </c>
      <c r="I24" t="s">
        <v>255</v>
      </c>
      <c r="J24" t="s">
        <v>36</v>
      </c>
      <c r="K24">
        <v>94.382999999999981</v>
      </c>
    </row>
    <row r="25" spans="1:11" x14ac:dyDescent="0.3">
      <c r="C25">
        <f>C23+C24</f>
        <v>81.097499999999997</v>
      </c>
      <c r="I25" t="s">
        <v>256</v>
      </c>
      <c r="J25" t="s">
        <v>36</v>
      </c>
      <c r="K25">
        <v>83.959499999999991</v>
      </c>
    </row>
    <row r="26" spans="1:11" x14ac:dyDescent="0.3">
      <c r="A26" t="s">
        <v>6</v>
      </c>
      <c r="B26" t="s">
        <v>7</v>
      </c>
      <c r="C26">
        <v>33.146999999999998</v>
      </c>
      <c r="D26">
        <v>65.322000000000003</v>
      </c>
      <c r="I26" t="s">
        <v>257</v>
      </c>
      <c r="J26" t="s">
        <v>36</v>
      </c>
      <c r="K26">
        <v>82.456500000000005</v>
      </c>
    </row>
    <row r="27" spans="1:11" x14ac:dyDescent="0.3">
      <c r="A27" t="s">
        <v>6</v>
      </c>
      <c r="B27" t="s">
        <v>8</v>
      </c>
      <c r="C27">
        <v>32.174999999999997</v>
      </c>
      <c r="I27" t="s">
        <v>258</v>
      </c>
      <c r="J27" t="s">
        <v>36</v>
      </c>
      <c r="K27">
        <v>73.605000000000004</v>
      </c>
    </row>
    <row r="28" spans="1:11" x14ac:dyDescent="0.3">
      <c r="C28">
        <f>C26+C27</f>
        <v>65.322000000000003</v>
      </c>
      <c r="I28" t="s">
        <v>259</v>
      </c>
      <c r="J28" t="s">
        <v>36</v>
      </c>
      <c r="K28">
        <v>71.50200000000001</v>
      </c>
    </row>
    <row r="29" spans="1:11" x14ac:dyDescent="0.3">
      <c r="A29" t="s">
        <v>6</v>
      </c>
      <c r="B29" t="s">
        <v>7</v>
      </c>
      <c r="C29">
        <v>44.212500000000006</v>
      </c>
      <c r="D29">
        <v>79.093500000000006</v>
      </c>
      <c r="I29" t="s">
        <v>260</v>
      </c>
      <c r="J29" t="s">
        <v>36</v>
      </c>
      <c r="K29">
        <v>59.262</v>
      </c>
    </row>
    <row r="30" spans="1:11" x14ac:dyDescent="0.3">
      <c r="A30" t="s">
        <v>6</v>
      </c>
      <c r="B30" t="s">
        <v>8</v>
      </c>
      <c r="C30">
        <v>34.881</v>
      </c>
      <c r="I30" t="s">
        <v>261</v>
      </c>
      <c r="J30" t="s">
        <v>36</v>
      </c>
      <c r="K30">
        <v>79.164000000000001</v>
      </c>
    </row>
    <row r="31" spans="1:11" x14ac:dyDescent="0.3">
      <c r="C31">
        <f>C29+C30</f>
        <v>79.093500000000006</v>
      </c>
      <c r="I31" t="s">
        <v>262</v>
      </c>
      <c r="J31" t="s">
        <v>36</v>
      </c>
      <c r="K31">
        <v>82.252499999999998</v>
      </c>
    </row>
    <row r="32" spans="1:11" x14ac:dyDescent="0.3">
      <c r="A32" t="s">
        <v>6</v>
      </c>
      <c r="B32" t="s">
        <v>7</v>
      </c>
      <c r="C32">
        <v>45.198000000000008</v>
      </c>
      <c r="D32">
        <v>74.464500000000015</v>
      </c>
      <c r="I32" t="s">
        <v>263</v>
      </c>
      <c r="J32" t="s">
        <v>36</v>
      </c>
      <c r="K32">
        <v>73.953000000000003</v>
      </c>
    </row>
    <row r="33" spans="1:11" x14ac:dyDescent="0.3">
      <c r="A33" t="s">
        <v>6</v>
      </c>
      <c r="B33" t="s">
        <v>8</v>
      </c>
      <c r="C33">
        <v>29.266500000000004</v>
      </c>
      <c r="I33" t="s">
        <v>264</v>
      </c>
      <c r="J33" t="s">
        <v>36</v>
      </c>
      <c r="K33">
        <v>62.283000000000001</v>
      </c>
    </row>
    <row r="34" spans="1:11" x14ac:dyDescent="0.3">
      <c r="C34">
        <f>C32+C33</f>
        <v>74.464500000000015</v>
      </c>
      <c r="I34" t="s">
        <v>265</v>
      </c>
      <c r="J34" t="s">
        <v>36</v>
      </c>
      <c r="K34">
        <v>73.884000000000015</v>
      </c>
    </row>
    <row r="35" spans="1:11" x14ac:dyDescent="0.3">
      <c r="A35" t="s">
        <v>6</v>
      </c>
      <c r="B35" t="s">
        <v>7</v>
      </c>
      <c r="C35">
        <v>40.897500000000001</v>
      </c>
      <c r="D35">
        <v>68.037000000000006</v>
      </c>
      <c r="I35" t="s">
        <v>266</v>
      </c>
      <c r="J35" t="s">
        <v>36</v>
      </c>
      <c r="K35">
        <v>61.313999999999993</v>
      </c>
    </row>
    <row r="36" spans="1:11" x14ac:dyDescent="0.3">
      <c r="A36" t="s">
        <v>6</v>
      </c>
      <c r="B36" t="s">
        <v>8</v>
      </c>
      <c r="C36">
        <v>27.139500000000002</v>
      </c>
      <c r="I36" t="s">
        <v>267</v>
      </c>
      <c r="J36" t="s">
        <v>36</v>
      </c>
      <c r="K36">
        <v>69.505499999999998</v>
      </c>
    </row>
    <row r="37" spans="1:11" x14ac:dyDescent="0.3">
      <c r="C37">
        <f>C35+C36</f>
        <v>68.037000000000006</v>
      </c>
      <c r="I37" t="s">
        <v>268</v>
      </c>
      <c r="J37" t="s">
        <v>36</v>
      </c>
      <c r="K37">
        <v>39.139499999999998</v>
      </c>
    </row>
    <row r="38" spans="1:11" x14ac:dyDescent="0.3">
      <c r="A38" t="s">
        <v>6</v>
      </c>
      <c r="B38" t="s">
        <v>7</v>
      </c>
      <c r="C38">
        <v>42.432000000000002</v>
      </c>
      <c r="D38">
        <v>70.403999999999996</v>
      </c>
      <c r="I38" t="s">
        <v>269</v>
      </c>
      <c r="J38" t="s">
        <v>36</v>
      </c>
      <c r="K38">
        <v>63.332999999999998</v>
      </c>
    </row>
    <row r="39" spans="1:11" x14ac:dyDescent="0.3">
      <c r="A39" t="s">
        <v>6</v>
      </c>
      <c r="B39" t="s">
        <v>8</v>
      </c>
      <c r="C39">
        <v>27.972000000000001</v>
      </c>
      <c r="I39" t="s">
        <v>270</v>
      </c>
      <c r="J39" t="s">
        <v>36</v>
      </c>
      <c r="K39">
        <v>69.962999999999994</v>
      </c>
    </row>
    <row r="40" spans="1:11" x14ac:dyDescent="0.3">
      <c r="C40">
        <f>C38+C39</f>
        <v>70.403999999999996</v>
      </c>
      <c r="I40" t="s">
        <v>271</v>
      </c>
      <c r="J40" t="s">
        <v>36</v>
      </c>
      <c r="K40">
        <v>67.129500000000007</v>
      </c>
    </row>
    <row r="41" spans="1:11" x14ac:dyDescent="0.3">
      <c r="A41" t="s">
        <v>6</v>
      </c>
      <c r="B41" t="s">
        <v>7</v>
      </c>
      <c r="C41">
        <v>38.376000000000005</v>
      </c>
      <c r="D41">
        <v>71.158500000000004</v>
      </c>
      <c r="I41" t="s">
        <v>272</v>
      </c>
      <c r="J41" t="s">
        <v>36</v>
      </c>
      <c r="K41">
        <v>74.823000000000008</v>
      </c>
    </row>
    <row r="42" spans="1:11" x14ac:dyDescent="0.3">
      <c r="A42" t="s">
        <v>6</v>
      </c>
      <c r="B42" t="s">
        <v>8</v>
      </c>
      <c r="C42">
        <v>32.782499999999999</v>
      </c>
      <c r="I42" t="s">
        <v>273</v>
      </c>
      <c r="J42" t="s">
        <v>36</v>
      </c>
      <c r="K42">
        <v>85.342500000000001</v>
      </c>
    </row>
    <row r="43" spans="1:11" x14ac:dyDescent="0.3">
      <c r="C43">
        <f>C41+C42</f>
        <v>71.158500000000004</v>
      </c>
      <c r="I43" t="s">
        <v>274</v>
      </c>
      <c r="J43" t="s">
        <v>36</v>
      </c>
      <c r="K43">
        <v>57.139499999999998</v>
      </c>
    </row>
    <row r="44" spans="1:11" x14ac:dyDescent="0.3">
      <c r="A44" t="s">
        <v>6</v>
      </c>
      <c r="B44" t="s">
        <v>7</v>
      </c>
      <c r="C44">
        <v>40.295999999999999</v>
      </c>
      <c r="D44">
        <v>68.105999999999995</v>
      </c>
      <c r="I44" t="s">
        <v>275</v>
      </c>
      <c r="J44" t="s">
        <v>36</v>
      </c>
      <c r="K44">
        <v>35.0625</v>
      </c>
    </row>
    <row r="45" spans="1:11" x14ac:dyDescent="0.3">
      <c r="A45" t="s">
        <v>6</v>
      </c>
      <c r="B45" t="s">
        <v>8</v>
      </c>
      <c r="C45">
        <v>27.810000000000002</v>
      </c>
      <c r="I45" t="s">
        <v>276</v>
      </c>
      <c r="J45" t="s">
        <v>36</v>
      </c>
      <c r="K45">
        <v>90.414000000000016</v>
      </c>
    </row>
    <row r="46" spans="1:11" x14ac:dyDescent="0.3">
      <c r="C46">
        <f>C44+C45</f>
        <v>68.105999999999995</v>
      </c>
      <c r="I46" t="s">
        <v>277</v>
      </c>
      <c r="J46" t="s">
        <v>36</v>
      </c>
      <c r="K46">
        <v>60.695999999999998</v>
      </c>
    </row>
    <row r="47" spans="1:11" x14ac:dyDescent="0.3">
      <c r="A47" t="s">
        <v>6</v>
      </c>
      <c r="B47" t="s">
        <v>7</v>
      </c>
      <c r="C47">
        <v>45.086999999999996</v>
      </c>
      <c r="D47">
        <v>81.517499999999984</v>
      </c>
      <c r="I47" t="s">
        <v>278</v>
      </c>
      <c r="J47" t="s">
        <v>36</v>
      </c>
      <c r="K47">
        <v>80.22</v>
      </c>
    </row>
    <row r="48" spans="1:11" x14ac:dyDescent="0.3">
      <c r="A48" t="s">
        <v>6</v>
      </c>
      <c r="B48" t="s">
        <v>8</v>
      </c>
      <c r="C48">
        <v>36.430499999999995</v>
      </c>
      <c r="I48" t="s">
        <v>279</v>
      </c>
      <c r="J48" t="s">
        <v>36</v>
      </c>
      <c r="K48">
        <v>73.3185</v>
      </c>
    </row>
    <row r="49" spans="1:11" x14ac:dyDescent="0.3">
      <c r="C49">
        <f>C47+C48</f>
        <v>81.517499999999984</v>
      </c>
      <c r="I49" t="s">
        <v>280</v>
      </c>
      <c r="J49" t="s">
        <v>36</v>
      </c>
      <c r="K49">
        <v>47.481000000000002</v>
      </c>
    </row>
    <row r="50" spans="1:11" x14ac:dyDescent="0.3">
      <c r="A50" t="s">
        <v>6</v>
      </c>
      <c r="B50" t="s">
        <v>7</v>
      </c>
      <c r="C50">
        <v>44.050499999999992</v>
      </c>
      <c r="D50">
        <v>79.79249999999999</v>
      </c>
      <c r="I50" t="s">
        <v>281</v>
      </c>
      <c r="J50" t="s">
        <v>36</v>
      </c>
      <c r="K50">
        <v>59.749499999999998</v>
      </c>
    </row>
    <row r="51" spans="1:11" x14ac:dyDescent="0.3">
      <c r="A51" t="s">
        <v>6</v>
      </c>
      <c r="B51" t="s">
        <v>8</v>
      </c>
      <c r="C51">
        <v>35.741999999999997</v>
      </c>
      <c r="I51" t="s">
        <v>282</v>
      </c>
      <c r="J51" t="s">
        <v>36</v>
      </c>
      <c r="K51">
        <v>55.805999999999997</v>
      </c>
    </row>
    <row r="52" spans="1:11" x14ac:dyDescent="0.3">
      <c r="C52">
        <f>C50+C51</f>
        <v>79.79249999999999</v>
      </c>
      <c r="I52" t="s">
        <v>283</v>
      </c>
      <c r="J52" t="s">
        <v>36</v>
      </c>
      <c r="K52">
        <v>51.292500000000004</v>
      </c>
    </row>
    <row r="53" spans="1:11" x14ac:dyDescent="0.3">
      <c r="A53" t="s">
        <v>6</v>
      </c>
      <c r="B53" t="s">
        <v>7</v>
      </c>
      <c r="C53">
        <v>45.36</v>
      </c>
      <c r="D53">
        <v>78.9285</v>
      </c>
      <c r="I53" t="s">
        <v>284</v>
      </c>
      <c r="J53" t="s">
        <v>36</v>
      </c>
      <c r="K53">
        <v>57.121499999999997</v>
      </c>
    </row>
    <row r="54" spans="1:11" x14ac:dyDescent="0.3">
      <c r="A54" t="s">
        <v>6</v>
      </c>
      <c r="B54" t="s">
        <v>8</v>
      </c>
      <c r="C54">
        <v>33.5685</v>
      </c>
      <c r="I54" t="s">
        <v>285</v>
      </c>
      <c r="J54" t="s">
        <v>36</v>
      </c>
      <c r="K54">
        <v>62.473499999999994</v>
      </c>
    </row>
    <row r="55" spans="1:11" x14ac:dyDescent="0.3">
      <c r="C55">
        <f>C53+C54</f>
        <v>78.9285</v>
      </c>
      <c r="I55" t="s">
        <v>286</v>
      </c>
      <c r="J55" t="s">
        <v>36</v>
      </c>
      <c r="K55">
        <v>69.274499999999989</v>
      </c>
    </row>
    <row r="56" spans="1:11" x14ac:dyDescent="0.3">
      <c r="A56" t="s">
        <v>6</v>
      </c>
      <c r="B56" t="s">
        <v>7</v>
      </c>
      <c r="C56">
        <v>48.204000000000001</v>
      </c>
      <c r="D56">
        <v>77.810999999999993</v>
      </c>
      <c r="I56" t="s">
        <v>287</v>
      </c>
      <c r="J56" t="s">
        <v>36</v>
      </c>
      <c r="K56">
        <v>55.113</v>
      </c>
    </row>
    <row r="57" spans="1:11" x14ac:dyDescent="0.3">
      <c r="A57" t="s">
        <v>6</v>
      </c>
      <c r="B57" t="s">
        <v>8</v>
      </c>
      <c r="C57">
        <v>29.606999999999996</v>
      </c>
      <c r="I57" t="s">
        <v>288</v>
      </c>
      <c r="J57" t="s">
        <v>36</v>
      </c>
      <c r="K57">
        <v>8.2079999999999984</v>
      </c>
    </row>
    <row r="58" spans="1:11" x14ac:dyDescent="0.3">
      <c r="C58">
        <f>C56+C57</f>
        <v>77.810999999999993</v>
      </c>
      <c r="I58" t="s">
        <v>289</v>
      </c>
      <c r="J58" t="s">
        <v>36</v>
      </c>
      <c r="K58">
        <v>83.213999999999999</v>
      </c>
    </row>
    <row r="59" spans="1:11" x14ac:dyDescent="0.3">
      <c r="A59" t="s">
        <v>6</v>
      </c>
      <c r="B59" t="s">
        <v>7</v>
      </c>
      <c r="C59">
        <v>48.997499999999995</v>
      </c>
      <c r="D59">
        <v>86.665499999999994</v>
      </c>
      <c r="I59" t="s">
        <v>290</v>
      </c>
      <c r="J59" t="s">
        <v>36</v>
      </c>
      <c r="K59">
        <v>32.350499999999997</v>
      </c>
    </row>
    <row r="60" spans="1:11" x14ac:dyDescent="0.3">
      <c r="A60" t="s">
        <v>6</v>
      </c>
      <c r="B60" t="s">
        <v>8</v>
      </c>
      <c r="C60">
        <v>37.667999999999999</v>
      </c>
      <c r="I60" t="s">
        <v>291</v>
      </c>
      <c r="J60" t="s">
        <v>36</v>
      </c>
      <c r="K60">
        <v>42.052500000000002</v>
      </c>
    </row>
    <row r="61" spans="1:11" x14ac:dyDescent="0.3">
      <c r="C61">
        <f>C59+C60</f>
        <v>86.665499999999994</v>
      </c>
      <c r="I61" t="s">
        <v>292</v>
      </c>
      <c r="J61" t="s">
        <v>36</v>
      </c>
      <c r="K61">
        <v>63.942000000000007</v>
      </c>
    </row>
    <row r="62" spans="1:11" x14ac:dyDescent="0.3">
      <c r="A62" t="s">
        <v>6</v>
      </c>
      <c r="B62" t="s">
        <v>7</v>
      </c>
      <c r="C62">
        <v>41.183999999999997</v>
      </c>
      <c r="D62">
        <v>73.441499999999991</v>
      </c>
      <c r="I62" t="s">
        <v>293</v>
      </c>
      <c r="J62" t="s">
        <v>36</v>
      </c>
      <c r="K62">
        <v>60.007499999999993</v>
      </c>
    </row>
    <row r="63" spans="1:11" x14ac:dyDescent="0.3">
      <c r="A63" t="s">
        <v>6</v>
      </c>
      <c r="B63" t="s">
        <v>8</v>
      </c>
      <c r="C63">
        <v>32.2575</v>
      </c>
      <c r="I63" t="s">
        <v>294</v>
      </c>
      <c r="J63" t="s">
        <v>36</v>
      </c>
      <c r="K63">
        <v>60.707999999999998</v>
      </c>
    </row>
    <row r="64" spans="1:11" x14ac:dyDescent="0.3">
      <c r="C64">
        <f>C62+C63</f>
        <v>73.441499999999991</v>
      </c>
      <c r="I64" t="s">
        <v>295</v>
      </c>
      <c r="J64" t="s">
        <v>36</v>
      </c>
      <c r="K64">
        <v>53.185500000000005</v>
      </c>
    </row>
    <row r="65" spans="1:11" x14ac:dyDescent="0.3">
      <c r="A65" t="s">
        <v>6</v>
      </c>
      <c r="B65" t="s">
        <v>7</v>
      </c>
      <c r="C65">
        <v>52.298999999999992</v>
      </c>
      <c r="D65">
        <v>83.918999999999997</v>
      </c>
      <c r="I65" t="s">
        <v>296</v>
      </c>
      <c r="J65" t="s">
        <v>36</v>
      </c>
      <c r="K65">
        <v>53.68950000000001</v>
      </c>
    </row>
    <row r="66" spans="1:11" x14ac:dyDescent="0.3">
      <c r="A66" t="s">
        <v>6</v>
      </c>
      <c r="B66" t="s">
        <v>8</v>
      </c>
      <c r="C66">
        <v>31.62</v>
      </c>
      <c r="I66" t="s">
        <v>297</v>
      </c>
      <c r="J66" t="s">
        <v>36</v>
      </c>
      <c r="K66">
        <v>59.380500000000005</v>
      </c>
    </row>
    <row r="67" spans="1:11" x14ac:dyDescent="0.3">
      <c r="C67">
        <f>C65+C66</f>
        <v>83.918999999999997</v>
      </c>
      <c r="I67" t="s">
        <v>298</v>
      </c>
      <c r="J67" t="s">
        <v>36</v>
      </c>
      <c r="K67">
        <v>64.723500000000001</v>
      </c>
    </row>
    <row r="68" spans="1:11" x14ac:dyDescent="0.3">
      <c r="A68" t="s">
        <v>6</v>
      </c>
      <c r="B68" t="s">
        <v>7</v>
      </c>
      <c r="C68">
        <v>57.212999999999994</v>
      </c>
      <c r="D68">
        <v>94.382999999999981</v>
      </c>
      <c r="I68" t="s">
        <v>299</v>
      </c>
      <c r="J68" t="s">
        <v>36</v>
      </c>
      <c r="K68">
        <v>64.073999999999998</v>
      </c>
    </row>
    <row r="69" spans="1:11" x14ac:dyDescent="0.3">
      <c r="A69" t="s">
        <v>6</v>
      </c>
      <c r="B69" t="s">
        <v>8</v>
      </c>
      <c r="C69">
        <v>37.169999999999995</v>
      </c>
      <c r="I69" t="s">
        <v>300</v>
      </c>
      <c r="J69" t="s">
        <v>36</v>
      </c>
      <c r="K69">
        <v>67.763999999999996</v>
      </c>
    </row>
    <row r="70" spans="1:11" x14ac:dyDescent="0.3">
      <c r="C70">
        <f>C68+C69</f>
        <v>94.382999999999981</v>
      </c>
      <c r="I70" t="s">
        <v>301</v>
      </c>
      <c r="J70" t="s">
        <v>36</v>
      </c>
      <c r="K70">
        <v>69.341999999999999</v>
      </c>
    </row>
    <row r="71" spans="1:11" x14ac:dyDescent="0.3">
      <c r="A71" t="s">
        <v>6</v>
      </c>
      <c r="B71" t="s">
        <v>7</v>
      </c>
      <c r="C71">
        <v>53.286000000000001</v>
      </c>
      <c r="D71">
        <v>83.959499999999991</v>
      </c>
      <c r="I71" t="s">
        <v>302</v>
      </c>
      <c r="J71" t="s">
        <v>36</v>
      </c>
      <c r="K71">
        <v>52.456499999999998</v>
      </c>
    </row>
    <row r="72" spans="1:11" x14ac:dyDescent="0.3">
      <c r="A72" t="s">
        <v>6</v>
      </c>
      <c r="B72" t="s">
        <v>8</v>
      </c>
      <c r="C72">
        <v>30.673499999999997</v>
      </c>
      <c r="I72" t="s">
        <v>303</v>
      </c>
      <c r="J72" t="s">
        <v>36</v>
      </c>
      <c r="K72">
        <v>53.626499999999993</v>
      </c>
    </row>
    <row r="73" spans="1:11" x14ac:dyDescent="0.3">
      <c r="C73">
        <f>C71+C72</f>
        <v>83.959499999999991</v>
      </c>
      <c r="I73" t="s">
        <v>304</v>
      </c>
      <c r="J73" t="s">
        <v>36</v>
      </c>
      <c r="K73">
        <v>65.542500000000004</v>
      </c>
    </row>
    <row r="74" spans="1:11" x14ac:dyDescent="0.3">
      <c r="A74" t="s">
        <v>12</v>
      </c>
      <c r="B74" t="s">
        <v>7</v>
      </c>
      <c r="C74">
        <v>47.064</v>
      </c>
      <c r="D74">
        <v>82.456500000000005</v>
      </c>
      <c r="I74" t="s">
        <v>305</v>
      </c>
      <c r="J74" t="s">
        <v>36</v>
      </c>
      <c r="K74">
        <v>68.256</v>
      </c>
    </row>
    <row r="75" spans="1:11" x14ac:dyDescent="0.3">
      <c r="A75" t="s">
        <v>12</v>
      </c>
      <c r="B75" t="s">
        <v>8</v>
      </c>
      <c r="C75">
        <v>35.392499999999998</v>
      </c>
      <c r="I75" t="s">
        <v>306</v>
      </c>
      <c r="J75" t="s">
        <v>36</v>
      </c>
      <c r="K75">
        <v>53.055</v>
      </c>
    </row>
    <row r="76" spans="1:11" x14ac:dyDescent="0.3">
      <c r="C76">
        <f>C74+C75</f>
        <v>82.456500000000005</v>
      </c>
      <c r="I76" t="s">
        <v>307</v>
      </c>
      <c r="J76" t="s">
        <v>36</v>
      </c>
      <c r="K76">
        <v>62.483999999999995</v>
      </c>
    </row>
    <row r="77" spans="1:11" x14ac:dyDescent="0.3">
      <c r="A77" t="s">
        <v>12</v>
      </c>
      <c r="B77" t="s">
        <v>7</v>
      </c>
      <c r="C77">
        <v>45.24</v>
      </c>
      <c r="D77">
        <v>73.605000000000004</v>
      </c>
      <c r="I77" t="s">
        <v>308</v>
      </c>
      <c r="J77" t="s">
        <v>36</v>
      </c>
      <c r="K77">
        <v>50.4405</v>
      </c>
    </row>
    <row r="78" spans="1:11" x14ac:dyDescent="0.3">
      <c r="A78" t="s">
        <v>12</v>
      </c>
      <c r="B78" t="s">
        <v>8</v>
      </c>
      <c r="C78">
        <v>28.365000000000002</v>
      </c>
      <c r="I78" t="s">
        <v>309</v>
      </c>
      <c r="J78" t="s">
        <v>36</v>
      </c>
      <c r="K78">
        <v>58.266000000000005</v>
      </c>
    </row>
    <row r="79" spans="1:11" x14ac:dyDescent="0.3">
      <c r="C79">
        <f>C77+C78</f>
        <v>73.605000000000004</v>
      </c>
      <c r="I79" t="s">
        <v>310</v>
      </c>
      <c r="J79" t="s">
        <v>36</v>
      </c>
      <c r="K79">
        <v>65.417999999999992</v>
      </c>
    </row>
    <row r="80" spans="1:11" x14ac:dyDescent="0.3">
      <c r="A80" t="s">
        <v>12</v>
      </c>
      <c r="B80" t="s">
        <v>7</v>
      </c>
      <c r="C80">
        <v>42.432000000000002</v>
      </c>
      <c r="D80">
        <v>71.50200000000001</v>
      </c>
      <c r="I80" t="s">
        <v>311</v>
      </c>
      <c r="J80" t="s">
        <v>36</v>
      </c>
      <c r="K80">
        <v>58.042500000000004</v>
      </c>
    </row>
    <row r="81" spans="1:11" x14ac:dyDescent="0.3">
      <c r="A81" t="s">
        <v>12</v>
      </c>
      <c r="B81" t="s">
        <v>8</v>
      </c>
      <c r="C81">
        <v>29.07</v>
      </c>
      <c r="I81" t="s">
        <v>312</v>
      </c>
      <c r="J81" t="s">
        <v>36</v>
      </c>
      <c r="K81">
        <v>66.849000000000004</v>
      </c>
    </row>
    <row r="82" spans="1:11" x14ac:dyDescent="0.3">
      <c r="C82">
        <f>C80+C81</f>
        <v>71.50200000000001</v>
      </c>
      <c r="I82" t="s">
        <v>313</v>
      </c>
      <c r="J82" t="s">
        <v>36</v>
      </c>
      <c r="K82">
        <v>65.083500000000001</v>
      </c>
    </row>
    <row r="83" spans="1:11" x14ac:dyDescent="0.3">
      <c r="A83" t="s">
        <v>12</v>
      </c>
      <c r="B83" t="s">
        <v>7</v>
      </c>
      <c r="C83">
        <v>34.56</v>
      </c>
      <c r="D83">
        <v>59.262</v>
      </c>
      <c r="I83" t="s">
        <v>314</v>
      </c>
      <c r="J83" t="s">
        <v>36</v>
      </c>
      <c r="K83">
        <v>62.658000000000001</v>
      </c>
    </row>
    <row r="84" spans="1:11" x14ac:dyDescent="0.3">
      <c r="A84" t="s">
        <v>12</v>
      </c>
      <c r="B84" t="s">
        <v>8</v>
      </c>
      <c r="C84">
        <v>24.702000000000002</v>
      </c>
      <c r="I84" t="s">
        <v>315</v>
      </c>
      <c r="J84" t="s">
        <v>36</v>
      </c>
      <c r="K84">
        <v>66.049499999999995</v>
      </c>
    </row>
    <row r="85" spans="1:11" x14ac:dyDescent="0.3">
      <c r="C85">
        <f>C83+C84</f>
        <v>59.262</v>
      </c>
      <c r="I85" t="s">
        <v>316</v>
      </c>
      <c r="J85" t="s">
        <v>36</v>
      </c>
      <c r="K85">
        <v>54.636000000000003</v>
      </c>
    </row>
    <row r="86" spans="1:11" x14ac:dyDescent="0.3">
      <c r="A86" t="s">
        <v>12</v>
      </c>
      <c r="B86" t="s">
        <v>7</v>
      </c>
      <c r="C86">
        <v>49.760999999999996</v>
      </c>
      <c r="D86">
        <v>79.164000000000001</v>
      </c>
      <c r="I86" t="s">
        <v>317</v>
      </c>
      <c r="J86" t="s">
        <v>36</v>
      </c>
      <c r="K86">
        <v>53.1</v>
      </c>
    </row>
    <row r="87" spans="1:11" x14ac:dyDescent="0.3">
      <c r="A87" t="s">
        <v>12</v>
      </c>
      <c r="B87" t="s">
        <v>8</v>
      </c>
      <c r="C87">
        <v>29.403000000000002</v>
      </c>
      <c r="I87" t="s">
        <v>318</v>
      </c>
      <c r="J87" t="s">
        <v>36</v>
      </c>
      <c r="K87">
        <v>46.739999999999995</v>
      </c>
    </row>
    <row r="88" spans="1:11" x14ac:dyDescent="0.3">
      <c r="C88">
        <f>C86+C87</f>
        <v>79.164000000000001</v>
      </c>
      <c r="I88" t="s">
        <v>319</v>
      </c>
      <c r="J88" t="s">
        <v>36</v>
      </c>
      <c r="K88">
        <v>55.373999999999995</v>
      </c>
    </row>
    <row r="89" spans="1:11" x14ac:dyDescent="0.3">
      <c r="A89" t="s">
        <v>12</v>
      </c>
      <c r="B89" t="s">
        <v>7</v>
      </c>
      <c r="C89">
        <v>45.616500000000002</v>
      </c>
      <c r="D89">
        <v>82.252499999999998</v>
      </c>
      <c r="I89" t="s">
        <v>320</v>
      </c>
      <c r="J89" t="s">
        <v>36</v>
      </c>
      <c r="K89">
        <v>49.646999999999998</v>
      </c>
    </row>
    <row r="90" spans="1:11" x14ac:dyDescent="0.3">
      <c r="A90" t="s">
        <v>12</v>
      </c>
      <c r="B90" t="s">
        <v>8</v>
      </c>
      <c r="C90">
        <v>36.635999999999996</v>
      </c>
      <c r="I90" t="s">
        <v>321</v>
      </c>
      <c r="J90" t="s">
        <v>36</v>
      </c>
      <c r="K90">
        <v>61.283999999999999</v>
      </c>
    </row>
    <row r="91" spans="1:11" x14ac:dyDescent="0.3">
      <c r="C91">
        <f>C89+C90</f>
        <v>82.252499999999998</v>
      </c>
      <c r="I91" t="s">
        <v>322</v>
      </c>
      <c r="J91" t="s">
        <v>36</v>
      </c>
      <c r="K91">
        <v>63.712500000000006</v>
      </c>
    </row>
    <row r="92" spans="1:11" x14ac:dyDescent="0.3">
      <c r="A92" t="s">
        <v>12</v>
      </c>
      <c r="B92" t="s">
        <v>7</v>
      </c>
      <c r="C92">
        <v>44.82</v>
      </c>
      <c r="D92">
        <v>73.953000000000003</v>
      </c>
      <c r="I92" t="s">
        <v>323</v>
      </c>
      <c r="J92" t="s">
        <v>36</v>
      </c>
      <c r="K92">
        <v>69.288000000000011</v>
      </c>
    </row>
    <row r="93" spans="1:11" x14ac:dyDescent="0.3">
      <c r="A93" t="s">
        <v>12</v>
      </c>
      <c r="B93" t="s">
        <v>8</v>
      </c>
      <c r="C93">
        <v>29.132999999999996</v>
      </c>
      <c r="I93" t="s">
        <v>324</v>
      </c>
      <c r="J93" t="s">
        <v>36</v>
      </c>
      <c r="K93">
        <v>56.674500000000002</v>
      </c>
    </row>
    <row r="94" spans="1:11" x14ac:dyDescent="0.3">
      <c r="C94">
        <f>C92+C93</f>
        <v>73.953000000000003</v>
      </c>
      <c r="I94" t="s">
        <v>325</v>
      </c>
      <c r="J94" t="s">
        <v>36</v>
      </c>
      <c r="K94">
        <v>59.848500000000001</v>
      </c>
    </row>
    <row r="95" spans="1:11" x14ac:dyDescent="0.3">
      <c r="A95" t="s">
        <v>12</v>
      </c>
      <c r="B95" t="s">
        <v>7</v>
      </c>
      <c r="C95">
        <v>39.375</v>
      </c>
      <c r="D95">
        <v>62.283000000000001</v>
      </c>
      <c r="I95" t="s">
        <v>326</v>
      </c>
      <c r="J95" t="s">
        <v>36</v>
      </c>
      <c r="K95">
        <v>63.538499999999999</v>
      </c>
    </row>
    <row r="96" spans="1:11" x14ac:dyDescent="0.3">
      <c r="A96" t="s">
        <v>12</v>
      </c>
      <c r="B96" t="s">
        <v>8</v>
      </c>
      <c r="C96">
        <v>22.907999999999998</v>
      </c>
      <c r="I96" t="s">
        <v>327</v>
      </c>
      <c r="J96" t="s">
        <v>36</v>
      </c>
      <c r="K96">
        <v>67.197000000000003</v>
      </c>
    </row>
    <row r="97" spans="1:11" x14ac:dyDescent="0.3">
      <c r="C97">
        <f>C95+C96</f>
        <v>62.283000000000001</v>
      </c>
      <c r="I97" t="s">
        <v>328</v>
      </c>
      <c r="J97" t="s">
        <v>36</v>
      </c>
      <c r="K97">
        <v>57.262499999999996</v>
      </c>
    </row>
    <row r="98" spans="1:11" x14ac:dyDescent="0.3">
      <c r="A98" t="s">
        <v>12</v>
      </c>
      <c r="B98" t="s">
        <v>7</v>
      </c>
      <c r="C98">
        <v>44.421000000000006</v>
      </c>
      <c r="D98">
        <v>73.884000000000015</v>
      </c>
    </row>
    <row r="99" spans="1:11" x14ac:dyDescent="0.3">
      <c r="A99" t="s">
        <v>12</v>
      </c>
      <c r="B99" t="s">
        <v>8</v>
      </c>
      <c r="C99">
        <v>29.463000000000001</v>
      </c>
    </row>
    <row r="100" spans="1:11" x14ac:dyDescent="0.3">
      <c r="C100">
        <f>C98+C99</f>
        <v>73.884000000000015</v>
      </c>
    </row>
    <row r="101" spans="1:11" x14ac:dyDescent="0.3">
      <c r="A101" t="s">
        <v>12</v>
      </c>
      <c r="B101" t="s">
        <v>7</v>
      </c>
      <c r="C101">
        <v>36.431999999999995</v>
      </c>
      <c r="D101">
        <v>61.313999999999993</v>
      </c>
    </row>
    <row r="102" spans="1:11" x14ac:dyDescent="0.3">
      <c r="A102" t="s">
        <v>12</v>
      </c>
      <c r="B102" t="s">
        <v>8</v>
      </c>
      <c r="C102">
        <v>24.881999999999998</v>
      </c>
    </row>
    <row r="103" spans="1:11" x14ac:dyDescent="0.3">
      <c r="C103">
        <f>C101+C102</f>
        <v>61.313999999999993</v>
      </c>
    </row>
    <row r="104" spans="1:11" x14ac:dyDescent="0.3">
      <c r="A104" t="s">
        <v>12</v>
      </c>
      <c r="B104" t="s">
        <v>7</v>
      </c>
      <c r="C104">
        <v>45.742499999999993</v>
      </c>
      <c r="D104">
        <v>69.505499999999998</v>
      </c>
    </row>
    <row r="105" spans="1:11" x14ac:dyDescent="0.3">
      <c r="A105" t="s">
        <v>12</v>
      </c>
      <c r="B105" t="s">
        <v>8</v>
      </c>
      <c r="C105">
        <v>23.763000000000002</v>
      </c>
    </row>
    <row r="106" spans="1:11" x14ac:dyDescent="0.3">
      <c r="C106">
        <f>C104+C105</f>
        <v>69.505499999999998</v>
      </c>
    </row>
    <row r="107" spans="1:11" x14ac:dyDescent="0.3">
      <c r="A107" t="s">
        <v>12</v>
      </c>
      <c r="B107" t="s">
        <v>7</v>
      </c>
      <c r="C107">
        <v>39.139499999999998</v>
      </c>
      <c r="D107">
        <v>39.139499999999998</v>
      </c>
    </row>
    <row r="109" spans="1:11" x14ac:dyDescent="0.3">
      <c r="A109" t="s">
        <v>12</v>
      </c>
      <c r="B109" t="s">
        <v>7</v>
      </c>
      <c r="C109">
        <v>40.365000000000002</v>
      </c>
      <c r="D109">
        <v>63.332999999999998</v>
      </c>
    </row>
    <row r="110" spans="1:11" x14ac:dyDescent="0.3">
      <c r="A110" t="s">
        <v>12</v>
      </c>
      <c r="B110" t="s">
        <v>8</v>
      </c>
      <c r="C110">
        <v>22.968</v>
      </c>
    </row>
    <row r="111" spans="1:11" x14ac:dyDescent="0.3">
      <c r="C111">
        <f>C109+C110</f>
        <v>63.332999999999998</v>
      </c>
    </row>
    <row r="112" spans="1:11" x14ac:dyDescent="0.3">
      <c r="A112" t="s">
        <v>12</v>
      </c>
      <c r="B112" t="s">
        <v>7</v>
      </c>
      <c r="C112">
        <v>41.467500000000001</v>
      </c>
      <c r="D112">
        <v>69.962999999999994</v>
      </c>
    </row>
    <row r="113" spans="1:4" x14ac:dyDescent="0.3">
      <c r="A113" t="s">
        <v>12</v>
      </c>
      <c r="B113" t="s">
        <v>8</v>
      </c>
      <c r="C113">
        <v>28.4955</v>
      </c>
    </row>
    <row r="114" spans="1:4" x14ac:dyDescent="0.3">
      <c r="C114">
        <f>C112+C113</f>
        <v>69.962999999999994</v>
      </c>
    </row>
    <row r="115" spans="1:4" x14ac:dyDescent="0.3">
      <c r="A115" t="s">
        <v>12</v>
      </c>
      <c r="B115" t="s">
        <v>7</v>
      </c>
      <c r="C115">
        <v>41.085000000000008</v>
      </c>
      <c r="D115">
        <v>67.129500000000007</v>
      </c>
    </row>
    <row r="116" spans="1:4" x14ac:dyDescent="0.3">
      <c r="A116" t="s">
        <v>12</v>
      </c>
      <c r="B116" t="s">
        <v>8</v>
      </c>
      <c r="C116">
        <v>26.044499999999999</v>
      </c>
    </row>
    <row r="117" spans="1:4" x14ac:dyDescent="0.3">
      <c r="C117">
        <f>C115+C116</f>
        <v>67.129500000000007</v>
      </c>
    </row>
    <row r="118" spans="1:4" x14ac:dyDescent="0.3">
      <c r="A118" t="s">
        <v>12</v>
      </c>
      <c r="B118" t="s">
        <v>7</v>
      </c>
      <c r="C118">
        <v>43.623000000000005</v>
      </c>
      <c r="D118">
        <v>74.823000000000008</v>
      </c>
    </row>
    <row r="119" spans="1:4" x14ac:dyDescent="0.3">
      <c r="A119" t="s">
        <v>12</v>
      </c>
      <c r="B119" t="s">
        <v>8</v>
      </c>
      <c r="C119">
        <v>31.200000000000003</v>
      </c>
    </row>
    <row r="120" spans="1:4" x14ac:dyDescent="0.3">
      <c r="C120">
        <f>C118+C119</f>
        <v>74.823000000000008</v>
      </c>
    </row>
    <row r="121" spans="1:4" x14ac:dyDescent="0.3">
      <c r="A121" t="s">
        <v>12</v>
      </c>
      <c r="B121" t="s">
        <v>7</v>
      </c>
      <c r="C121">
        <v>46.214999999999996</v>
      </c>
      <c r="D121">
        <v>85.342500000000001</v>
      </c>
    </row>
    <row r="122" spans="1:4" x14ac:dyDescent="0.3">
      <c r="A122" t="s">
        <v>12</v>
      </c>
      <c r="B122" t="s">
        <v>8</v>
      </c>
      <c r="C122">
        <v>39.127500000000005</v>
      </c>
    </row>
    <row r="123" spans="1:4" x14ac:dyDescent="0.3">
      <c r="C123">
        <f>C121+C122</f>
        <v>85.342500000000001</v>
      </c>
    </row>
    <row r="124" spans="1:4" x14ac:dyDescent="0.3">
      <c r="A124" t="s">
        <v>12</v>
      </c>
      <c r="B124" t="s">
        <v>7</v>
      </c>
      <c r="C124">
        <v>34.342500000000001</v>
      </c>
      <c r="D124">
        <v>57.139499999999998</v>
      </c>
    </row>
    <row r="125" spans="1:4" x14ac:dyDescent="0.3">
      <c r="A125" t="s">
        <v>12</v>
      </c>
      <c r="B125" t="s">
        <v>8</v>
      </c>
      <c r="C125">
        <v>22.797000000000001</v>
      </c>
    </row>
    <row r="126" spans="1:4" x14ac:dyDescent="0.3">
      <c r="C126">
        <f>C124+C125</f>
        <v>57.139499999999998</v>
      </c>
    </row>
    <row r="127" spans="1:4" x14ac:dyDescent="0.3">
      <c r="A127" t="s">
        <v>12</v>
      </c>
      <c r="B127" t="s">
        <v>7</v>
      </c>
      <c r="C127">
        <v>35.0625</v>
      </c>
      <c r="D127">
        <v>35.0625</v>
      </c>
    </row>
    <row r="129" spans="1:4" x14ac:dyDescent="0.3">
      <c r="A129" t="s">
        <v>12</v>
      </c>
      <c r="B129" t="s">
        <v>7</v>
      </c>
      <c r="C129">
        <v>52.974000000000004</v>
      </c>
      <c r="D129">
        <v>90.414000000000016</v>
      </c>
    </row>
    <row r="130" spans="1:4" x14ac:dyDescent="0.3">
      <c r="A130" t="s">
        <v>12</v>
      </c>
      <c r="B130" t="s">
        <v>8</v>
      </c>
      <c r="C130">
        <v>37.440000000000005</v>
      </c>
    </row>
    <row r="131" spans="1:4" x14ac:dyDescent="0.3">
      <c r="C131">
        <f>C129+C130</f>
        <v>90.414000000000016</v>
      </c>
    </row>
    <row r="132" spans="1:4" x14ac:dyDescent="0.3">
      <c r="A132" t="s">
        <v>12</v>
      </c>
      <c r="B132" t="s">
        <v>7</v>
      </c>
      <c r="C132">
        <v>36.161999999999999</v>
      </c>
      <c r="D132">
        <v>60.695999999999998</v>
      </c>
    </row>
    <row r="133" spans="1:4" x14ac:dyDescent="0.3">
      <c r="A133" t="s">
        <v>12</v>
      </c>
      <c r="B133" t="s">
        <v>8</v>
      </c>
      <c r="C133">
        <v>24.533999999999999</v>
      </c>
    </row>
    <row r="134" spans="1:4" x14ac:dyDescent="0.3">
      <c r="C134">
        <f>C132+C133</f>
        <v>60.695999999999998</v>
      </c>
    </row>
    <row r="135" spans="1:4" x14ac:dyDescent="0.3">
      <c r="A135" t="s">
        <v>12</v>
      </c>
      <c r="B135" t="s">
        <v>7</v>
      </c>
      <c r="C135">
        <v>44.1</v>
      </c>
      <c r="D135">
        <v>80.22</v>
      </c>
    </row>
    <row r="136" spans="1:4" x14ac:dyDescent="0.3">
      <c r="A136" t="s">
        <v>12</v>
      </c>
      <c r="B136" t="s">
        <v>8</v>
      </c>
      <c r="C136">
        <v>36.119999999999997</v>
      </c>
    </row>
    <row r="137" spans="1:4" x14ac:dyDescent="0.3">
      <c r="C137">
        <f>C135+C136</f>
        <v>80.22</v>
      </c>
    </row>
    <row r="138" spans="1:4" x14ac:dyDescent="0.3">
      <c r="A138" t="s">
        <v>12</v>
      </c>
      <c r="B138" t="s">
        <v>7</v>
      </c>
      <c r="C138">
        <v>43.456499999999998</v>
      </c>
      <c r="D138">
        <v>73.3185</v>
      </c>
    </row>
    <row r="139" spans="1:4" x14ac:dyDescent="0.3">
      <c r="A139" t="s">
        <v>12</v>
      </c>
      <c r="B139" t="s">
        <v>8</v>
      </c>
      <c r="C139">
        <v>29.862000000000002</v>
      </c>
    </row>
    <row r="140" spans="1:4" x14ac:dyDescent="0.3">
      <c r="C140">
        <f>C138+C139</f>
        <v>73.3185</v>
      </c>
    </row>
    <row r="141" spans="1:4" x14ac:dyDescent="0.3">
      <c r="A141" t="s">
        <v>12</v>
      </c>
      <c r="B141" t="s">
        <v>7</v>
      </c>
      <c r="C141">
        <v>47.481000000000002</v>
      </c>
      <c r="D141">
        <v>47.481000000000002</v>
      </c>
    </row>
    <row r="143" spans="1:4" x14ac:dyDescent="0.3">
      <c r="A143" t="s">
        <v>14</v>
      </c>
      <c r="B143" t="s">
        <v>7</v>
      </c>
      <c r="C143">
        <v>29.095499999999998</v>
      </c>
      <c r="D143">
        <v>59.749499999999998</v>
      </c>
    </row>
    <row r="144" spans="1:4" x14ac:dyDescent="0.3">
      <c r="A144" t="s">
        <v>14</v>
      </c>
      <c r="B144" t="s">
        <v>8</v>
      </c>
      <c r="C144">
        <v>30.654</v>
      </c>
    </row>
    <row r="145" spans="1:4" x14ac:dyDescent="0.3">
      <c r="C145">
        <f>C143+C144</f>
        <v>59.749499999999998</v>
      </c>
    </row>
    <row r="146" spans="1:4" x14ac:dyDescent="0.3">
      <c r="A146" t="s">
        <v>14</v>
      </c>
      <c r="B146" t="s">
        <v>7</v>
      </c>
      <c r="C146">
        <v>29.765999999999995</v>
      </c>
      <c r="D146">
        <v>55.805999999999997</v>
      </c>
    </row>
    <row r="147" spans="1:4" x14ac:dyDescent="0.3">
      <c r="A147" t="s">
        <v>14</v>
      </c>
      <c r="B147" t="s">
        <v>8</v>
      </c>
      <c r="C147">
        <v>26.04</v>
      </c>
    </row>
    <row r="148" spans="1:4" x14ac:dyDescent="0.3">
      <c r="C148">
        <f>C146+C147</f>
        <v>55.805999999999997</v>
      </c>
    </row>
    <row r="149" spans="1:4" x14ac:dyDescent="0.3">
      <c r="A149" t="s">
        <v>14</v>
      </c>
      <c r="B149" t="s">
        <v>7</v>
      </c>
      <c r="C149">
        <v>29.337</v>
      </c>
      <c r="D149">
        <v>51.292500000000004</v>
      </c>
    </row>
    <row r="150" spans="1:4" x14ac:dyDescent="0.3">
      <c r="A150" t="s">
        <v>14</v>
      </c>
      <c r="B150" t="s">
        <v>8</v>
      </c>
      <c r="C150">
        <v>21.955500000000001</v>
      </c>
    </row>
    <row r="151" spans="1:4" x14ac:dyDescent="0.3">
      <c r="C151">
        <f>C149+C150</f>
        <v>51.292500000000004</v>
      </c>
    </row>
    <row r="152" spans="1:4" x14ac:dyDescent="0.3">
      <c r="A152" t="s">
        <v>14</v>
      </c>
      <c r="B152" t="s">
        <v>7</v>
      </c>
      <c r="C152">
        <v>30.340499999999999</v>
      </c>
      <c r="D152">
        <v>57.121499999999997</v>
      </c>
    </row>
    <row r="153" spans="1:4" x14ac:dyDescent="0.3">
      <c r="A153" t="s">
        <v>14</v>
      </c>
      <c r="B153" t="s">
        <v>8</v>
      </c>
      <c r="C153">
        <v>26.780999999999999</v>
      </c>
    </row>
    <row r="154" spans="1:4" x14ac:dyDescent="0.3">
      <c r="C154">
        <f>C152+C153</f>
        <v>57.121499999999997</v>
      </c>
    </row>
    <row r="155" spans="1:4" x14ac:dyDescent="0.3">
      <c r="A155" t="s">
        <v>14</v>
      </c>
      <c r="B155" t="s">
        <v>7</v>
      </c>
      <c r="C155">
        <v>37.321499999999993</v>
      </c>
      <c r="D155">
        <v>62.473499999999994</v>
      </c>
    </row>
    <row r="156" spans="1:4" x14ac:dyDescent="0.3">
      <c r="A156" t="s">
        <v>14</v>
      </c>
      <c r="B156" t="s">
        <v>8</v>
      </c>
      <c r="C156">
        <v>25.152000000000001</v>
      </c>
    </row>
    <row r="157" spans="1:4" x14ac:dyDescent="0.3">
      <c r="C157">
        <f>C155+C156</f>
        <v>62.473499999999994</v>
      </c>
    </row>
    <row r="158" spans="1:4" x14ac:dyDescent="0.3">
      <c r="A158" t="s">
        <v>14</v>
      </c>
      <c r="B158" t="s">
        <v>7</v>
      </c>
      <c r="C158">
        <v>33.022499999999994</v>
      </c>
      <c r="D158">
        <v>69.274499999999989</v>
      </c>
    </row>
    <row r="159" spans="1:4" x14ac:dyDescent="0.3">
      <c r="A159" t="s">
        <v>14</v>
      </c>
      <c r="B159" t="s">
        <v>8</v>
      </c>
      <c r="C159">
        <v>36.252000000000002</v>
      </c>
    </row>
    <row r="160" spans="1:4" x14ac:dyDescent="0.3">
      <c r="C160">
        <f>C158+C159</f>
        <v>69.274499999999989</v>
      </c>
    </row>
    <row r="161" spans="1:4" x14ac:dyDescent="0.3">
      <c r="A161" t="s">
        <v>14</v>
      </c>
      <c r="B161" t="s">
        <v>7</v>
      </c>
      <c r="C161">
        <v>33.579000000000001</v>
      </c>
      <c r="D161">
        <v>55.113</v>
      </c>
    </row>
    <row r="162" spans="1:4" x14ac:dyDescent="0.3">
      <c r="A162" t="s">
        <v>14</v>
      </c>
      <c r="B162" t="s">
        <v>8</v>
      </c>
      <c r="C162">
        <v>21.533999999999999</v>
      </c>
    </row>
    <row r="163" spans="1:4" x14ac:dyDescent="0.3">
      <c r="C163">
        <f>C161+C162</f>
        <v>55.113</v>
      </c>
    </row>
    <row r="164" spans="1:4" x14ac:dyDescent="0.3">
      <c r="A164" t="s">
        <v>14</v>
      </c>
      <c r="B164" t="s">
        <v>7</v>
      </c>
      <c r="C164">
        <v>8.2079999999999984</v>
      </c>
      <c r="D164">
        <v>8.2079999999999984</v>
      </c>
    </row>
    <row r="166" spans="1:4" x14ac:dyDescent="0.3">
      <c r="A166" t="s">
        <v>14</v>
      </c>
      <c r="B166" t="s">
        <v>7</v>
      </c>
      <c r="C166">
        <v>49.95</v>
      </c>
      <c r="D166">
        <v>83.213999999999999</v>
      </c>
    </row>
    <row r="167" spans="1:4" x14ac:dyDescent="0.3">
      <c r="A167" t="s">
        <v>14</v>
      </c>
      <c r="B167" t="s">
        <v>8</v>
      </c>
      <c r="C167">
        <v>33.264000000000003</v>
      </c>
    </row>
    <row r="168" spans="1:4" x14ac:dyDescent="0.3">
      <c r="C168">
        <f>C166+C167</f>
        <v>83.213999999999999</v>
      </c>
    </row>
    <row r="169" spans="1:4" x14ac:dyDescent="0.3">
      <c r="A169" t="s">
        <v>14</v>
      </c>
      <c r="B169" t="s">
        <v>7</v>
      </c>
      <c r="C169">
        <v>15.007499999999999</v>
      </c>
      <c r="D169">
        <v>32.350499999999997</v>
      </c>
    </row>
    <row r="170" spans="1:4" x14ac:dyDescent="0.3">
      <c r="A170" t="s">
        <v>14</v>
      </c>
      <c r="B170" t="s">
        <v>8</v>
      </c>
      <c r="C170">
        <v>17.343</v>
      </c>
    </row>
    <row r="171" spans="1:4" x14ac:dyDescent="0.3">
      <c r="C171">
        <f>C169+C170</f>
        <v>32.350499999999997</v>
      </c>
    </row>
    <row r="172" spans="1:4" x14ac:dyDescent="0.3">
      <c r="A172" t="s">
        <v>14</v>
      </c>
      <c r="B172" t="s">
        <v>7</v>
      </c>
      <c r="C172">
        <v>28.087500000000002</v>
      </c>
      <c r="D172">
        <v>42.052500000000002</v>
      </c>
    </row>
    <row r="173" spans="1:4" x14ac:dyDescent="0.3">
      <c r="A173" t="s">
        <v>14</v>
      </c>
      <c r="B173" t="s">
        <v>8</v>
      </c>
      <c r="C173">
        <v>13.965</v>
      </c>
    </row>
    <row r="174" spans="1:4" x14ac:dyDescent="0.3">
      <c r="C174">
        <f>C172+C173</f>
        <v>42.052500000000002</v>
      </c>
    </row>
    <row r="175" spans="1:4" x14ac:dyDescent="0.3">
      <c r="A175" t="s">
        <v>14</v>
      </c>
      <c r="B175" t="s">
        <v>7</v>
      </c>
      <c r="C175">
        <v>30.942000000000004</v>
      </c>
      <c r="D175">
        <v>63.942000000000007</v>
      </c>
    </row>
    <row r="176" spans="1:4" x14ac:dyDescent="0.3">
      <c r="A176" t="s">
        <v>14</v>
      </c>
      <c r="B176" t="s">
        <v>8</v>
      </c>
      <c r="C176">
        <v>33</v>
      </c>
    </row>
    <row r="177" spans="1:4" x14ac:dyDescent="0.3">
      <c r="C177">
        <f>C175+C176</f>
        <v>63.942000000000007</v>
      </c>
    </row>
    <row r="178" spans="1:4" x14ac:dyDescent="0.3">
      <c r="A178" t="s">
        <v>14</v>
      </c>
      <c r="B178" t="s">
        <v>7</v>
      </c>
      <c r="C178">
        <v>30.186</v>
      </c>
      <c r="D178">
        <v>60.007499999999993</v>
      </c>
    </row>
    <row r="179" spans="1:4" x14ac:dyDescent="0.3">
      <c r="A179" t="s">
        <v>14</v>
      </c>
      <c r="B179" t="s">
        <v>8</v>
      </c>
      <c r="C179">
        <v>29.821499999999997</v>
      </c>
    </row>
    <row r="180" spans="1:4" x14ac:dyDescent="0.3">
      <c r="C180">
        <f>C178+C179</f>
        <v>60.007499999999993</v>
      </c>
    </row>
    <row r="181" spans="1:4" x14ac:dyDescent="0.3">
      <c r="A181" t="s">
        <v>14</v>
      </c>
      <c r="B181" t="s">
        <v>7</v>
      </c>
      <c r="C181">
        <v>30.972000000000001</v>
      </c>
      <c r="D181">
        <v>60.707999999999998</v>
      </c>
    </row>
    <row r="182" spans="1:4" x14ac:dyDescent="0.3">
      <c r="A182" t="s">
        <v>14</v>
      </c>
      <c r="B182" t="s">
        <v>8</v>
      </c>
      <c r="C182">
        <v>29.735999999999997</v>
      </c>
    </row>
    <row r="183" spans="1:4" x14ac:dyDescent="0.3">
      <c r="C183">
        <f>C181+C182</f>
        <v>60.707999999999998</v>
      </c>
    </row>
    <row r="184" spans="1:4" x14ac:dyDescent="0.3">
      <c r="A184" t="s">
        <v>14</v>
      </c>
      <c r="B184" t="s">
        <v>7</v>
      </c>
      <c r="C184">
        <v>28.95</v>
      </c>
      <c r="D184">
        <v>53.185500000000005</v>
      </c>
    </row>
    <row r="185" spans="1:4" x14ac:dyDescent="0.3">
      <c r="A185" t="s">
        <v>14</v>
      </c>
      <c r="B185" t="s">
        <v>8</v>
      </c>
      <c r="C185">
        <v>24.235500000000002</v>
      </c>
    </row>
    <row r="186" spans="1:4" x14ac:dyDescent="0.3">
      <c r="C186">
        <f>C184+C185</f>
        <v>53.185500000000005</v>
      </c>
    </row>
    <row r="187" spans="1:4" x14ac:dyDescent="0.3">
      <c r="A187" t="s">
        <v>14</v>
      </c>
      <c r="B187" t="s">
        <v>7</v>
      </c>
      <c r="C187">
        <v>18.391500000000004</v>
      </c>
      <c r="D187">
        <v>53.68950000000001</v>
      </c>
    </row>
    <row r="188" spans="1:4" x14ac:dyDescent="0.3">
      <c r="A188" t="s">
        <v>14</v>
      </c>
      <c r="B188" t="s">
        <v>8</v>
      </c>
      <c r="C188">
        <v>35.298000000000002</v>
      </c>
    </row>
    <row r="189" spans="1:4" x14ac:dyDescent="0.3">
      <c r="C189">
        <f>C187+C188</f>
        <v>53.68950000000001</v>
      </c>
    </row>
    <row r="190" spans="1:4" x14ac:dyDescent="0.3">
      <c r="A190" t="s">
        <v>14</v>
      </c>
      <c r="B190" t="s">
        <v>7</v>
      </c>
      <c r="C190">
        <v>29.853000000000002</v>
      </c>
      <c r="D190">
        <v>59.380500000000005</v>
      </c>
    </row>
    <row r="191" spans="1:4" x14ac:dyDescent="0.3">
      <c r="A191" t="s">
        <v>14</v>
      </c>
      <c r="B191" t="s">
        <v>8</v>
      </c>
      <c r="C191">
        <v>29.527500000000003</v>
      </c>
    </row>
    <row r="192" spans="1:4" x14ac:dyDescent="0.3">
      <c r="C192">
        <f>C190+C191</f>
        <v>59.380500000000005</v>
      </c>
    </row>
    <row r="193" spans="1:4" x14ac:dyDescent="0.3">
      <c r="A193" t="s">
        <v>14</v>
      </c>
      <c r="B193" t="s">
        <v>7</v>
      </c>
      <c r="C193">
        <v>31.475999999999999</v>
      </c>
      <c r="D193">
        <v>64.723500000000001</v>
      </c>
    </row>
    <row r="194" spans="1:4" x14ac:dyDescent="0.3">
      <c r="A194" t="s">
        <v>14</v>
      </c>
      <c r="B194" t="s">
        <v>8</v>
      </c>
      <c r="C194">
        <v>33.247500000000002</v>
      </c>
    </row>
    <row r="195" spans="1:4" x14ac:dyDescent="0.3">
      <c r="C195">
        <f>C193+C194</f>
        <v>64.723500000000001</v>
      </c>
    </row>
    <row r="196" spans="1:4" x14ac:dyDescent="0.3">
      <c r="A196" t="s">
        <v>14</v>
      </c>
      <c r="B196" t="s">
        <v>7</v>
      </c>
      <c r="C196">
        <v>32.763000000000005</v>
      </c>
      <c r="D196">
        <v>64.073999999999998</v>
      </c>
    </row>
    <row r="197" spans="1:4" x14ac:dyDescent="0.3">
      <c r="A197" t="s">
        <v>14</v>
      </c>
      <c r="B197" t="s">
        <v>8</v>
      </c>
      <c r="C197">
        <v>31.310999999999996</v>
      </c>
    </row>
    <row r="198" spans="1:4" x14ac:dyDescent="0.3">
      <c r="C198">
        <f>C196+C197</f>
        <v>64.073999999999998</v>
      </c>
    </row>
    <row r="199" spans="1:4" x14ac:dyDescent="0.3">
      <c r="A199" t="s">
        <v>14</v>
      </c>
      <c r="B199" t="s">
        <v>7</v>
      </c>
      <c r="C199">
        <v>36.017999999999994</v>
      </c>
      <c r="D199">
        <v>67.763999999999996</v>
      </c>
    </row>
    <row r="200" spans="1:4" x14ac:dyDescent="0.3">
      <c r="A200" t="s">
        <v>14</v>
      </c>
      <c r="B200" t="s">
        <v>8</v>
      </c>
      <c r="C200">
        <v>31.746000000000002</v>
      </c>
    </row>
    <row r="201" spans="1:4" x14ac:dyDescent="0.3">
      <c r="C201">
        <f>C199+C200</f>
        <v>67.763999999999996</v>
      </c>
    </row>
    <row r="202" spans="1:4" x14ac:dyDescent="0.3">
      <c r="A202" t="s">
        <v>14</v>
      </c>
      <c r="B202" t="s">
        <v>7</v>
      </c>
      <c r="C202">
        <v>32.706000000000003</v>
      </c>
      <c r="D202">
        <v>69.341999999999999</v>
      </c>
    </row>
    <row r="203" spans="1:4" x14ac:dyDescent="0.3">
      <c r="A203" t="s">
        <v>14</v>
      </c>
      <c r="B203" t="s">
        <v>8</v>
      </c>
      <c r="C203">
        <v>36.635999999999996</v>
      </c>
    </row>
    <row r="204" spans="1:4" x14ac:dyDescent="0.3">
      <c r="C204">
        <f>C202+C203</f>
        <v>69.341999999999999</v>
      </c>
    </row>
    <row r="205" spans="1:4" x14ac:dyDescent="0.3">
      <c r="A205" t="s">
        <v>14</v>
      </c>
      <c r="B205" t="s">
        <v>7</v>
      </c>
      <c r="C205">
        <v>31.432499999999997</v>
      </c>
      <c r="D205">
        <v>52.456499999999998</v>
      </c>
    </row>
    <row r="206" spans="1:4" x14ac:dyDescent="0.3">
      <c r="A206" t="s">
        <v>14</v>
      </c>
      <c r="B206" t="s">
        <v>8</v>
      </c>
      <c r="C206">
        <v>21.024000000000001</v>
      </c>
    </row>
    <row r="207" spans="1:4" x14ac:dyDescent="0.3">
      <c r="C207">
        <f>C205+C206</f>
        <v>52.456499999999998</v>
      </c>
    </row>
    <row r="208" spans="1:4" x14ac:dyDescent="0.3">
      <c r="A208" t="s">
        <v>14</v>
      </c>
      <c r="B208" t="s">
        <v>7</v>
      </c>
      <c r="C208">
        <v>23.134499999999999</v>
      </c>
      <c r="D208">
        <v>53.626499999999993</v>
      </c>
    </row>
    <row r="209" spans="1:4" x14ac:dyDescent="0.3">
      <c r="A209" t="s">
        <v>14</v>
      </c>
      <c r="B209" t="s">
        <v>8</v>
      </c>
      <c r="C209">
        <v>30.491999999999997</v>
      </c>
    </row>
    <row r="210" spans="1:4" x14ac:dyDescent="0.3">
      <c r="C210">
        <f>C208+C209</f>
        <v>53.626499999999993</v>
      </c>
    </row>
    <row r="211" spans="1:4" x14ac:dyDescent="0.3">
      <c r="A211" t="s">
        <v>14</v>
      </c>
      <c r="B211" t="s">
        <v>7</v>
      </c>
      <c r="C211">
        <v>36.155999999999999</v>
      </c>
      <c r="D211">
        <v>65.542500000000004</v>
      </c>
    </row>
    <row r="212" spans="1:4" x14ac:dyDescent="0.3">
      <c r="A212" t="s">
        <v>14</v>
      </c>
      <c r="B212" t="s">
        <v>8</v>
      </c>
      <c r="C212">
        <v>29.386500000000002</v>
      </c>
    </row>
    <row r="213" spans="1:4" x14ac:dyDescent="0.3">
      <c r="C213">
        <f>C211+C212</f>
        <v>65.542500000000004</v>
      </c>
    </row>
    <row r="214" spans="1:4" x14ac:dyDescent="0.3">
      <c r="A214" t="s">
        <v>14</v>
      </c>
      <c r="B214" t="s">
        <v>7</v>
      </c>
      <c r="C214">
        <v>34.748999999999995</v>
      </c>
      <c r="D214">
        <v>68.256</v>
      </c>
    </row>
    <row r="215" spans="1:4" x14ac:dyDescent="0.3">
      <c r="A215" t="s">
        <v>14</v>
      </c>
      <c r="B215" t="s">
        <v>8</v>
      </c>
      <c r="C215">
        <v>33.506999999999998</v>
      </c>
    </row>
    <row r="216" spans="1:4" x14ac:dyDescent="0.3">
      <c r="C216">
        <f>C214+C215</f>
        <v>68.256</v>
      </c>
    </row>
    <row r="217" spans="1:4" x14ac:dyDescent="0.3">
      <c r="A217" t="s">
        <v>14</v>
      </c>
      <c r="B217" t="s">
        <v>7</v>
      </c>
      <c r="C217">
        <v>29.151</v>
      </c>
      <c r="D217">
        <v>53.055</v>
      </c>
    </row>
    <row r="218" spans="1:4" x14ac:dyDescent="0.3">
      <c r="A218" t="s">
        <v>14</v>
      </c>
      <c r="B218" t="s">
        <v>8</v>
      </c>
      <c r="C218">
        <v>23.904</v>
      </c>
    </row>
    <row r="219" spans="1:4" x14ac:dyDescent="0.3">
      <c r="C219">
        <f>C217+C218</f>
        <v>53.055</v>
      </c>
    </row>
    <row r="220" spans="1:4" x14ac:dyDescent="0.3">
      <c r="A220" t="s">
        <v>14</v>
      </c>
      <c r="B220" t="s">
        <v>7</v>
      </c>
      <c r="C220">
        <v>31.875</v>
      </c>
      <c r="D220">
        <v>62.483999999999995</v>
      </c>
    </row>
    <row r="221" spans="1:4" x14ac:dyDescent="0.3">
      <c r="A221" t="s">
        <v>14</v>
      </c>
      <c r="B221" t="s">
        <v>8</v>
      </c>
      <c r="C221">
        <v>30.608999999999998</v>
      </c>
    </row>
    <row r="222" spans="1:4" x14ac:dyDescent="0.3">
      <c r="C222">
        <f>C220+C221</f>
        <v>62.483999999999995</v>
      </c>
    </row>
    <row r="223" spans="1:4" x14ac:dyDescent="0.3">
      <c r="A223" t="s">
        <v>14</v>
      </c>
      <c r="B223" t="s">
        <v>7</v>
      </c>
      <c r="C223">
        <v>26.964000000000002</v>
      </c>
      <c r="D223">
        <v>50.4405</v>
      </c>
    </row>
    <row r="224" spans="1:4" x14ac:dyDescent="0.3">
      <c r="A224" t="s">
        <v>14</v>
      </c>
      <c r="B224" t="s">
        <v>8</v>
      </c>
      <c r="C224">
        <v>23.476500000000001</v>
      </c>
    </row>
    <row r="225" spans="1:4" x14ac:dyDescent="0.3">
      <c r="C225">
        <f>C223+C224</f>
        <v>50.4405</v>
      </c>
    </row>
    <row r="226" spans="1:4" x14ac:dyDescent="0.3">
      <c r="A226" t="s">
        <v>14</v>
      </c>
      <c r="B226" t="s">
        <v>7</v>
      </c>
      <c r="C226">
        <v>28.314</v>
      </c>
      <c r="D226">
        <v>58.266000000000005</v>
      </c>
    </row>
    <row r="227" spans="1:4" x14ac:dyDescent="0.3">
      <c r="A227" t="s">
        <v>14</v>
      </c>
      <c r="B227" t="s">
        <v>8</v>
      </c>
      <c r="C227">
        <v>29.952000000000002</v>
      </c>
    </row>
    <row r="228" spans="1:4" x14ac:dyDescent="0.3">
      <c r="C228">
        <f>C226+C227</f>
        <v>58.266000000000005</v>
      </c>
    </row>
    <row r="229" spans="1:4" x14ac:dyDescent="0.3">
      <c r="A229" t="s">
        <v>14</v>
      </c>
      <c r="B229" t="s">
        <v>7</v>
      </c>
      <c r="C229">
        <v>34.559999999999995</v>
      </c>
      <c r="D229">
        <v>65.417999999999992</v>
      </c>
    </row>
    <row r="230" spans="1:4" x14ac:dyDescent="0.3">
      <c r="A230" t="s">
        <v>14</v>
      </c>
      <c r="B230" t="s">
        <v>8</v>
      </c>
      <c r="C230">
        <v>30.857999999999997</v>
      </c>
    </row>
    <row r="231" spans="1:4" x14ac:dyDescent="0.3">
      <c r="C231">
        <f>C229+C230</f>
        <v>65.417999999999992</v>
      </c>
    </row>
    <row r="232" spans="1:4" x14ac:dyDescent="0.3">
      <c r="A232" t="s">
        <v>14</v>
      </c>
      <c r="B232" t="s">
        <v>7</v>
      </c>
      <c r="C232">
        <v>28.98</v>
      </c>
      <c r="D232">
        <v>58.042500000000004</v>
      </c>
    </row>
    <row r="233" spans="1:4" x14ac:dyDescent="0.3">
      <c r="A233" t="s">
        <v>14</v>
      </c>
      <c r="B233" t="s">
        <v>8</v>
      </c>
      <c r="C233">
        <v>29.0625</v>
      </c>
    </row>
    <row r="234" spans="1:4" x14ac:dyDescent="0.3">
      <c r="C234">
        <f>C232+C233</f>
        <v>58.042500000000004</v>
      </c>
    </row>
    <row r="235" spans="1:4" x14ac:dyDescent="0.3">
      <c r="A235" t="s">
        <v>14</v>
      </c>
      <c r="B235" t="s">
        <v>7</v>
      </c>
      <c r="C235">
        <v>33.601500000000001</v>
      </c>
      <c r="D235">
        <v>66.849000000000004</v>
      </c>
    </row>
    <row r="236" spans="1:4" x14ac:dyDescent="0.3">
      <c r="A236" t="s">
        <v>14</v>
      </c>
      <c r="B236" t="s">
        <v>8</v>
      </c>
      <c r="C236">
        <v>33.247500000000002</v>
      </c>
    </row>
    <row r="237" spans="1:4" x14ac:dyDescent="0.3">
      <c r="C237">
        <f>C235+C236</f>
        <v>66.849000000000004</v>
      </c>
    </row>
    <row r="238" spans="1:4" x14ac:dyDescent="0.3">
      <c r="A238" t="s">
        <v>14</v>
      </c>
      <c r="B238" t="s">
        <v>7</v>
      </c>
      <c r="C238">
        <v>34.020000000000003</v>
      </c>
      <c r="D238">
        <v>65.083500000000001</v>
      </c>
    </row>
    <row r="239" spans="1:4" x14ac:dyDescent="0.3">
      <c r="A239" t="s">
        <v>14</v>
      </c>
      <c r="B239" t="s">
        <v>8</v>
      </c>
      <c r="C239">
        <v>31.063499999999998</v>
      </c>
    </row>
    <row r="240" spans="1:4" x14ac:dyDescent="0.3">
      <c r="C240">
        <f>C238+C239</f>
        <v>65.083500000000001</v>
      </c>
    </row>
    <row r="241" spans="1:4" x14ac:dyDescent="0.3">
      <c r="A241" t="s">
        <v>14</v>
      </c>
      <c r="B241" t="s">
        <v>7</v>
      </c>
      <c r="C241">
        <v>32.04</v>
      </c>
      <c r="D241">
        <v>62.658000000000001</v>
      </c>
    </row>
    <row r="242" spans="1:4" x14ac:dyDescent="0.3">
      <c r="A242" t="s">
        <v>14</v>
      </c>
      <c r="B242" t="s">
        <v>8</v>
      </c>
      <c r="C242">
        <v>30.618000000000006</v>
      </c>
    </row>
    <row r="243" spans="1:4" x14ac:dyDescent="0.3">
      <c r="C243">
        <f>C241+C242</f>
        <v>62.658000000000001</v>
      </c>
    </row>
    <row r="244" spans="1:4" x14ac:dyDescent="0.3">
      <c r="A244" t="s">
        <v>14</v>
      </c>
      <c r="B244" t="s">
        <v>7</v>
      </c>
      <c r="C244">
        <v>35.112000000000002</v>
      </c>
      <c r="D244">
        <v>66.049499999999995</v>
      </c>
    </row>
    <row r="245" spans="1:4" x14ac:dyDescent="0.3">
      <c r="A245" t="s">
        <v>14</v>
      </c>
      <c r="B245" t="s">
        <v>8</v>
      </c>
      <c r="C245">
        <v>30.9375</v>
      </c>
    </row>
    <row r="246" spans="1:4" x14ac:dyDescent="0.3">
      <c r="C246">
        <f>C244+C245</f>
        <v>66.049499999999995</v>
      </c>
    </row>
    <row r="247" spans="1:4" x14ac:dyDescent="0.3">
      <c r="A247" t="s">
        <v>14</v>
      </c>
      <c r="B247" t="s">
        <v>7</v>
      </c>
      <c r="C247">
        <v>29.484000000000002</v>
      </c>
      <c r="D247">
        <v>54.636000000000003</v>
      </c>
    </row>
    <row r="248" spans="1:4" x14ac:dyDescent="0.3">
      <c r="A248" t="s">
        <v>14</v>
      </c>
      <c r="B248" t="s">
        <v>8</v>
      </c>
      <c r="C248">
        <v>25.152000000000001</v>
      </c>
    </row>
    <row r="249" spans="1:4" x14ac:dyDescent="0.3">
      <c r="C249">
        <f>C247+C248</f>
        <v>54.636000000000003</v>
      </c>
    </row>
    <row r="250" spans="1:4" x14ac:dyDescent="0.3">
      <c r="A250" t="s">
        <v>14</v>
      </c>
      <c r="B250" t="s">
        <v>7</v>
      </c>
      <c r="C250">
        <v>30</v>
      </c>
      <c r="D250">
        <v>53.1</v>
      </c>
    </row>
    <row r="251" spans="1:4" x14ac:dyDescent="0.3">
      <c r="A251" t="s">
        <v>14</v>
      </c>
      <c r="B251" t="s">
        <v>8</v>
      </c>
      <c r="C251">
        <v>23.1</v>
      </c>
    </row>
    <row r="252" spans="1:4" x14ac:dyDescent="0.3">
      <c r="C252">
        <f>C250+C251</f>
        <v>53.1</v>
      </c>
    </row>
    <row r="253" spans="1:4" x14ac:dyDescent="0.3">
      <c r="A253" t="s">
        <v>14</v>
      </c>
      <c r="B253" t="s">
        <v>7</v>
      </c>
      <c r="C253">
        <v>17.549999999999997</v>
      </c>
      <c r="D253">
        <v>46.739999999999995</v>
      </c>
    </row>
    <row r="254" spans="1:4" x14ac:dyDescent="0.3">
      <c r="A254" t="s">
        <v>14</v>
      </c>
      <c r="B254" t="s">
        <v>8</v>
      </c>
      <c r="C254">
        <v>29.189999999999998</v>
      </c>
    </row>
    <row r="255" spans="1:4" x14ac:dyDescent="0.3">
      <c r="C255">
        <f>C253+C254</f>
        <v>46.739999999999995</v>
      </c>
    </row>
    <row r="256" spans="1:4" x14ac:dyDescent="0.3">
      <c r="A256" t="s">
        <v>14</v>
      </c>
      <c r="B256" t="s">
        <v>7</v>
      </c>
      <c r="C256">
        <v>27.017999999999997</v>
      </c>
      <c r="D256">
        <v>55.373999999999995</v>
      </c>
    </row>
    <row r="257" spans="1:4" x14ac:dyDescent="0.3">
      <c r="A257" t="s">
        <v>14</v>
      </c>
      <c r="B257" t="s">
        <v>8</v>
      </c>
      <c r="C257">
        <v>28.356000000000002</v>
      </c>
    </row>
    <row r="258" spans="1:4" x14ac:dyDescent="0.3">
      <c r="C258">
        <f>C256+C257</f>
        <v>55.373999999999995</v>
      </c>
    </row>
    <row r="259" spans="1:4" x14ac:dyDescent="0.3">
      <c r="A259" t="s">
        <v>14</v>
      </c>
      <c r="B259" t="s">
        <v>7</v>
      </c>
      <c r="C259">
        <v>35.878499999999995</v>
      </c>
      <c r="D259">
        <v>49.646999999999998</v>
      </c>
    </row>
    <row r="260" spans="1:4" x14ac:dyDescent="0.3">
      <c r="A260" t="s">
        <v>14</v>
      </c>
      <c r="B260" t="s">
        <v>8</v>
      </c>
      <c r="C260">
        <v>13.768500000000003</v>
      </c>
    </row>
    <row r="261" spans="1:4" x14ac:dyDescent="0.3">
      <c r="C261">
        <f>C259+C260</f>
        <v>49.646999999999998</v>
      </c>
    </row>
    <row r="262" spans="1:4" x14ac:dyDescent="0.3">
      <c r="A262" t="s">
        <v>14</v>
      </c>
      <c r="B262" t="s">
        <v>7</v>
      </c>
      <c r="C262">
        <v>36.322499999999998</v>
      </c>
      <c r="D262">
        <v>61.283999999999999</v>
      </c>
    </row>
    <row r="263" spans="1:4" x14ac:dyDescent="0.3">
      <c r="A263" t="s">
        <v>14</v>
      </c>
      <c r="B263" t="s">
        <v>8</v>
      </c>
      <c r="C263">
        <v>24.961500000000001</v>
      </c>
    </row>
    <row r="264" spans="1:4" x14ac:dyDescent="0.3">
      <c r="C264">
        <f>C262+C263</f>
        <v>61.283999999999999</v>
      </c>
    </row>
    <row r="265" spans="1:4" x14ac:dyDescent="0.3">
      <c r="A265" t="s">
        <v>14</v>
      </c>
      <c r="B265" t="s">
        <v>7</v>
      </c>
      <c r="C265">
        <v>31.3125</v>
      </c>
      <c r="D265">
        <v>63.712500000000006</v>
      </c>
    </row>
    <row r="266" spans="1:4" x14ac:dyDescent="0.3">
      <c r="A266" t="s">
        <v>14</v>
      </c>
      <c r="B266" t="s">
        <v>8</v>
      </c>
      <c r="C266">
        <v>32.400000000000006</v>
      </c>
    </row>
    <row r="267" spans="1:4" x14ac:dyDescent="0.3">
      <c r="C267">
        <f>C265+C266</f>
        <v>63.712500000000006</v>
      </c>
    </row>
    <row r="268" spans="1:4" x14ac:dyDescent="0.3">
      <c r="A268" t="s">
        <v>14</v>
      </c>
      <c r="B268" t="s">
        <v>7</v>
      </c>
      <c r="C268">
        <v>38.963999999999999</v>
      </c>
      <c r="D268">
        <v>69.288000000000011</v>
      </c>
    </row>
    <row r="269" spans="1:4" x14ac:dyDescent="0.3">
      <c r="A269" t="s">
        <v>14</v>
      </c>
      <c r="B269" t="s">
        <v>8</v>
      </c>
      <c r="C269">
        <v>30.324000000000005</v>
      </c>
    </row>
    <row r="270" spans="1:4" x14ac:dyDescent="0.3">
      <c r="C270">
        <f>C268+C269</f>
        <v>69.288000000000011</v>
      </c>
    </row>
    <row r="271" spans="1:4" x14ac:dyDescent="0.3">
      <c r="A271" t="s">
        <v>14</v>
      </c>
      <c r="B271" t="s">
        <v>7</v>
      </c>
      <c r="C271">
        <v>33.344999999999999</v>
      </c>
      <c r="D271">
        <v>56.674500000000002</v>
      </c>
    </row>
    <row r="272" spans="1:4" x14ac:dyDescent="0.3">
      <c r="A272" t="s">
        <v>14</v>
      </c>
      <c r="B272" t="s">
        <v>8</v>
      </c>
      <c r="C272">
        <v>23.329500000000003</v>
      </c>
    </row>
    <row r="273" spans="1:4" x14ac:dyDescent="0.3">
      <c r="C273">
        <f>C271+C272</f>
        <v>56.674500000000002</v>
      </c>
    </row>
    <row r="274" spans="1:4" x14ac:dyDescent="0.3">
      <c r="A274" t="s">
        <v>14</v>
      </c>
      <c r="B274" t="s">
        <v>7</v>
      </c>
      <c r="C274">
        <v>27.772499999999997</v>
      </c>
      <c r="D274">
        <v>59.848500000000001</v>
      </c>
    </row>
    <row r="275" spans="1:4" x14ac:dyDescent="0.3">
      <c r="A275" t="s">
        <v>14</v>
      </c>
      <c r="B275" t="s">
        <v>8</v>
      </c>
      <c r="C275">
        <v>32.076000000000008</v>
      </c>
    </row>
    <row r="276" spans="1:4" x14ac:dyDescent="0.3">
      <c r="C276">
        <f>C274+C275</f>
        <v>59.848500000000001</v>
      </c>
    </row>
    <row r="277" spans="1:4" x14ac:dyDescent="0.3">
      <c r="A277" t="s">
        <v>14</v>
      </c>
      <c r="B277" t="s">
        <v>7</v>
      </c>
      <c r="C277">
        <v>34.176000000000002</v>
      </c>
      <c r="D277">
        <v>63.538499999999999</v>
      </c>
    </row>
    <row r="278" spans="1:4" x14ac:dyDescent="0.3">
      <c r="A278" t="s">
        <v>14</v>
      </c>
      <c r="B278" t="s">
        <v>8</v>
      </c>
      <c r="C278">
        <v>29.362500000000001</v>
      </c>
    </row>
    <row r="279" spans="1:4" x14ac:dyDescent="0.3">
      <c r="C279">
        <f>C277+C278</f>
        <v>63.538499999999999</v>
      </c>
    </row>
    <row r="280" spans="1:4" x14ac:dyDescent="0.3">
      <c r="A280" t="s">
        <v>14</v>
      </c>
      <c r="B280" t="s">
        <v>7</v>
      </c>
      <c r="C280">
        <v>35.802</v>
      </c>
      <c r="D280">
        <v>67.197000000000003</v>
      </c>
    </row>
    <row r="281" spans="1:4" x14ac:dyDescent="0.3">
      <c r="A281" t="s">
        <v>14</v>
      </c>
      <c r="B281" t="s">
        <v>8</v>
      </c>
      <c r="C281">
        <v>31.395000000000007</v>
      </c>
    </row>
    <row r="282" spans="1:4" x14ac:dyDescent="0.3">
      <c r="C282">
        <f>C280+C281</f>
        <v>67.197000000000003</v>
      </c>
    </row>
    <row r="283" spans="1:4" x14ac:dyDescent="0.3">
      <c r="A283" t="s">
        <v>14</v>
      </c>
      <c r="B283" t="s">
        <v>7</v>
      </c>
      <c r="C283">
        <v>27.074999999999999</v>
      </c>
      <c r="D283">
        <v>57.262499999999996</v>
      </c>
    </row>
    <row r="284" spans="1:4" x14ac:dyDescent="0.3">
      <c r="A284" t="s">
        <v>14</v>
      </c>
      <c r="B284" t="s">
        <v>8</v>
      </c>
      <c r="C284">
        <v>30.187499999999996</v>
      </c>
    </row>
    <row r="285" spans="1:4" x14ac:dyDescent="0.3">
      <c r="C285">
        <f>C283+C284</f>
        <v>57.262499999999996</v>
      </c>
    </row>
    <row r="287" spans="1:4" x14ac:dyDescent="0.3">
      <c r="A287" t="s">
        <v>228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9838-C9F1-4421-BAE0-E660CA0E9A77}">
  <dimension ref="A1:Q68"/>
  <sheetViews>
    <sheetView topLeftCell="J1" workbookViewId="0">
      <selection activeCell="P15" sqref="P15"/>
    </sheetView>
  </sheetViews>
  <sheetFormatPr defaultRowHeight="14.4" x14ac:dyDescent="0.3"/>
  <cols>
    <col min="15" max="15" width="16.33203125" customWidth="1"/>
    <col min="16" max="16" width="13" customWidth="1"/>
  </cols>
  <sheetData>
    <row r="1" spans="1:17" x14ac:dyDescent="0.3">
      <c r="M1" t="s">
        <v>0</v>
      </c>
      <c r="N1" t="s">
        <v>19</v>
      </c>
      <c r="O1" t="s">
        <v>329</v>
      </c>
      <c r="P1" t="s">
        <v>22</v>
      </c>
      <c r="Q1" t="s">
        <v>24</v>
      </c>
    </row>
    <row r="2" spans="1:17" x14ac:dyDescent="0.3">
      <c r="A2" t="s">
        <v>330</v>
      </c>
      <c r="M2" t="s">
        <v>25</v>
      </c>
      <c r="N2" t="s">
        <v>7</v>
      </c>
      <c r="O2" t="s">
        <v>27</v>
      </c>
      <c r="P2" t="s">
        <v>28</v>
      </c>
      <c r="Q2" t="s">
        <v>30</v>
      </c>
    </row>
    <row r="3" spans="1:17" x14ac:dyDescent="0.3">
      <c r="A3" s="1" t="s">
        <v>331</v>
      </c>
      <c r="N3" t="s">
        <v>8</v>
      </c>
      <c r="O3" t="s">
        <v>32</v>
      </c>
      <c r="P3" t="s">
        <v>33</v>
      </c>
      <c r="Q3" t="s">
        <v>35</v>
      </c>
    </row>
    <row r="4" spans="1:17" x14ac:dyDescent="0.3">
      <c r="A4" s="2" t="s">
        <v>233</v>
      </c>
      <c r="N4" t="s">
        <v>36</v>
      </c>
      <c r="O4" t="s">
        <v>38</v>
      </c>
      <c r="P4" t="s">
        <v>39</v>
      </c>
      <c r="Q4" t="s">
        <v>41</v>
      </c>
    </row>
    <row r="5" spans="1:17" x14ac:dyDescent="0.3">
      <c r="A5" s="3" t="s">
        <v>332</v>
      </c>
      <c r="M5" t="s">
        <v>12</v>
      </c>
      <c r="N5" t="s">
        <v>7</v>
      </c>
      <c r="O5" t="s">
        <v>43</v>
      </c>
      <c r="P5" t="s">
        <v>44</v>
      </c>
      <c r="Q5" t="s">
        <v>46</v>
      </c>
    </row>
    <row r="6" spans="1:17" x14ac:dyDescent="0.3">
      <c r="A6" s="3" t="s">
        <v>333</v>
      </c>
      <c r="N6" t="s">
        <v>8</v>
      </c>
      <c r="O6" t="s">
        <v>48</v>
      </c>
      <c r="P6" t="s">
        <v>49</v>
      </c>
      <c r="Q6" t="s">
        <v>51</v>
      </c>
    </row>
    <row r="7" spans="1:17" x14ac:dyDescent="0.3">
      <c r="A7" s="4"/>
      <c r="N7" t="s">
        <v>36</v>
      </c>
      <c r="O7" t="s">
        <v>53</v>
      </c>
      <c r="P7" t="s">
        <v>54</v>
      </c>
      <c r="Q7" t="s">
        <v>56</v>
      </c>
    </row>
    <row r="8" spans="1:17" x14ac:dyDescent="0.3">
      <c r="A8" s="1" t="s">
        <v>331</v>
      </c>
      <c r="M8" t="s">
        <v>14</v>
      </c>
      <c r="N8" t="s">
        <v>7</v>
      </c>
      <c r="O8" t="s">
        <v>58</v>
      </c>
      <c r="P8" t="s">
        <v>59</v>
      </c>
      <c r="Q8" t="s">
        <v>61</v>
      </c>
    </row>
    <row r="9" spans="1:17" x14ac:dyDescent="0.3">
      <c r="A9" s="2" t="s">
        <v>334</v>
      </c>
      <c r="N9" t="s">
        <v>8</v>
      </c>
      <c r="O9" t="s">
        <v>63</v>
      </c>
      <c r="P9" t="s">
        <v>64</v>
      </c>
      <c r="Q9" t="s">
        <v>66</v>
      </c>
    </row>
    <row r="10" spans="1:17" x14ac:dyDescent="0.3">
      <c r="A10" s="3" t="s">
        <v>335</v>
      </c>
      <c r="N10" t="s">
        <v>36</v>
      </c>
      <c r="O10" t="s">
        <v>68</v>
      </c>
      <c r="P10" t="s">
        <v>69</v>
      </c>
      <c r="Q10" t="s">
        <v>71</v>
      </c>
    </row>
    <row r="11" spans="1:17" x14ac:dyDescent="0.3">
      <c r="A11" s="3" t="s">
        <v>336</v>
      </c>
    </row>
    <row r="12" spans="1:17" x14ac:dyDescent="0.3">
      <c r="A12" s="4"/>
    </row>
    <row r="13" spans="1:17" ht="15.6" x14ac:dyDescent="0.3">
      <c r="A13" s="5" t="s">
        <v>337</v>
      </c>
      <c r="B13" s="6"/>
      <c r="C13" s="6"/>
      <c r="D13" s="6"/>
      <c r="E13" s="6"/>
      <c r="F13" s="6"/>
      <c r="G13" s="6"/>
    </row>
    <row r="14" spans="1:17" ht="15.6" x14ac:dyDescent="0.3">
      <c r="A14" s="7" t="s">
        <v>338</v>
      </c>
      <c r="B14" s="6"/>
      <c r="C14" s="6"/>
      <c r="D14" s="6"/>
      <c r="E14" s="6"/>
      <c r="F14" s="6"/>
      <c r="G14" s="6"/>
    </row>
    <row r="15" spans="1:17" ht="15.6" x14ac:dyDescent="0.3">
      <c r="A15" s="8" t="s">
        <v>339</v>
      </c>
      <c r="B15" s="6"/>
      <c r="C15" s="6"/>
      <c r="D15" s="6"/>
      <c r="E15" s="6"/>
      <c r="F15" s="6"/>
      <c r="G15" s="6"/>
    </row>
    <row r="16" spans="1:17" ht="15.6" x14ac:dyDescent="0.3">
      <c r="A16" s="8" t="s">
        <v>340</v>
      </c>
      <c r="B16" s="6"/>
      <c r="C16" s="6"/>
      <c r="D16" s="6"/>
      <c r="E16" s="6"/>
      <c r="F16" s="6"/>
      <c r="G16" s="6"/>
    </row>
    <row r="17" spans="1:7" ht="15.6" x14ac:dyDescent="0.3">
      <c r="A17" s="8"/>
      <c r="B17" s="6"/>
      <c r="C17" s="6"/>
      <c r="D17" s="6"/>
      <c r="E17" s="6"/>
      <c r="F17" s="6"/>
      <c r="G17" s="6"/>
    </row>
    <row r="18" spans="1:7" ht="15.6" x14ac:dyDescent="0.3">
      <c r="A18" s="8" t="s">
        <v>341</v>
      </c>
      <c r="B18" s="6"/>
      <c r="C18" s="6"/>
      <c r="D18" s="6"/>
      <c r="E18" s="6"/>
      <c r="F18" s="6"/>
      <c r="G18" s="6"/>
    </row>
    <row r="19" spans="1:7" ht="15.6" x14ac:dyDescent="0.3">
      <c r="A19" s="5" t="s">
        <v>342</v>
      </c>
      <c r="B19" s="6"/>
      <c r="C19" s="6"/>
      <c r="D19" s="6"/>
      <c r="E19" s="6"/>
      <c r="F19" s="6"/>
      <c r="G19" s="6"/>
    </row>
    <row r="20" spans="1:7" ht="15.6" x14ac:dyDescent="0.3">
      <c r="A20" s="7" t="s">
        <v>343</v>
      </c>
      <c r="B20" s="6"/>
      <c r="C20" s="6"/>
      <c r="D20" s="6"/>
      <c r="E20" s="6"/>
      <c r="F20" s="6"/>
      <c r="G20" s="6"/>
    </row>
    <row r="21" spans="1:7" ht="15.6" x14ac:dyDescent="0.3">
      <c r="A21" s="8" t="s">
        <v>344</v>
      </c>
      <c r="B21" s="6"/>
      <c r="C21" s="6"/>
      <c r="D21" s="6"/>
      <c r="E21" s="6"/>
      <c r="F21" s="6"/>
      <c r="G21" s="6"/>
    </row>
    <row r="22" spans="1:7" ht="15.6" x14ac:dyDescent="0.3">
      <c r="A22" s="9" t="s">
        <v>345</v>
      </c>
      <c r="B22" s="6"/>
      <c r="C22" s="6"/>
      <c r="D22" s="6"/>
      <c r="E22" s="6"/>
      <c r="F22" s="6"/>
      <c r="G22" s="6"/>
    </row>
    <row r="23" spans="1:7" ht="15.6" x14ac:dyDescent="0.3">
      <c r="A23" s="6"/>
      <c r="B23" s="6"/>
      <c r="C23" s="6"/>
      <c r="D23" s="6"/>
      <c r="E23" s="6"/>
      <c r="F23" s="6"/>
      <c r="G23" s="6"/>
    </row>
    <row r="25" spans="1:7" x14ac:dyDescent="0.3">
      <c r="A25" t="s">
        <v>346</v>
      </c>
    </row>
    <row r="26" spans="1:7" x14ac:dyDescent="0.3">
      <c r="A26" s="10" t="s">
        <v>347</v>
      </c>
    </row>
    <row r="27" spans="1:7" x14ac:dyDescent="0.3">
      <c r="A27" s="10" t="s">
        <v>204</v>
      </c>
    </row>
    <row r="28" spans="1:7" x14ac:dyDescent="0.3">
      <c r="A28" s="1" t="s">
        <v>205</v>
      </c>
    </row>
    <row r="29" spans="1:7" x14ac:dyDescent="0.3">
      <c r="A29" s="2" t="s">
        <v>348</v>
      </c>
    </row>
    <row r="30" spans="1:7" x14ac:dyDescent="0.3">
      <c r="A30" s="3" t="s">
        <v>349</v>
      </c>
    </row>
    <row r="31" spans="1:7" x14ac:dyDescent="0.3">
      <c r="A31" s="3" t="s">
        <v>350</v>
      </c>
    </row>
    <row r="32" spans="1:7" x14ac:dyDescent="0.3">
      <c r="A32" s="10" t="s">
        <v>351</v>
      </c>
    </row>
    <row r="33" spans="1:1" x14ac:dyDescent="0.3">
      <c r="A33" s="10" t="s">
        <v>352</v>
      </c>
    </row>
    <row r="34" spans="1:1" x14ac:dyDescent="0.3">
      <c r="A34" s="10" t="s">
        <v>216</v>
      </c>
    </row>
    <row r="35" spans="1:1" x14ac:dyDescent="0.3">
      <c r="A35" s="1" t="s">
        <v>218</v>
      </c>
    </row>
    <row r="36" spans="1:1" x14ac:dyDescent="0.3">
      <c r="A36" s="2" t="s">
        <v>353</v>
      </c>
    </row>
    <row r="37" spans="1:1" x14ac:dyDescent="0.3">
      <c r="A37" s="3" t="s">
        <v>354</v>
      </c>
    </row>
    <row r="38" spans="1:1" x14ac:dyDescent="0.3">
      <c r="A38" s="3" t="s">
        <v>355</v>
      </c>
    </row>
    <row r="39" spans="1:1" x14ac:dyDescent="0.3">
      <c r="A39" s="4"/>
    </row>
    <row r="40" spans="1:1" x14ac:dyDescent="0.3">
      <c r="A40" s="11" t="s">
        <v>227</v>
      </c>
    </row>
    <row r="41" spans="1:1" x14ac:dyDescent="0.3">
      <c r="A41" s="10" t="s">
        <v>356</v>
      </c>
    </row>
    <row r="42" spans="1:1" x14ac:dyDescent="0.3">
      <c r="A42" s="10" t="s">
        <v>204</v>
      </c>
    </row>
    <row r="43" spans="1:1" x14ac:dyDescent="0.3">
      <c r="A43" s="1" t="s">
        <v>205</v>
      </c>
    </row>
    <row r="44" spans="1:1" x14ac:dyDescent="0.3">
      <c r="A44" s="2" t="s">
        <v>357</v>
      </c>
    </row>
    <row r="45" spans="1:1" x14ac:dyDescent="0.3">
      <c r="A45" s="3" t="s">
        <v>358</v>
      </c>
    </row>
    <row r="46" spans="1:1" x14ac:dyDescent="0.3">
      <c r="A46" s="3" t="s">
        <v>359</v>
      </c>
    </row>
    <row r="47" spans="1:1" x14ac:dyDescent="0.3">
      <c r="A47" s="10" t="s">
        <v>351</v>
      </c>
    </row>
    <row r="48" spans="1:1" x14ac:dyDescent="0.3">
      <c r="A48" s="10" t="s">
        <v>360</v>
      </c>
    </row>
    <row r="49" spans="1:9" x14ac:dyDescent="0.3">
      <c r="A49" s="10" t="s">
        <v>216</v>
      </c>
    </row>
    <row r="50" spans="1:9" x14ac:dyDescent="0.3">
      <c r="A50" s="1" t="s">
        <v>218</v>
      </c>
    </row>
    <row r="51" spans="1:9" x14ac:dyDescent="0.3">
      <c r="A51" s="2" t="s">
        <v>361</v>
      </c>
    </row>
    <row r="52" spans="1:9" x14ac:dyDescent="0.3">
      <c r="A52" s="3" t="s">
        <v>362</v>
      </c>
    </row>
    <row r="53" spans="1:9" x14ac:dyDescent="0.3">
      <c r="A53" s="3" t="s">
        <v>363</v>
      </c>
    </row>
    <row r="54" spans="1:9" x14ac:dyDescent="0.3">
      <c r="A54" s="4"/>
    </row>
    <row r="55" spans="1:9" x14ac:dyDescent="0.3">
      <c r="A55" s="11" t="s">
        <v>227</v>
      </c>
    </row>
    <row r="56" spans="1:9" ht="15.6" x14ac:dyDescent="0.3">
      <c r="A56" s="12" t="s">
        <v>364</v>
      </c>
      <c r="B56" s="6"/>
      <c r="C56" s="6"/>
      <c r="D56" s="6"/>
      <c r="E56" s="6"/>
      <c r="F56" s="6"/>
      <c r="G56" s="6"/>
      <c r="H56" s="6"/>
      <c r="I56" s="6"/>
    </row>
    <row r="57" spans="1:9" ht="15.6" x14ac:dyDescent="0.3">
      <c r="A57" s="13" t="s">
        <v>204</v>
      </c>
      <c r="B57" s="6"/>
      <c r="C57" s="6"/>
      <c r="D57" s="6"/>
      <c r="E57" s="6"/>
      <c r="F57" s="6"/>
      <c r="G57" s="6"/>
      <c r="H57" s="6"/>
      <c r="I57" s="6"/>
    </row>
    <row r="58" spans="1:9" ht="15.6" x14ac:dyDescent="0.3">
      <c r="A58" s="14" t="s">
        <v>205</v>
      </c>
      <c r="B58" s="6"/>
      <c r="C58" s="6"/>
      <c r="D58" s="6"/>
      <c r="E58" s="6"/>
      <c r="F58" s="6"/>
      <c r="G58" s="6"/>
      <c r="H58" s="6"/>
      <c r="I58" s="6"/>
    </row>
    <row r="59" spans="1:9" ht="15.6" x14ac:dyDescent="0.3">
      <c r="A59" s="15" t="s">
        <v>207</v>
      </c>
      <c r="B59" s="6"/>
      <c r="C59" s="6"/>
      <c r="D59" s="6"/>
      <c r="E59" s="6"/>
      <c r="F59" s="6"/>
      <c r="G59" s="6"/>
      <c r="H59" s="6"/>
      <c r="I59" s="6"/>
    </row>
    <row r="60" spans="1:9" ht="15.6" x14ac:dyDescent="0.3">
      <c r="A60" s="9" t="s">
        <v>209</v>
      </c>
      <c r="B60" s="6"/>
      <c r="C60" s="6"/>
      <c r="D60" s="6"/>
      <c r="E60" s="6"/>
      <c r="F60" s="6"/>
      <c r="G60" s="6"/>
      <c r="H60" s="6"/>
      <c r="I60" s="6"/>
    </row>
    <row r="61" spans="1:9" ht="15.6" x14ac:dyDescent="0.3">
      <c r="A61" s="9" t="s">
        <v>365</v>
      </c>
      <c r="B61" s="6"/>
      <c r="C61" s="6"/>
      <c r="D61" s="6"/>
      <c r="E61" s="6"/>
      <c r="F61" s="6"/>
      <c r="G61" s="6"/>
      <c r="H61" s="6"/>
      <c r="I61" s="6"/>
    </row>
    <row r="62" spans="1:9" ht="15.6" x14ac:dyDescent="0.3">
      <c r="A62" s="13" t="s">
        <v>351</v>
      </c>
      <c r="B62" s="6"/>
      <c r="C62" s="6"/>
      <c r="D62" s="6"/>
      <c r="E62" s="6"/>
      <c r="F62" s="6"/>
      <c r="G62" s="6"/>
      <c r="H62" s="6"/>
      <c r="I62" s="6"/>
    </row>
    <row r="63" spans="1:9" ht="15.6" x14ac:dyDescent="0.3">
      <c r="A63" s="13" t="s">
        <v>366</v>
      </c>
      <c r="B63" s="6"/>
      <c r="C63" s="6"/>
      <c r="D63" s="6"/>
      <c r="E63" s="6"/>
      <c r="F63" s="6"/>
      <c r="G63" s="6"/>
      <c r="H63" s="6"/>
      <c r="I63" s="6"/>
    </row>
    <row r="64" spans="1:9" ht="15.6" x14ac:dyDescent="0.3">
      <c r="A64" s="13" t="s">
        <v>216</v>
      </c>
      <c r="B64" s="6"/>
      <c r="C64" s="6"/>
      <c r="D64" s="6"/>
      <c r="E64" s="6"/>
      <c r="F64" s="6"/>
      <c r="G64" s="6"/>
      <c r="H64" s="6"/>
      <c r="I64" s="6"/>
    </row>
    <row r="65" spans="1:9" ht="15.6" x14ac:dyDescent="0.3">
      <c r="A65" s="14" t="s">
        <v>218</v>
      </c>
      <c r="B65" s="6"/>
      <c r="C65" s="6"/>
      <c r="D65" s="6"/>
      <c r="E65" s="6"/>
      <c r="F65" s="6"/>
      <c r="G65" s="6"/>
      <c r="H65" s="6"/>
      <c r="I65" s="6"/>
    </row>
    <row r="66" spans="1:9" ht="15.6" x14ac:dyDescent="0.3">
      <c r="A66" s="15" t="s">
        <v>220</v>
      </c>
      <c r="B66" s="6"/>
      <c r="C66" s="6"/>
      <c r="D66" s="6"/>
      <c r="E66" s="6"/>
      <c r="F66" s="6"/>
      <c r="G66" s="6"/>
      <c r="H66" s="6"/>
      <c r="I66" s="6"/>
    </row>
    <row r="67" spans="1:9" ht="15.6" x14ac:dyDescent="0.3">
      <c r="A67" s="9" t="s">
        <v>222</v>
      </c>
      <c r="B67" s="6"/>
      <c r="C67" s="6"/>
      <c r="D67" s="6"/>
      <c r="E67" s="6"/>
      <c r="F67" s="6"/>
      <c r="G67" s="6"/>
      <c r="H67" s="6"/>
      <c r="I67" s="6"/>
    </row>
    <row r="68" spans="1:9" ht="15.6" x14ac:dyDescent="0.3">
      <c r="A68" s="9" t="s">
        <v>367</v>
      </c>
      <c r="B68" s="6"/>
      <c r="C68" s="6"/>
      <c r="D68" s="6"/>
      <c r="E68" s="6"/>
      <c r="F68" s="6"/>
      <c r="G68" s="6"/>
      <c r="H68" s="6"/>
      <c r="I68" s="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4BBB-180C-42EA-9ED9-CD32EE9FD08A}">
  <dimension ref="A1:L49"/>
  <sheetViews>
    <sheetView workbookViewId="0">
      <selection activeCell="J11" sqref="J11"/>
    </sheetView>
  </sheetViews>
  <sheetFormatPr defaultRowHeight="14.4" x14ac:dyDescent="0.3"/>
  <cols>
    <col min="3" max="3" width="16.88671875" customWidth="1"/>
    <col min="13" max="13" width="15.88671875" customWidth="1"/>
  </cols>
  <sheetData>
    <row r="1" spans="1:12" ht="15.6" x14ac:dyDescent="0.3">
      <c r="A1" s="5" t="s">
        <v>337</v>
      </c>
      <c r="B1" s="6"/>
      <c r="C1" s="6"/>
      <c r="D1" s="6"/>
    </row>
    <row r="2" spans="1:12" ht="15.6" x14ac:dyDescent="0.3">
      <c r="A2" s="7" t="s">
        <v>233</v>
      </c>
      <c r="B2" s="6"/>
      <c r="C2" s="6"/>
      <c r="D2" s="6"/>
    </row>
    <row r="3" spans="1:12" ht="15.6" x14ac:dyDescent="0.3">
      <c r="A3" s="8" t="s">
        <v>235</v>
      </c>
      <c r="B3" s="6"/>
      <c r="C3" s="6"/>
      <c r="D3" s="6"/>
    </row>
    <row r="4" spans="1:12" ht="15.6" x14ac:dyDescent="0.3">
      <c r="A4" s="9" t="s">
        <v>368</v>
      </c>
      <c r="B4" s="6"/>
      <c r="C4" s="6"/>
      <c r="D4" s="6"/>
    </row>
    <row r="6" spans="1:12" x14ac:dyDescent="0.3">
      <c r="A6" t="s">
        <v>369</v>
      </c>
    </row>
    <row r="7" spans="1:12" x14ac:dyDescent="0.3">
      <c r="A7" t="s">
        <v>0</v>
      </c>
      <c r="B7" t="s">
        <v>19</v>
      </c>
      <c r="C7" t="s">
        <v>24</v>
      </c>
    </row>
    <row r="8" spans="1:12" x14ac:dyDescent="0.3">
      <c r="A8" t="s">
        <v>25</v>
      </c>
      <c r="B8" t="s">
        <v>36</v>
      </c>
      <c r="C8">
        <v>76.22</v>
      </c>
    </row>
    <row r="9" spans="1:12" x14ac:dyDescent="0.3">
      <c r="A9" t="s">
        <v>12</v>
      </c>
      <c r="B9" t="s">
        <v>36</v>
      </c>
      <c r="C9">
        <v>72.53</v>
      </c>
    </row>
    <row r="10" spans="1:12" x14ac:dyDescent="0.3">
      <c r="A10" t="s">
        <v>14</v>
      </c>
      <c r="B10" t="s">
        <v>36</v>
      </c>
      <c r="C10">
        <v>58.87</v>
      </c>
    </row>
    <row r="11" spans="1:12" ht="15.6" x14ac:dyDescent="0.3">
      <c r="K11" s="18"/>
      <c r="L11" s="17"/>
    </row>
    <row r="12" spans="1:12" ht="15.6" x14ac:dyDescent="0.3">
      <c r="K12" s="18"/>
      <c r="L12" s="17"/>
    </row>
    <row r="13" spans="1:12" ht="15.6" x14ac:dyDescent="0.3">
      <c r="K13" s="18"/>
      <c r="L13" s="17"/>
    </row>
    <row r="14" spans="1:12" ht="15.6" x14ac:dyDescent="0.3">
      <c r="A14" s="7" t="s">
        <v>370</v>
      </c>
      <c r="B14" s="6"/>
      <c r="C14" s="6"/>
      <c r="D14" s="6"/>
      <c r="E14" s="6"/>
      <c r="K14" s="18"/>
      <c r="L14" s="17"/>
    </row>
    <row r="15" spans="1:12" ht="15.6" x14ac:dyDescent="0.3">
      <c r="A15" s="16"/>
      <c r="B15" s="6"/>
      <c r="C15" s="6"/>
      <c r="D15" s="6"/>
      <c r="E15" s="6"/>
    </row>
    <row r="16" spans="1:12" ht="15.6" x14ac:dyDescent="0.3">
      <c r="A16" s="7" t="s">
        <v>371</v>
      </c>
      <c r="B16" s="6"/>
      <c r="C16" s="6"/>
      <c r="D16" s="6"/>
      <c r="E16" s="6"/>
    </row>
    <row r="17" spans="1:5" ht="15.6" x14ac:dyDescent="0.3">
      <c r="A17" s="15" t="s">
        <v>372</v>
      </c>
      <c r="B17" s="6"/>
      <c r="C17" s="6"/>
      <c r="D17" s="6"/>
      <c r="E17" s="6"/>
    </row>
    <row r="20" spans="1:5" x14ac:dyDescent="0.3">
      <c r="A20" t="s">
        <v>0</v>
      </c>
      <c r="B20" t="s">
        <v>19</v>
      </c>
      <c r="C20" t="s">
        <v>24</v>
      </c>
    </row>
    <row r="21" spans="1:5" x14ac:dyDescent="0.3">
      <c r="A21" t="s">
        <v>25</v>
      </c>
      <c r="B21" t="s">
        <v>36</v>
      </c>
      <c r="C21">
        <v>140.49</v>
      </c>
    </row>
    <row r="22" spans="1:5" ht="15.6" x14ac:dyDescent="0.3">
      <c r="A22" t="s">
        <v>12</v>
      </c>
      <c r="B22" t="s">
        <v>36</v>
      </c>
      <c r="C22" s="17">
        <v>35.28</v>
      </c>
    </row>
    <row r="23" spans="1:5" x14ac:dyDescent="0.3">
      <c r="A23" t="s">
        <v>373</v>
      </c>
      <c r="B23" t="s">
        <v>36</v>
      </c>
      <c r="C23">
        <v>75.45</v>
      </c>
    </row>
    <row r="24" spans="1:5" x14ac:dyDescent="0.3">
      <c r="A24" t="s">
        <v>14</v>
      </c>
      <c r="B24" t="s">
        <v>36</v>
      </c>
      <c r="C24">
        <v>58.87</v>
      </c>
    </row>
    <row r="28" spans="1:5" ht="15.6" x14ac:dyDescent="0.3">
      <c r="A28" s="7" t="s">
        <v>370</v>
      </c>
      <c r="B28" s="6"/>
      <c r="C28" s="6"/>
      <c r="D28" s="6"/>
      <c r="E28" s="6"/>
    </row>
    <row r="29" spans="1:5" ht="15.6" x14ac:dyDescent="0.3">
      <c r="A29" s="16"/>
      <c r="B29" s="6"/>
      <c r="C29" s="6"/>
      <c r="D29" s="6"/>
      <c r="E29" s="6"/>
    </row>
    <row r="30" spans="1:5" ht="15.6" x14ac:dyDescent="0.3">
      <c r="A30" s="7" t="s">
        <v>371</v>
      </c>
      <c r="B30" s="6"/>
      <c r="C30" s="6"/>
      <c r="D30" s="6"/>
      <c r="E30" s="6"/>
    </row>
    <row r="31" spans="1:5" ht="15.6" x14ac:dyDescent="0.3">
      <c r="A31" s="15" t="s">
        <v>374</v>
      </c>
      <c r="B31" s="6"/>
      <c r="C31" s="6"/>
      <c r="D31" s="6"/>
      <c r="E31" s="6"/>
    </row>
    <row r="34" spans="1:5" x14ac:dyDescent="0.3">
      <c r="B34" t="s">
        <v>0</v>
      </c>
      <c r="C34" t="s">
        <v>19</v>
      </c>
      <c r="D34" t="s">
        <v>24</v>
      </c>
    </row>
    <row r="35" spans="1:5" x14ac:dyDescent="0.3">
      <c r="B35" t="s">
        <v>373</v>
      </c>
      <c r="C35" t="s">
        <v>36</v>
      </c>
      <c r="D35">
        <v>75.45</v>
      </c>
    </row>
    <row r="36" spans="1:5" x14ac:dyDescent="0.3">
      <c r="B36" t="s">
        <v>14</v>
      </c>
      <c r="C36" t="s">
        <v>36</v>
      </c>
      <c r="D36">
        <v>58.87</v>
      </c>
    </row>
    <row r="40" spans="1:5" ht="15.6" x14ac:dyDescent="0.3">
      <c r="A40" s="7" t="s">
        <v>370</v>
      </c>
      <c r="B40" s="6"/>
      <c r="C40" s="6"/>
      <c r="D40" s="6"/>
      <c r="E40" s="6"/>
    </row>
    <row r="41" spans="1:5" ht="15.6" x14ac:dyDescent="0.3">
      <c r="A41" s="16"/>
      <c r="B41" s="6"/>
      <c r="C41" s="6"/>
      <c r="D41" s="6"/>
      <c r="E41" s="6"/>
    </row>
    <row r="42" spans="1:5" ht="15.6" x14ac:dyDescent="0.3">
      <c r="A42" s="7" t="s">
        <v>371</v>
      </c>
      <c r="B42" s="6"/>
      <c r="C42" s="6"/>
      <c r="D42" s="6"/>
      <c r="E42" s="6"/>
    </row>
    <row r="43" spans="1:5" ht="15.6" x14ac:dyDescent="0.3">
      <c r="A43" s="7" t="s">
        <v>375</v>
      </c>
      <c r="B43" s="6"/>
      <c r="C43" s="6"/>
      <c r="D43" s="6"/>
      <c r="E43" s="6"/>
    </row>
    <row r="46" spans="1:5" x14ac:dyDescent="0.3">
      <c r="A46" t="s">
        <v>0</v>
      </c>
      <c r="B46" t="s">
        <v>19</v>
      </c>
      <c r="C46" t="s">
        <v>376</v>
      </c>
    </row>
    <row r="47" spans="1:5" x14ac:dyDescent="0.3">
      <c r="A47" t="s">
        <v>25</v>
      </c>
      <c r="B47" t="s">
        <v>36</v>
      </c>
      <c r="C47">
        <v>140.49</v>
      </c>
    </row>
    <row r="48" spans="1:5" x14ac:dyDescent="0.3">
      <c r="A48" t="s">
        <v>12</v>
      </c>
      <c r="B48" t="s">
        <v>36</v>
      </c>
      <c r="C48">
        <v>35.28</v>
      </c>
    </row>
    <row r="49" spans="1:3" x14ac:dyDescent="0.3">
      <c r="A49" t="s">
        <v>14</v>
      </c>
      <c r="B49" t="s">
        <v>36</v>
      </c>
      <c r="C49">
        <v>58.87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AC538-DBF7-42E9-A1B3-865D23CFCC17}">
  <dimension ref="A1:E95"/>
  <sheetViews>
    <sheetView topLeftCell="A70" workbookViewId="0">
      <selection activeCell="E16" sqref="E16"/>
    </sheetView>
  </sheetViews>
  <sheetFormatPr defaultRowHeight="14.4" x14ac:dyDescent="0.3"/>
  <sheetData>
    <row r="1" spans="1:5" ht="15.6" x14ac:dyDescent="0.3">
      <c r="A1" s="19" t="s">
        <v>0</v>
      </c>
      <c r="B1" s="19" t="s">
        <v>377</v>
      </c>
      <c r="C1" s="19" t="s">
        <v>378</v>
      </c>
      <c r="D1" s="19" t="s">
        <v>379</v>
      </c>
      <c r="E1" s="19" t="s">
        <v>380</v>
      </c>
    </row>
    <row r="2" spans="1:5" ht="15.6" x14ac:dyDescent="0.3">
      <c r="A2" s="20" t="s">
        <v>381</v>
      </c>
      <c r="B2" s="20" t="s">
        <v>382</v>
      </c>
      <c r="C2" s="21">
        <v>1.798773</v>
      </c>
      <c r="D2" s="21">
        <v>40.081189999999999</v>
      </c>
      <c r="E2" s="21">
        <v>22.976189999999999</v>
      </c>
    </row>
    <row r="3" spans="1:5" ht="15.6" x14ac:dyDescent="0.3">
      <c r="A3" s="20" t="s">
        <v>381</v>
      </c>
      <c r="B3" s="20" t="s">
        <v>383</v>
      </c>
      <c r="C3" s="21">
        <v>1.798773</v>
      </c>
      <c r="D3" s="21">
        <v>37.23854</v>
      </c>
      <c r="E3" s="21">
        <v>22.33577</v>
      </c>
    </row>
    <row r="4" spans="1:5" ht="15.6" x14ac:dyDescent="0.3">
      <c r="A4" s="20" t="s">
        <v>381</v>
      </c>
      <c r="B4" s="20" t="s">
        <v>384</v>
      </c>
      <c r="C4" s="21">
        <v>1.798773</v>
      </c>
      <c r="D4" s="21">
        <v>37.258200000000002</v>
      </c>
      <c r="E4" s="21">
        <v>22.13287</v>
      </c>
    </row>
    <row r="5" spans="1:5" ht="15.6" x14ac:dyDescent="0.3">
      <c r="A5" s="20" t="s">
        <v>381</v>
      </c>
      <c r="B5" s="20" t="s">
        <v>385</v>
      </c>
      <c r="C5" s="21">
        <v>1.798773</v>
      </c>
      <c r="D5" s="21">
        <v>34.843119999999999</v>
      </c>
      <c r="E5" s="21">
        <v>25</v>
      </c>
    </row>
    <row r="6" spans="1:5" ht="15.6" x14ac:dyDescent="0.3">
      <c r="A6" s="20" t="s">
        <v>381</v>
      </c>
      <c r="B6" s="20" t="s">
        <v>386</v>
      </c>
      <c r="C6" s="21">
        <v>1.798773</v>
      </c>
      <c r="D6" s="21">
        <v>39.34301</v>
      </c>
      <c r="E6" s="21">
        <v>18.519549999999999</v>
      </c>
    </row>
    <row r="7" spans="1:5" ht="15.6" x14ac:dyDescent="0.3">
      <c r="A7" s="20" t="s">
        <v>381</v>
      </c>
      <c r="B7" s="20" t="s">
        <v>387</v>
      </c>
      <c r="C7" s="21">
        <v>1.798773</v>
      </c>
      <c r="D7" s="21">
        <v>41.109340000000003</v>
      </c>
      <c r="E7" s="21">
        <v>22.66423</v>
      </c>
    </row>
    <row r="8" spans="1:5" ht="15.6" x14ac:dyDescent="0.3">
      <c r="A8" s="20" t="s">
        <v>381</v>
      </c>
      <c r="B8" s="20" t="s">
        <v>388</v>
      </c>
      <c r="C8" s="21">
        <v>1.798773</v>
      </c>
      <c r="D8" s="21">
        <v>34.933549999999997</v>
      </c>
      <c r="E8" s="21">
        <v>30</v>
      </c>
    </row>
    <row r="9" spans="1:5" ht="15.6" x14ac:dyDescent="0.3">
      <c r="A9" s="20" t="s">
        <v>381</v>
      </c>
      <c r="B9" s="20" t="s">
        <v>389</v>
      </c>
      <c r="C9" s="21">
        <v>1.798773</v>
      </c>
      <c r="D9" s="21">
        <v>36.599629999999998</v>
      </c>
      <c r="E9" s="21">
        <v>20.073530000000002</v>
      </c>
    </row>
    <row r="10" spans="1:5" ht="15.6" x14ac:dyDescent="0.3">
      <c r="A10" s="20" t="s">
        <v>381</v>
      </c>
      <c r="B10" s="20" t="s">
        <v>390</v>
      </c>
      <c r="C10" s="21">
        <v>1.798773</v>
      </c>
      <c r="D10" s="21">
        <v>35.875210000000003</v>
      </c>
      <c r="E10" s="21">
        <v>25.069929999999999</v>
      </c>
    </row>
    <row r="11" spans="1:5" ht="15.6" x14ac:dyDescent="0.3">
      <c r="A11" s="20" t="s">
        <v>381</v>
      </c>
      <c r="B11" s="20" t="s">
        <v>391</v>
      </c>
      <c r="C11" s="21">
        <v>1.798773</v>
      </c>
      <c r="D11" s="21">
        <v>36.690060000000003</v>
      </c>
      <c r="E11" s="21">
        <v>20.06494</v>
      </c>
    </row>
    <row r="12" spans="1:5" ht="15.6" x14ac:dyDescent="0.3">
      <c r="A12" s="20" t="s">
        <v>381</v>
      </c>
      <c r="B12" s="20" t="s">
        <v>392</v>
      </c>
      <c r="C12" s="21">
        <v>1.798773</v>
      </c>
      <c r="D12" s="21">
        <v>42.813749999999999</v>
      </c>
      <c r="E12" s="21">
        <v>25.321100000000001</v>
      </c>
    </row>
    <row r="13" spans="1:5" ht="15.6" x14ac:dyDescent="0.3">
      <c r="A13" s="20" t="s">
        <v>381</v>
      </c>
      <c r="B13" s="20" t="s">
        <v>393</v>
      </c>
      <c r="C13" s="21">
        <v>1.798773</v>
      </c>
      <c r="D13" s="21">
        <v>40.898989999999998</v>
      </c>
      <c r="E13" s="21">
        <v>26.89189</v>
      </c>
    </row>
    <row r="14" spans="1:5" ht="15.6" x14ac:dyDescent="0.3">
      <c r="A14" s="20" t="s">
        <v>381</v>
      </c>
      <c r="B14" s="20" t="s">
        <v>394</v>
      </c>
      <c r="C14" s="21">
        <v>1.798773</v>
      </c>
      <c r="D14" s="21">
        <v>37.589449999999999</v>
      </c>
      <c r="E14" s="21">
        <v>23.00676</v>
      </c>
    </row>
    <row r="15" spans="1:5" ht="15.6" x14ac:dyDescent="0.3">
      <c r="A15" s="20" t="s">
        <v>381</v>
      </c>
      <c r="B15" s="20" t="s">
        <v>395</v>
      </c>
      <c r="C15" s="21">
        <v>1.798773</v>
      </c>
      <c r="D15" s="21">
        <v>37.183489999999999</v>
      </c>
      <c r="E15" s="21">
        <v>23.404260000000001</v>
      </c>
    </row>
    <row r="16" spans="1:5" ht="15.6" x14ac:dyDescent="0.3">
      <c r="A16" s="20" t="s">
        <v>381</v>
      </c>
      <c r="B16" s="20" t="s">
        <v>396</v>
      </c>
      <c r="C16" s="21">
        <v>1.798773</v>
      </c>
      <c r="D16" s="21">
        <v>42.50609</v>
      </c>
      <c r="E16" s="21">
        <v>28.25243</v>
      </c>
    </row>
    <row r="17" spans="1:5" ht="15.6" x14ac:dyDescent="0.3">
      <c r="A17" s="20" t="s">
        <v>381</v>
      </c>
      <c r="B17" s="20" t="s">
        <v>397</v>
      </c>
      <c r="C17" s="21">
        <v>1.798773</v>
      </c>
      <c r="D17" s="21">
        <v>40.760399999999997</v>
      </c>
      <c r="E17" s="21">
        <v>22.046980000000001</v>
      </c>
    </row>
    <row r="18" spans="1:5" ht="15.6" x14ac:dyDescent="0.3">
      <c r="A18" s="20" t="s">
        <v>381</v>
      </c>
      <c r="B18" s="20" t="s">
        <v>398</v>
      </c>
      <c r="C18" s="21">
        <v>1.798773</v>
      </c>
      <c r="D18" s="21">
        <v>38.467210000000001</v>
      </c>
      <c r="E18" s="21">
        <v>21.149069999999998</v>
      </c>
    </row>
    <row r="19" spans="1:5" ht="15.6" x14ac:dyDescent="0.3">
      <c r="A19" s="20" t="s">
        <v>381</v>
      </c>
      <c r="B19" s="20" t="s">
        <v>399</v>
      </c>
      <c r="C19" s="21">
        <v>1.798773</v>
      </c>
      <c r="D19" s="21">
        <v>41.592950000000002</v>
      </c>
      <c r="E19" s="21">
        <v>23.093530000000001</v>
      </c>
    </row>
    <row r="20" spans="1:5" ht="15.6" x14ac:dyDescent="0.3">
      <c r="A20" s="20" t="s">
        <v>381</v>
      </c>
      <c r="B20" s="20" t="s">
        <v>400</v>
      </c>
      <c r="C20" s="21">
        <v>1.798773</v>
      </c>
      <c r="D20" s="21">
        <v>42.753790000000002</v>
      </c>
      <c r="E20" s="21">
        <v>23.633089999999999</v>
      </c>
    </row>
    <row r="21" spans="1:5" ht="15.6" x14ac:dyDescent="0.3">
      <c r="A21" s="20" t="s">
        <v>381</v>
      </c>
      <c r="B21" s="20" t="s">
        <v>401</v>
      </c>
      <c r="C21" s="21">
        <v>1.798773</v>
      </c>
      <c r="D21" s="21">
        <v>38.421990000000001</v>
      </c>
      <c r="E21" s="21">
        <v>18.837209999999999</v>
      </c>
    </row>
    <row r="22" spans="1:5" ht="15.6" x14ac:dyDescent="0.3">
      <c r="A22" s="20" t="s">
        <v>381</v>
      </c>
      <c r="B22" s="20" t="s">
        <v>402</v>
      </c>
      <c r="C22" s="21">
        <v>1.798773</v>
      </c>
      <c r="D22" s="21">
        <v>41.508409999999998</v>
      </c>
      <c r="E22" s="21">
        <v>25.304349999999999</v>
      </c>
    </row>
    <row r="23" spans="1:5" ht="15.6" x14ac:dyDescent="0.3">
      <c r="A23" s="20" t="s">
        <v>381</v>
      </c>
      <c r="B23" s="20" t="s">
        <v>403</v>
      </c>
      <c r="C23" s="21">
        <v>1.798773</v>
      </c>
      <c r="D23" s="21">
        <v>44.32649</v>
      </c>
      <c r="E23" s="21">
        <v>22.279409999999999</v>
      </c>
    </row>
    <row r="24" spans="1:5" ht="15.6" x14ac:dyDescent="0.3">
      <c r="A24" s="20" t="s">
        <v>381</v>
      </c>
      <c r="B24" s="20" t="s">
        <v>404</v>
      </c>
      <c r="C24" s="21">
        <v>1.798773</v>
      </c>
      <c r="D24" s="21">
        <v>48.97381</v>
      </c>
      <c r="E24" s="21">
        <v>22.071429999999999</v>
      </c>
    </row>
    <row r="25" spans="1:5" ht="15.6" x14ac:dyDescent="0.3">
      <c r="A25" s="20" t="s">
        <v>381</v>
      </c>
      <c r="B25" s="20" t="s">
        <v>405</v>
      </c>
      <c r="C25" s="21">
        <v>1.798773</v>
      </c>
      <c r="D25" s="21">
        <v>47.542659999999998</v>
      </c>
      <c r="E25" s="21">
        <v>24.421489999999999</v>
      </c>
    </row>
    <row r="26" spans="1:5" ht="15.6" x14ac:dyDescent="0.3">
      <c r="A26" s="20" t="s">
        <v>406</v>
      </c>
      <c r="B26" s="20" t="s">
        <v>407</v>
      </c>
      <c r="C26" s="21">
        <v>2.0150190000000001</v>
      </c>
      <c r="D26" s="21">
        <v>32.25309</v>
      </c>
      <c r="E26" s="21">
        <v>24.847329999999999</v>
      </c>
    </row>
    <row r="27" spans="1:5" ht="15.6" x14ac:dyDescent="0.3">
      <c r="A27" s="20" t="s">
        <v>406</v>
      </c>
      <c r="B27" s="20" t="s">
        <v>408</v>
      </c>
      <c r="C27" s="21">
        <v>2.0150190000000001</v>
      </c>
      <c r="D27" s="21">
        <v>29.743649999999999</v>
      </c>
      <c r="E27" s="21">
        <v>24</v>
      </c>
    </row>
    <row r="28" spans="1:5" ht="15.6" x14ac:dyDescent="0.3">
      <c r="A28" s="20" t="s">
        <v>406</v>
      </c>
      <c r="B28" s="20" t="s">
        <v>409</v>
      </c>
      <c r="C28" s="21">
        <v>2.0150190000000001</v>
      </c>
      <c r="D28" s="21">
        <v>28.65456</v>
      </c>
      <c r="E28" s="21">
        <v>24.83193</v>
      </c>
    </row>
    <row r="29" spans="1:5" ht="15.6" x14ac:dyDescent="0.3">
      <c r="A29" s="20" t="s">
        <v>406</v>
      </c>
      <c r="B29" s="20" t="s">
        <v>410</v>
      </c>
      <c r="C29" s="21">
        <v>2.0150190000000001</v>
      </c>
      <c r="D29" s="21">
        <v>34.169809999999998</v>
      </c>
      <c r="E29" s="21">
        <v>27.212389999999999</v>
      </c>
    </row>
    <row r="30" spans="1:5" ht="15.6" x14ac:dyDescent="0.3">
      <c r="A30" s="20" t="s">
        <v>406</v>
      </c>
      <c r="B30" s="20" t="s">
        <v>411</v>
      </c>
      <c r="C30" s="21">
        <v>2.0150190000000001</v>
      </c>
      <c r="D30" s="21">
        <v>32.760280000000002</v>
      </c>
      <c r="E30" s="21">
        <v>22.55725</v>
      </c>
    </row>
    <row r="31" spans="1:5" ht="15.6" x14ac:dyDescent="0.3">
      <c r="A31" s="20" t="s">
        <v>406</v>
      </c>
      <c r="B31" s="20" t="s">
        <v>412</v>
      </c>
      <c r="C31" s="21">
        <v>2.0150190000000001</v>
      </c>
      <c r="D31" s="21">
        <v>34.488280000000003</v>
      </c>
      <c r="E31" s="21">
        <v>23.113209999999999</v>
      </c>
    </row>
    <row r="32" spans="1:5" ht="15.6" x14ac:dyDescent="0.3">
      <c r="A32" s="20" t="s">
        <v>406</v>
      </c>
      <c r="B32" s="20" t="s">
        <v>413</v>
      </c>
      <c r="C32" s="21">
        <v>2.0150190000000001</v>
      </c>
      <c r="D32" s="21">
        <v>33.932920000000003</v>
      </c>
      <c r="E32" s="21">
        <v>27.680409999999998</v>
      </c>
    </row>
    <row r="33" spans="1:5" ht="15.6" x14ac:dyDescent="0.3">
      <c r="A33" s="20" t="s">
        <v>406</v>
      </c>
      <c r="B33" s="20" t="s">
        <v>414</v>
      </c>
      <c r="C33" s="21">
        <v>2.0150190000000001</v>
      </c>
      <c r="D33" s="21">
        <v>41.359990000000003</v>
      </c>
      <c r="E33" s="21">
        <v>20.9375</v>
      </c>
    </row>
    <row r="34" spans="1:5" ht="15.6" x14ac:dyDescent="0.3">
      <c r="A34" s="20" t="s">
        <v>406</v>
      </c>
      <c r="B34" s="20" t="s">
        <v>415</v>
      </c>
      <c r="C34" s="21">
        <v>2.0150190000000001</v>
      </c>
      <c r="D34" s="21">
        <v>20.79598</v>
      </c>
      <c r="E34" s="21">
        <v>29.46809</v>
      </c>
    </row>
    <row r="35" spans="1:5" ht="15.6" x14ac:dyDescent="0.3">
      <c r="A35" s="20" t="s">
        <v>406</v>
      </c>
      <c r="B35" s="20" t="s">
        <v>416</v>
      </c>
      <c r="C35" s="21">
        <v>2.0150190000000001</v>
      </c>
      <c r="D35" s="21">
        <v>27.556619999999999</v>
      </c>
      <c r="E35" s="21">
        <v>30</v>
      </c>
    </row>
    <row r="36" spans="1:5" ht="15.6" x14ac:dyDescent="0.3">
      <c r="A36" s="20" t="s">
        <v>406</v>
      </c>
      <c r="B36" s="20" t="s">
        <v>417</v>
      </c>
      <c r="C36" s="21">
        <v>2.0150190000000001</v>
      </c>
      <c r="D36" s="21">
        <v>37.056699999999999</v>
      </c>
      <c r="E36" s="21">
        <v>26.64</v>
      </c>
    </row>
    <row r="37" spans="1:5" ht="15.6" x14ac:dyDescent="0.3">
      <c r="A37" s="20" t="s">
        <v>406</v>
      </c>
      <c r="B37" s="20" t="s">
        <v>418</v>
      </c>
      <c r="C37" s="21">
        <v>2.0150190000000001</v>
      </c>
      <c r="D37" s="21">
        <v>30.313749999999999</v>
      </c>
      <c r="E37" s="21">
        <v>23.08511</v>
      </c>
    </row>
    <row r="38" spans="1:5" ht="15.6" x14ac:dyDescent="0.3">
      <c r="A38" s="20" t="s">
        <v>406</v>
      </c>
      <c r="B38" s="20" t="s">
        <v>419</v>
      </c>
      <c r="C38" s="21">
        <v>2.0150190000000001</v>
      </c>
      <c r="D38" s="21">
        <v>34.992530000000002</v>
      </c>
      <c r="E38" s="21">
        <v>26.313559999999999</v>
      </c>
    </row>
    <row r="39" spans="1:5" ht="15.6" x14ac:dyDescent="0.3">
      <c r="A39" s="20" t="s">
        <v>406</v>
      </c>
      <c r="B39" s="20" t="s">
        <v>420</v>
      </c>
      <c r="C39" s="21">
        <v>2.0150190000000001</v>
      </c>
      <c r="D39" s="21">
        <v>34.555120000000002</v>
      </c>
      <c r="E39" s="21">
        <v>29.719629999999999</v>
      </c>
    </row>
    <row r="40" spans="1:5" ht="15.6" x14ac:dyDescent="0.3">
      <c r="A40" s="20" t="s">
        <v>406</v>
      </c>
      <c r="B40" s="20" t="s">
        <v>421</v>
      </c>
      <c r="C40" s="21">
        <v>2.0150190000000001</v>
      </c>
      <c r="D40" s="21">
        <v>33.619370000000004</v>
      </c>
      <c r="E40" s="21">
        <v>28.98649</v>
      </c>
    </row>
    <row r="41" spans="1:5" ht="15.6" x14ac:dyDescent="0.3">
      <c r="A41" s="20" t="s">
        <v>406</v>
      </c>
      <c r="B41" s="20" t="s">
        <v>422</v>
      </c>
      <c r="C41" s="21">
        <v>2.0150190000000001</v>
      </c>
      <c r="D41" s="21">
        <v>34.493200000000002</v>
      </c>
      <c r="E41" s="21">
        <v>26.5748</v>
      </c>
    </row>
    <row r="42" spans="1:5" ht="15.6" x14ac:dyDescent="0.3">
      <c r="A42" s="20" t="s">
        <v>406</v>
      </c>
      <c r="B42" s="20" t="s">
        <v>423</v>
      </c>
      <c r="C42" s="21">
        <v>2.0150190000000001</v>
      </c>
      <c r="D42" s="21">
        <v>33.271410000000003</v>
      </c>
      <c r="E42" s="21">
        <v>23.706289999999999</v>
      </c>
    </row>
    <row r="43" spans="1:5" ht="15.6" x14ac:dyDescent="0.3">
      <c r="A43" s="20" t="s">
        <v>406</v>
      </c>
      <c r="B43" s="20" t="s">
        <v>424</v>
      </c>
      <c r="C43" s="21">
        <v>2.0150190000000001</v>
      </c>
      <c r="D43" s="21">
        <v>31.728200000000001</v>
      </c>
      <c r="E43" s="21">
        <v>22.5</v>
      </c>
    </row>
    <row r="44" spans="1:5" ht="15.6" x14ac:dyDescent="0.3">
      <c r="A44" s="20" t="s">
        <v>406</v>
      </c>
      <c r="B44" s="20" t="s">
        <v>425</v>
      </c>
      <c r="C44" s="21">
        <v>2.0150190000000001</v>
      </c>
      <c r="D44" s="21">
        <v>33.349060000000001</v>
      </c>
      <c r="E44" s="21">
        <v>22.02797</v>
      </c>
    </row>
    <row r="45" spans="1:5" ht="15.6" x14ac:dyDescent="0.3">
      <c r="A45" s="20" t="s">
        <v>406</v>
      </c>
      <c r="B45" s="20" t="s">
        <v>426</v>
      </c>
      <c r="C45" s="21">
        <v>2.0150190000000001</v>
      </c>
      <c r="D45" s="21">
        <v>32.759300000000003</v>
      </c>
      <c r="E45" s="21">
        <v>22.077459999999999</v>
      </c>
    </row>
    <row r="46" spans="1:5" ht="15.6" x14ac:dyDescent="0.3">
      <c r="A46" s="20" t="s">
        <v>406</v>
      </c>
      <c r="B46" s="20" t="s">
        <v>427</v>
      </c>
      <c r="C46" s="21">
        <v>2.0150190000000001</v>
      </c>
      <c r="D46" s="21">
        <v>31.79111</v>
      </c>
      <c r="E46" s="21">
        <v>27.1875</v>
      </c>
    </row>
    <row r="47" spans="1:5" ht="15.6" x14ac:dyDescent="0.3">
      <c r="A47" s="20" t="s">
        <v>406</v>
      </c>
      <c r="B47" s="20" t="s">
        <v>428</v>
      </c>
      <c r="C47" s="21">
        <v>2.0150190000000001</v>
      </c>
      <c r="D47" s="21">
        <v>31.508019999999998</v>
      </c>
      <c r="E47" s="21">
        <v>27.272729999999999</v>
      </c>
    </row>
    <row r="48" spans="1:5" ht="15.6" x14ac:dyDescent="0.3">
      <c r="A48" s="20" t="s">
        <v>406</v>
      </c>
      <c r="B48" s="20" t="s">
        <v>429</v>
      </c>
      <c r="C48" s="21">
        <v>2.0150190000000001</v>
      </c>
      <c r="D48" s="21">
        <v>33.657699999999998</v>
      </c>
      <c r="E48" s="21">
        <v>22.762239999999998</v>
      </c>
    </row>
    <row r="49" spans="1:5" ht="15.6" x14ac:dyDescent="0.3">
      <c r="A49" s="20" t="s">
        <v>406</v>
      </c>
      <c r="B49" s="20" t="s">
        <v>430</v>
      </c>
      <c r="C49" s="21">
        <v>2.0150190000000001</v>
      </c>
      <c r="D49" s="21">
        <v>36.004950000000001</v>
      </c>
      <c r="E49" s="21">
        <v>24.0411</v>
      </c>
    </row>
    <row r="50" spans="1:5" ht="15.6" x14ac:dyDescent="0.3">
      <c r="A50" s="20" t="s">
        <v>406</v>
      </c>
      <c r="B50" s="20" t="s">
        <v>431</v>
      </c>
      <c r="C50" s="21">
        <v>2.0150190000000001</v>
      </c>
      <c r="D50" s="21">
        <v>32.482109999999999</v>
      </c>
      <c r="E50" s="21">
        <v>27.8125</v>
      </c>
    </row>
    <row r="51" spans="1:5" ht="15.6" x14ac:dyDescent="0.3">
      <c r="A51" s="20" t="s">
        <v>406</v>
      </c>
      <c r="B51" s="20" t="s">
        <v>432</v>
      </c>
      <c r="C51" s="21">
        <v>2.0150190000000001</v>
      </c>
      <c r="D51" s="21">
        <v>34.963039999999999</v>
      </c>
      <c r="E51" s="21">
        <v>25.526319999999998</v>
      </c>
    </row>
    <row r="52" spans="1:5" ht="15.6" x14ac:dyDescent="0.3">
      <c r="A52" s="20" t="s">
        <v>406</v>
      </c>
      <c r="B52" s="20" t="s">
        <v>433</v>
      </c>
      <c r="C52" s="21">
        <v>2.0150190000000001</v>
      </c>
      <c r="D52" s="21">
        <v>31.251470000000001</v>
      </c>
      <c r="E52" s="21">
        <v>28.24324</v>
      </c>
    </row>
    <row r="53" spans="1:5" ht="15.6" x14ac:dyDescent="0.3">
      <c r="A53" s="20" t="s">
        <v>406</v>
      </c>
      <c r="B53" s="20" t="s">
        <v>434</v>
      </c>
      <c r="C53" s="21">
        <v>2.0150190000000001</v>
      </c>
      <c r="D53" s="21">
        <v>31.4343</v>
      </c>
      <c r="E53" s="21">
        <v>24.84375</v>
      </c>
    </row>
    <row r="54" spans="1:5" ht="15.6" x14ac:dyDescent="0.3">
      <c r="A54" s="20" t="s">
        <v>406</v>
      </c>
      <c r="B54" s="20" t="s">
        <v>435</v>
      </c>
      <c r="C54" s="21">
        <v>2.0150190000000001</v>
      </c>
      <c r="D54" s="21">
        <v>30.981169999999999</v>
      </c>
      <c r="E54" s="21">
        <v>21.18243</v>
      </c>
    </row>
    <row r="55" spans="1:5" ht="15.6" x14ac:dyDescent="0.3">
      <c r="A55" s="20" t="s">
        <v>406</v>
      </c>
      <c r="B55" s="20" t="s">
        <v>436</v>
      </c>
      <c r="C55" s="21">
        <v>2.0150190000000001</v>
      </c>
      <c r="D55" s="21">
        <v>31.94051</v>
      </c>
      <c r="E55" s="21">
        <v>25.2</v>
      </c>
    </row>
    <row r="56" spans="1:5" ht="15.6" x14ac:dyDescent="0.3">
      <c r="A56" s="20" t="s">
        <v>406</v>
      </c>
      <c r="B56" s="20" t="s">
        <v>437</v>
      </c>
      <c r="C56" s="21">
        <v>2.0150190000000001</v>
      </c>
      <c r="D56" s="21">
        <v>33.293030000000002</v>
      </c>
      <c r="E56" s="21">
        <v>22.762239999999998</v>
      </c>
    </row>
    <row r="57" spans="1:5" ht="15.6" x14ac:dyDescent="0.3">
      <c r="A57" s="20" t="s">
        <v>406</v>
      </c>
      <c r="B57" s="20" t="s">
        <v>438</v>
      </c>
      <c r="C57" s="21">
        <v>2.0150190000000001</v>
      </c>
      <c r="D57" s="21">
        <v>30.343240000000002</v>
      </c>
      <c r="E57" s="21">
        <v>20.932200000000002</v>
      </c>
    </row>
    <row r="58" spans="1:5" ht="15.6" x14ac:dyDescent="0.3">
      <c r="A58" s="20" t="s">
        <v>406</v>
      </c>
      <c r="B58" s="20" t="s">
        <v>439</v>
      </c>
      <c r="C58" s="21">
        <v>2.0150190000000001</v>
      </c>
      <c r="D58" s="21">
        <v>34.530549999999998</v>
      </c>
      <c r="E58" s="21">
        <v>25.119050000000001</v>
      </c>
    </row>
    <row r="59" spans="1:5" ht="15.6" x14ac:dyDescent="0.3">
      <c r="A59" s="20" t="s">
        <v>406</v>
      </c>
      <c r="B59" s="20" t="s">
        <v>440</v>
      </c>
      <c r="C59" s="21">
        <v>2.0150190000000001</v>
      </c>
      <c r="D59" s="21">
        <v>38.091729999999998</v>
      </c>
      <c r="E59" s="21">
        <v>26.16</v>
      </c>
    </row>
    <row r="60" spans="1:5" ht="15.6" x14ac:dyDescent="0.3">
      <c r="A60" s="20" t="s">
        <v>406</v>
      </c>
      <c r="B60" s="20" t="s">
        <v>441</v>
      </c>
      <c r="C60" s="21">
        <v>2.0150190000000001</v>
      </c>
      <c r="D60" s="21">
        <v>29.492999999999999</v>
      </c>
      <c r="E60" s="21">
        <v>24.257809999999999</v>
      </c>
    </row>
    <row r="61" spans="1:5" ht="15.6" x14ac:dyDescent="0.3">
      <c r="A61" s="20" t="s">
        <v>406</v>
      </c>
      <c r="B61" s="20" t="s">
        <v>442</v>
      </c>
      <c r="C61" s="21">
        <v>2.0150190000000001</v>
      </c>
      <c r="D61" s="21">
        <v>28.30856</v>
      </c>
      <c r="E61" s="21">
        <v>23.571429999999999</v>
      </c>
    </row>
    <row r="62" spans="1:5" ht="15.6" x14ac:dyDescent="0.3">
      <c r="A62" s="20" t="s">
        <v>406</v>
      </c>
      <c r="B62" s="20" t="s">
        <v>443</v>
      </c>
      <c r="C62" s="21">
        <v>2.0150190000000001</v>
      </c>
      <c r="D62" s="21">
        <v>29.389790000000001</v>
      </c>
      <c r="E62" s="21">
        <v>29.028780000000001</v>
      </c>
    </row>
    <row r="63" spans="1:5" ht="15.6" x14ac:dyDescent="0.3">
      <c r="A63" s="20" t="s">
        <v>406</v>
      </c>
      <c r="B63" s="20" t="s">
        <v>444</v>
      </c>
      <c r="C63" s="21">
        <v>2.0150190000000001</v>
      </c>
      <c r="D63" s="21">
        <v>30.137810000000002</v>
      </c>
      <c r="E63" s="21">
        <v>25.036760000000001</v>
      </c>
    </row>
    <row r="64" spans="1:5" ht="15.6" x14ac:dyDescent="0.3">
      <c r="A64" s="20" t="s">
        <v>406</v>
      </c>
      <c r="B64" s="20" t="s">
        <v>445</v>
      </c>
      <c r="C64" s="21">
        <v>2.0150190000000001</v>
      </c>
      <c r="D64" s="21">
        <v>29.174530000000001</v>
      </c>
      <c r="E64" s="21">
        <v>24.416060000000002</v>
      </c>
    </row>
    <row r="65" spans="1:5" ht="15.6" x14ac:dyDescent="0.3">
      <c r="A65" s="20" t="s">
        <v>406</v>
      </c>
      <c r="B65" s="20" t="s">
        <v>446</v>
      </c>
      <c r="C65" s="21">
        <v>2.0150190000000001</v>
      </c>
      <c r="D65" s="21">
        <v>31.40973</v>
      </c>
      <c r="E65" s="21">
        <v>21.976739999999999</v>
      </c>
    </row>
    <row r="66" spans="1:5" ht="15.6" x14ac:dyDescent="0.3">
      <c r="A66" s="20" t="s">
        <v>406</v>
      </c>
      <c r="B66" s="20" t="s">
        <v>447</v>
      </c>
      <c r="C66" s="21">
        <v>2.0150190000000001</v>
      </c>
      <c r="D66" s="21">
        <v>32.314030000000002</v>
      </c>
      <c r="E66" s="21">
        <v>23.33333</v>
      </c>
    </row>
    <row r="67" spans="1:5" ht="15.6" x14ac:dyDescent="0.3">
      <c r="A67" s="20" t="s">
        <v>406</v>
      </c>
      <c r="B67" s="20" t="s">
        <v>448</v>
      </c>
      <c r="C67" s="21">
        <v>2.0150190000000001</v>
      </c>
      <c r="D67" s="21">
        <v>34.553159999999998</v>
      </c>
      <c r="E67" s="21">
        <v>21.80921</v>
      </c>
    </row>
    <row r="68" spans="1:5" ht="15.6" x14ac:dyDescent="0.3">
      <c r="A68" s="20" t="s">
        <v>406</v>
      </c>
      <c r="B68" s="20" t="s">
        <v>449</v>
      </c>
      <c r="C68" s="21">
        <v>2.0150190000000001</v>
      </c>
      <c r="D68" s="21">
        <v>35.357199999999999</v>
      </c>
      <c r="E68" s="21">
        <v>28.25243</v>
      </c>
    </row>
    <row r="69" spans="1:5" ht="15.6" x14ac:dyDescent="0.3">
      <c r="A69" s="20" t="s">
        <v>406</v>
      </c>
      <c r="B69" s="20" t="s">
        <v>450</v>
      </c>
      <c r="C69" s="21">
        <v>2.0150190000000001</v>
      </c>
      <c r="D69" s="21">
        <v>32.530270000000002</v>
      </c>
      <c r="E69" s="21">
        <v>25.227270000000001</v>
      </c>
    </row>
    <row r="70" spans="1:5" ht="15.6" x14ac:dyDescent="0.3">
      <c r="A70" s="20" t="s">
        <v>406</v>
      </c>
      <c r="B70" s="20" t="s">
        <v>451</v>
      </c>
      <c r="C70" s="21">
        <v>2.0150190000000001</v>
      </c>
      <c r="D70" s="21">
        <v>33.369700000000002</v>
      </c>
      <c r="E70" s="21">
        <v>23.55556</v>
      </c>
    </row>
    <row r="71" spans="1:5" ht="15.6" x14ac:dyDescent="0.3">
      <c r="A71" s="20" t="s">
        <v>406</v>
      </c>
      <c r="B71" s="20" t="s">
        <v>452</v>
      </c>
      <c r="C71" s="21">
        <v>2.0150190000000001</v>
      </c>
      <c r="D71" s="21">
        <v>31.689859999999999</v>
      </c>
      <c r="E71" s="21">
        <v>21</v>
      </c>
    </row>
    <row r="72" spans="1:5" ht="15.6" x14ac:dyDescent="0.3">
      <c r="A72" s="20" t="s">
        <v>406</v>
      </c>
      <c r="B72" s="20" t="s">
        <v>453</v>
      </c>
      <c r="C72" s="21">
        <v>2.0150190000000001</v>
      </c>
      <c r="D72" s="21">
        <v>36.663519999999998</v>
      </c>
      <c r="E72" s="21">
        <v>29.347829999999998</v>
      </c>
    </row>
    <row r="73" spans="1:5" ht="15.6" x14ac:dyDescent="0.3">
      <c r="A73" s="20" t="s">
        <v>454</v>
      </c>
      <c r="B73" s="20" t="s">
        <v>455</v>
      </c>
      <c r="C73" s="21">
        <v>1.5333810000000001</v>
      </c>
      <c r="D73" s="21">
        <v>38.949829999999999</v>
      </c>
      <c r="E73" s="21">
        <v>20.244759999999999</v>
      </c>
    </row>
    <row r="74" spans="1:5" ht="15.6" x14ac:dyDescent="0.3">
      <c r="A74" s="20" t="s">
        <v>454</v>
      </c>
      <c r="B74" s="20" t="s">
        <v>456</v>
      </c>
      <c r="C74" s="21">
        <v>1.5333810000000001</v>
      </c>
      <c r="D74" s="21">
        <v>35.739559999999997</v>
      </c>
      <c r="E74" s="21">
        <v>19.918030000000002</v>
      </c>
    </row>
    <row r="75" spans="1:5" ht="15.6" x14ac:dyDescent="0.3">
      <c r="A75" s="20" t="s">
        <v>454</v>
      </c>
      <c r="B75" s="20" t="s">
        <v>457</v>
      </c>
      <c r="C75" s="21">
        <v>1.5333810000000001</v>
      </c>
      <c r="D75" s="21">
        <v>38.232289999999999</v>
      </c>
      <c r="E75" s="21">
        <v>23.210529999999999</v>
      </c>
    </row>
    <row r="76" spans="1:5" ht="15.6" x14ac:dyDescent="0.3">
      <c r="A76" s="20" t="s">
        <v>454</v>
      </c>
      <c r="B76" s="20" t="s">
        <v>458</v>
      </c>
      <c r="C76" s="21">
        <v>1.5333810000000001</v>
      </c>
      <c r="D76" s="21">
        <v>38.833840000000002</v>
      </c>
      <c r="E76" s="21">
        <v>30</v>
      </c>
    </row>
    <row r="77" spans="1:5" ht="15.6" x14ac:dyDescent="0.3">
      <c r="A77" s="20" t="s">
        <v>454</v>
      </c>
      <c r="B77" s="20" t="s">
        <v>459</v>
      </c>
      <c r="C77" s="21">
        <v>1.5333810000000001</v>
      </c>
      <c r="D77" s="21">
        <v>39.295819999999999</v>
      </c>
      <c r="E77" s="21">
        <v>20.206610000000001</v>
      </c>
    </row>
    <row r="78" spans="1:5" ht="15.6" x14ac:dyDescent="0.3">
      <c r="A78" s="20" t="s">
        <v>454</v>
      </c>
      <c r="B78" s="20" t="s">
        <v>460</v>
      </c>
      <c r="C78" s="21">
        <v>1.5333810000000001</v>
      </c>
      <c r="D78" s="21">
        <v>37.83813</v>
      </c>
      <c r="E78" s="21">
        <v>19.964790000000001</v>
      </c>
    </row>
    <row r="79" spans="1:5" ht="15.6" x14ac:dyDescent="0.3">
      <c r="A79" s="20" t="s">
        <v>454</v>
      </c>
      <c r="B79" s="20" t="s">
        <v>461</v>
      </c>
      <c r="C79" s="21">
        <v>1.5333810000000001</v>
      </c>
      <c r="D79" s="21">
        <v>40.139180000000003</v>
      </c>
      <c r="E79" s="21">
        <v>23.461539999999999</v>
      </c>
    </row>
    <row r="80" spans="1:5" ht="15.6" x14ac:dyDescent="0.3">
      <c r="A80" s="20" t="s">
        <v>454</v>
      </c>
      <c r="B80" s="20" t="s">
        <v>462</v>
      </c>
      <c r="C80" s="21">
        <v>1.5333810000000001</v>
      </c>
      <c r="D80" s="21">
        <v>34.123609999999999</v>
      </c>
      <c r="E80" s="21">
        <v>23.31522</v>
      </c>
    </row>
    <row r="81" spans="1:5" ht="15.6" x14ac:dyDescent="0.3">
      <c r="A81" s="20" t="s">
        <v>454</v>
      </c>
      <c r="B81" s="20" t="s">
        <v>463</v>
      </c>
      <c r="C81" s="21">
        <v>1.5333810000000001</v>
      </c>
      <c r="D81" s="21">
        <v>32.590229999999998</v>
      </c>
      <c r="E81" s="21">
        <v>17.704920000000001</v>
      </c>
    </row>
    <row r="82" spans="1:5" ht="15.6" x14ac:dyDescent="0.3">
      <c r="A82" s="20" t="s">
        <v>454</v>
      </c>
      <c r="B82" s="20" t="s">
        <v>464</v>
      </c>
      <c r="C82" s="21">
        <v>1.5333810000000001</v>
      </c>
      <c r="D82" s="21">
        <v>32.30715</v>
      </c>
      <c r="E82" s="21">
        <v>22.758620000000001</v>
      </c>
    </row>
    <row r="83" spans="1:5" ht="15.6" x14ac:dyDescent="0.3">
      <c r="A83" s="20" t="s">
        <v>454</v>
      </c>
      <c r="B83" s="20" t="s">
        <v>465</v>
      </c>
      <c r="C83" s="21">
        <v>1.5333810000000001</v>
      </c>
      <c r="D83" s="21">
        <v>40.647359999999999</v>
      </c>
      <c r="E83" s="21">
        <v>25.280899999999999</v>
      </c>
    </row>
    <row r="84" spans="1:5" ht="15.6" x14ac:dyDescent="0.3">
      <c r="A84" s="20" t="s">
        <v>454</v>
      </c>
      <c r="B84" s="20" t="s">
        <v>466</v>
      </c>
      <c r="C84" s="21">
        <v>1.5333810000000001</v>
      </c>
      <c r="D84" s="21">
        <v>35.014150000000001</v>
      </c>
      <c r="E84" s="21">
        <v>23.534479999999999</v>
      </c>
    </row>
    <row r="85" spans="1:5" ht="15.6" x14ac:dyDescent="0.3">
      <c r="A85" s="20" t="s">
        <v>454</v>
      </c>
      <c r="B85" s="20" t="s">
        <v>467</v>
      </c>
      <c r="C85" s="21">
        <v>1.5333810000000001</v>
      </c>
      <c r="D85" s="21">
        <v>36.586849999999998</v>
      </c>
      <c r="E85" s="21">
        <v>22.561979999999998</v>
      </c>
    </row>
    <row r="86" spans="1:5" ht="15.6" x14ac:dyDescent="0.3">
      <c r="A86" s="20" t="s">
        <v>454</v>
      </c>
      <c r="B86" s="20" t="s">
        <v>468</v>
      </c>
      <c r="C86" s="21">
        <v>1.5333810000000001</v>
      </c>
      <c r="D86" s="21">
        <v>35.016120000000001</v>
      </c>
      <c r="E86" s="21">
        <v>22.113399999999999</v>
      </c>
    </row>
    <row r="87" spans="1:5" ht="15.6" x14ac:dyDescent="0.3">
      <c r="A87" s="20" t="s">
        <v>454</v>
      </c>
      <c r="B87" s="20" t="s">
        <v>469</v>
      </c>
      <c r="C87" s="21">
        <v>1.5333810000000001</v>
      </c>
      <c r="D87" s="21">
        <v>32.517499999999998</v>
      </c>
      <c r="E87" s="21">
        <v>17.884620000000002</v>
      </c>
    </row>
    <row r="88" spans="1:5" ht="15.6" x14ac:dyDescent="0.3">
      <c r="A88" s="20" t="s">
        <v>454</v>
      </c>
      <c r="B88" s="20" t="s">
        <v>470</v>
      </c>
      <c r="C88" s="21">
        <v>1.5333810000000001</v>
      </c>
      <c r="D88" s="21">
        <v>48.070500000000003</v>
      </c>
      <c r="E88" s="21">
        <v>25.40541</v>
      </c>
    </row>
    <row r="89" spans="1:5" ht="15.6" x14ac:dyDescent="0.3">
      <c r="A89" s="20" t="s">
        <v>454</v>
      </c>
      <c r="B89" s="20" t="s">
        <v>471</v>
      </c>
      <c r="C89" s="21">
        <v>1.5333810000000001</v>
      </c>
      <c r="D89" s="21">
        <v>31.438230000000001</v>
      </c>
      <c r="E89" s="21">
        <v>23.970590000000001</v>
      </c>
    </row>
    <row r="90" spans="1:5" ht="15.6" x14ac:dyDescent="0.3">
      <c r="A90" s="20" t="s">
        <v>454</v>
      </c>
      <c r="B90" s="20" t="s">
        <v>472</v>
      </c>
      <c r="C90" s="21">
        <v>1.5333810000000001</v>
      </c>
      <c r="D90" s="21"/>
      <c r="E90" s="21"/>
    </row>
    <row r="91" spans="1:5" ht="15.6" x14ac:dyDescent="0.3">
      <c r="A91" s="20" t="s">
        <v>454</v>
      </c>
      <c r="B91" s="20" t="s">
        <v>473</v>
      </c>
      <c r="C91" s="21">
        <v>1.5333810000000001</v>
      </c>
      <c r="D91" s="21">
        <v>42.262329999999999</v>
      </c>
      <c r="E91" s="21">
        <v>19.615379999999998</v>
      </c>
    </row>
    <row r="92" spans="1:5" ht="15.6" x14ac:dyDescent="0.3">
      <c r="A92" s="20" t="s">
        <v>454</v>
      </c>
      <c r="B92" s="20" t="s">
        <v>474</v>
      </c>
      <c r="C92" s="21">
        <v>1.5333810000000001</v>
      </c>
      <c r="D92" s="21">
        <v>37.001649999999998</v>
      </c>
      <c r="E92" s="21">
        <v>27.413789999999999</v>
      </c>
    </row>
    <row r="93" spans="1:5" ht="15.6" x14ac:dyDescent="0.3">
      <c r="A93" s="20" t="s">
        <v>454</v>
      </c>
      <c r="B93" s="20" t="s">
        <v>475</v>
      </c>
      <c r="C93" s="21">
        <v>1.5333810000000001</v>
      </c>
      <c r="D93" s="21">
        <v>38.704099999999997</v>
      </c>
      <c r="E93" s="21">
        <v>21.214289999999998</v>
      </c>
    </row>
    <row r="94" spans="1:5" ht="15.6" x14ac:dyDescent="0.3">
      <c r="A94" s="20" t="s">
        <v>454</v>
      </c>
      <c r="B94" s="20" t="s">
        <v>476</v>
      </c>
      <c r="C94" s="21">
        <v>1.5333810000000001</v>
      </c>
      <c r="D94" s="21">
        <v>35.465319999999998</v>
      </c>
      <c r="E94" s="21">
        <v>20.357140000000001</v>
      </c>
    </row>
    <row r="95" spans="1:5" ht="15.6" x14ac:dyDescent="0.3">
      <c r="A95" s="20" t="s">
        <v>454</v>
      </c>
      <c r="B95" s="20" t="s">
        <v>477</v>
      </c>
      <c r="C95" s="21">
        <v>1.5333810000000001</v>
      </c>
      <c r="D95" s="21"/>
      <c r="E95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rawdataSofia</vt:lpstr>
      <vt:lpstr>by treatments</vt:lpstr>
      <vt:lpstr>by treatment and depth</vt:lpstr>
      <vt:lpstr>scenario1_6_million_ha</vt:lpstr>
      <vt:lpstr>scenario2_6_million_ha</vt:lpstr>
      <vt:lpstr>scenario3_6_million_ha</vt:lpstr>
      <vt:lpstr>6 million_cumulative C uptake</vt:lpstr>
      <vt:lpstr>4.1 million_cumulative C uptake</vt:lpstr>
      <vt:lpstr>scenario1_4.1_million_ha</vt:lpstr>
      <vt:lpstr>scenario2_4.1_million_ha</vt:lpstr>
      <vt:lpstr>scenario3_4.1_million_ha</vt:lpstr>
      <vt:lpstr>Sheet1</vt:lpstr>
      <vt:lpstr>0-30cm_SOCstock</vt:lpstr>
      <vt:lpstr>stat</vt:lpstr>
      <vt:lpstr>SOC stock</vt:lpstr>
      <vt:lpstr>Sheet3</vt:lpstr>
    </vt:vector>
  </TitlesOfParts>
  <Manager/>
  <Company>University of Leeds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Jyoti Narsude</dc:creator>
  <cp:keywords/>
  <dc:description/>
  <cp:lastModifiedBy>Sofia Biffi</cp:lastModifiedBy>
  <cp:revision/>
  <dcterms:created xsi:type="dcterms:W3CDTF">2025-11-27T05:21:44Z</dcterms:created>
  <dcterms:modified xsi:type="dcterms:W3CDTF">2026-08-03T09:16:58Z</dcterms:modified>
  <cp:category/>
  <cp:contentStatus/>
</cp:coreProperties>
</file>