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668859d85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c2cab4bcf8a4365"/>
    <x:sheet xmlns:r="http://schemas.openxmlformats.org/officeDocument/2006/relationships" name="Inputs" sheetId="2" r:id="Ra3575220e0484fcb"/>
    <x:sheet xmlns:r="http://schemas.openxmlformats.org/officeDocument/2006/relationships" name="Annual build" sheetId="3" r:id="R4ba09e88661a45f9"/>
    <x:sheet xmlns:r="http://schemas.openxmlformats.org/officeDocument/2006/relationships" name="Cohort factors" sheetId="4" r:id="R8282ec84060c4b40"/>
    <x:sheet xmlns:r="http://schemas.openxmlformats.org/officeDocument/2006/relationships" name="Growth source" sheetId="5" r:id="R65cd5ae3ee10497d"/>
    <x:sheet xmlns:r="http://schemas.openxmlformats.org/officeDocument/2006/relationships" name="Sources" sheetId="6" r:id="R561f02f4a868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#,##0"/>
    <x:numFmt numFmtId="203" formatCode="#,##0.00"/>
    <x:numFmt numFmtId="204" formatCode="#,##0.000"/>
    <x:numFmt numFmtId="205" formatCode="0.00"/>
    <x:numFmt numFmtId="206" formatCode="#,##0.0"/>
    <x:numFmt numFmtId="207" formatCode="0.0"/>
    <x:numFmt numFmtId="208" formatCode="0.000000"/>
  </x:numFmts>
  <x:fonts count="5">
    <x:font>
      <x:sz val="11"/>
      <x:name val="Carlito"/>
    </x:font>
    <x:font>
      <x:sz val="10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  <x:font>
      <x:sz val="10"/>
      <x:color rgb="FF0072B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50"/>
      </x:patternFill>
    </x:fill>
    <x:fill>
      <x:patternFill patternType="solid">
        <x:fgColor rgb="FFEDF5FA"/>
      </x:patternFill>
    </x:fill>
    <x:fill>
      <x:patternFill patternType="solid">
        <x:fgColor rgb="FF233F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ef3efd5df45dd" /><Relationship Type="http://schemas.openxmlformats.org/officeDocument/2006/relationships/theme" Target="/xl/theme/theme1.xml" Id="Raadcc185c20643c7" /><Relationship Type="http://schemas.openxmlformats.org/officeDocument/2006/relationships/sharedStrings" Target="/xl/sharedStrings.xml" Id="R533b8c7842b141f0" /><Relationship Type="http://schemas.openxmlformats.org/officeDocument/2006/relationships/worksheet" Target="/xl/worksheets/sheet1.xml" Id="Rfc2cab4bcf8a4365" /><Relationship Type="http://schemas.openxmlformats.org/officeDocument/2006/relationships/worksheet" Target="/xl/worksheets/sheet2.xml" Id="Ra3575220e0484fcb" /><Relationship Type="http://schemas.openxmlformats.org/officeDocument/2006/relationships/worksheet" Target="/xl/worksheets/sheet3.xml" Id="R4ba09e88661a45f9" /><Relationship Type="http://schemas.openxmlformats.org/officeDocument/2006/relationships/worksheet" Target="/xl/worksheets/sheet4.xml" Id="R8282ec84060c4b40" /><Relationship Type="http://schemas.openxmlformats.org/officeDocument/2006/relationships/worksheet" Target="/xl/worksheets/sheet5.xml" Id="R65cd5ae3ee10497d" /><Relationship Type="http://schemas.openxmlformats.org/officeDocument/2006/relationships/worksheet" Target="/xl/worksheets/sheet6.xml" Id="R561f02f4a868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6b928c899643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Croppable case: combined carbon stock (Mt CO2)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Croppable all 2027</c:v>
          </c:tx>
          <c:spPr>
            <a:solidFill xmlns:a="http://schemas.openxmlformats.org/drawingml/2006/main">
              <a:srgbClr val="0072B2"/>
            </a:solidFill>
            <a:ln xmlns:a="http://schemas.openxmlformats.org/drawingml/2006/main" w="19050">
              <a:solidFill>
                <a:srgbClr val="0072B2"/>
              </a:solidFill>
              <a:prstDash val="solid"/>
            </a:ln>
          </c:spPr>
          <c:marker>
            <c:symbol val="none"/>
          </c:marker>
          <c:cat>
            <c:strRef>
              <c:f>'Results'!$A$27:$A$56</c:f>
              <c:strCache>
                <c:ptCount val="0"/>
              </c:strCache>
            </c:strRef>
          </c:cat>
          <c:val>
            <c:numRef>
              <c:f>'Results'!$B$27:$B$56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Croppable constant</c:v>
          </c:tx>
          <c:spPr>
            <a:solidFill xmlns:a="http://schemas.openxmlformats.org/drawingml/2006/main">
              <a:srgbClr val="D55E00"/>
            </a:solidFill>
            <a:ln xmlns:a="http://schemas.openxmlformats.org/drawingml/2006/main" w="19050">
              <a:solidFill>
                <a:srgbClr val="D55E00"/>
              </a:solidFill>
              <a:prstDash val="dash"/>
            </a:ln>
          </c:spPr>
          <c:marker>
            <c:symbol val="none"/>
          </c:marker>
          <c:cat>
            <c:strRef>
              <c:f>'Results'!$A$27:$A$56</c:f>
              <c:strCache>
                <c:ptCount val="0"/>
              </c:strCache>
            </c:strRef>
          </c:cat>
          <c:val>
            <c:numRef>
              <c:f>'Results'!$C$27:$C$56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25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6b928c899643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e4c59c34c54e5d" /></Relationships>
</file>

<file path=xl/worksheets/sheet1.xml><?xml version="1.0" encoding="utf-8"?>
<x:worksheet xmlns:x="http://schemas.openxmlformats.org/spreadsheetml/2006/main">
  <x:sheetPr>
    <x:tabColor rgb="FF233F50"/>
  </x:sheetPr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UK trees on farmland scenarios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Trichobel. Planting target reached by 2050. Croppable and cropped definitions are alternatives.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Cropland definition</x:v>
      </x:c>
      <x:c r="B5" s="7" t="str">
        <x:v>Planting schedule</x:v>
      </x:c>
      <x:c r="C5" s="7" t="str">
        <x:v>End year</x:v>
      </x:c>
      <x:c r="D5" s="7" t="str">
        <x:v>AGB stock Mt CO2</x:v>
      </x:c>
      <x:c r="E5" s="7" t="str">
        <x:v>Combined stock Mt CO2</x:v>
      </x:c>
      <x:c r="F5" s="7" t="str">
        <x:v>AGB PAIC Mt CO2/yr</x:v>
      </x:c>
      <x:c r="G5" s="7" t="str">
        <x:v>AGB MAIC Mt CO2/yr</x:v>
      </x:c>
      <x:c r="H5" s="2"/>
      <x:c r="I5" s="2"/>
      <x:c r="J5" s="2"/>
      <x:c r="K5" s="2"/>
      <x:c r="L5" s="2"/>
    </x:row>
    <x:row r="6" ht="22" customHeight="1">
      <x:c r="A6" s="2" t="str">
        <x:v>Croppable 6.125m ha</x:v>
      </x:c>
      <x:c r="B6" s="2" t="str">
        <x:v>All planted in 2027</x:v>
      </x:c>
      <x:c r="C6" s="2" t="n">
        <x:v>2050</x:v>
      </x:c>
      <x:c r="D6" s="17" t="n">
        <x:f>'Annual build'!N88</x:f>
        <x:v>168.18184573075666</x:v>
      </x:c>
      <x:c r="E6" s="17" t="n">
        <x:f>'Annual build'!O88</x:f>
        <x:v>211.8097254186451</x:v>
      </x:c>
      <x:c r="F6" s="17" t="n">
        <x:f>'Annual build'!P88</x:f>
        <x:v>7.803661468679084</x:v>
      </x:c>
      <x:c r="G6" s="17" t="n">
        <x:f>'Annual build'!V88</x:f>
        <x:v>7.007576905448193</x:v>
      </x:c>
      <x:c r="H6" s="17"/>
      <x:c r="I6" s="17"/>
      <x:c r="J6" s="2"/>
      <x:c r="K6" s="2"/>
      <x:c r="L6" s="2"/>
    </x:row>
    <x:row r="7" ht="22" customHeight="1">
      <x:c r="A7" s="2" t="str">
        <x:v>Croppable 6.125m ha</x:v>
      </x:c>
      <x:c r="B7" s="2" t="str">
        <x:v>All planted in 2027</x:v>
      </x:c>
      <x:c r="C7" s="2" t="n">
        <x:v>2056</x:v>
      </x:c>
      <x:c r="D7" s="17" t="n">
        <x:f>'Annual build'!N94</x:f>
        <x:v>218.3475798176752</x:v>
      </x:c>
      <x:c r="E7" s="17" t="n">
        <x:f>'Annual build'!O94</x:f>
        <x:v>274.90983738711134</x:v>
      </x:c>
      <x:c r="F7" s="17" t="n">
        <x:f>'Annual build'!P94</x:f>
        <x:v>7.613007934897163</x:v>
      </x:c>
      <x:c r="G7" s="17" t="n">
        <x:f>'Annual build'!V94</x:f>
        <x:v>7.2782526605891755</x:v>
      </x:c>
      <x:c r="H7" s="17"/>
      <x:c r="I7" s="17"/>
      <x:c r="J7" s="2"/>
      <x:c r="K7" s="2"/>
      <x:c r="L7" s="2"/>
    </x:row>
    <x:row r="8" ht="22" customHeight="1">
      <x:c r="A8" s="2" t="str">
        <x:v>Croppable 6.125m ha</x:v>
      </x:c>
      <x:c r="B8" s="2" t="str">
        <x:v>Constant planting to 2050</x:v>
      </x:c>
      <x:c r="C8" s="2" t="n">
        <x:v>2050</x:v>
      </x:c>
      <x:c r="D8" s="17" t="n">
        <x:f>'Annual build'!N178</x:f>
        <x:v>72.72806111992438</x:v>
      </x:c>
      <x:c r="E8" s="17" t="n">
        <x:f>'Annual build'!O178</x:f>
        <x:v>91.73912289396364</x:v>
      </x:c>
      <x:c r="F8" s="17" t="n">
        <x:f>'Annual build'!P178</x:f>
        <x:v>7.007576905448189</x:v>
      </x:c>
      <x:c r="G8" s="17" t="n">
        <x:f>'Annual build'!V178</x:f>
        <x:v>4.689546406016333</x:v>
      </x:c>
      <x:c r="H8" s="17"/>
      <x:c r="I8" s="17"/>
      <x:c r="J8" s="2"/>
      <x:c r="K8" s="2"/>
      <x:c r="L8" s="2"/>
    </x:row>
    <x:row r="9" ht="22" customHeight="1">
      <x:c r="A9" s="2" t="str">
        <x:v>Croppable 6.125m ha</x:v>
      </x:c>
      <x:c r="B9" s="2" t="str">
        <x:v>Constant planting to 2050</x:v>
      </x:c>
      <x:c r="C9" s="2" t="n">
        <x:v>2056</x:v>
      </x:c>
      <x:c r="D9" s="17" t="n">
        <x:f>'Annual build'!N184</x:f>
        <x:v>119.91461474542635</x:v>
      </x:c>
      <x:c r="E9" s="17" t="n">
        <x:f>'Annual build'!O184</x:f>
        <x:v>151.11623526615432</x:v>
      </x:c>
      <x:c r="F9" s="17" t="n">
        <x:f>'Annual build'!P184</x:f>
        <x:v>8.1809596915467</x:v>
      </x:c>
      <x:c r="G9" s="17" t="n">
        <x:f>'Annual build'!V184</x:f>
        <x:v>6.067120885523188</x:v>
      </x:c>
      <x:c r="H9" s="17"/>
      <x:c r="I9" s="17"/>
      <x:c r="J9" s="2"/>
      <x:c r="K9" s="2"/>
      <x:c r="L9" s="2"/>
    </x:row>
    <x:row r="10" ht="22" customHeight="1">
      <x:c r="A10" s="2" t="str">
        <x:v>Arable cropped 4.089m ha</x:v>
      </x:c>
      <x:c r="B10" s="2" t="str">
        <x:v>All planted in 2027</x:v>
      </x:c>
      <x:c r="C10" s="2" t="n">
        <x:v>2050</x:v>
      </x:c>
      <x:c r="D10" s="17" t="n">
        <x:f>'Annual build'!N268</x:f>
        <x:v>161.02613160161084</x:v>
      </x:c>
      <x:c r="E10" s="17" t="n">
        <x:f>'Annual build'!O268</x:f>
        <x:v>202.323103723424</x:v>
      </x:c>
      <x:c r="F10" s="17" t="n">
        <x:f>'Annual build'!P268</x:f>
        <x:v>7.471635319317556</x:v>
      </x:c>
      <x:c r="G10" s="17" t="n">
        <x:f>'Annual build'!V268</x:f>
        <x:v>6.709422150067117</x:v>
      </x:c>
      <x:c r="H10" s="17"/>
      <x:c r="I10" s="17"/>
      <x:c r="J10" s="2"/>
      <x:c r="K10" s="2"/>
      <x:c r="L10" s="2"/>
    </x:row>
    <x:row r="11" ht="22" customHeight="1">
      <x:c r="A11" s="2" t="str">
        <x:v>Arable cropped 4.089m ha</x:v>
      </x:c>
      <x:c r="B11" s="2" t="str">
        <x:v>All planted in 2027</x:v>
      </x:c>
      <x:c r="C11" s="2" t="n">
        <x:v>2056</x:v>
      </x:c>
      <x:c r="D11" s="17" t="n">
        <x:f>'Annual build'!N274</x:f>
        <x:v>209.05743999802164</x:v>
      </x:c>
      <x:c r="E11" s="17" t="n">
        <x:f>'Annual build'!O274</x:f>
        <x:v>262.6198020052906</x:v>
      </x:c>
      <x:c r="F11" s="17" t="n">
        <x:f>'Annual build'!P274</x:f>
        <x:v>7.289093613417691</x:v>
      </x:c>
      <x:c r="G11" s="17" t="n">
        <x:f>'Annual build'!V274</x:f>
        <x:v>6.96858133326739</x:v>
      </x:c>
      <x:c r="H11" s="17"/>
      <x:c r="I11" s="17"/>
      <x:c r="J11" s="2"/>
      <x:c r="K11" s="2"/>
      <x:c r="L11" s="2"/>
    </x:row>
    <x:row r="12" ht="22" customHeight="1">
      <x:c r="A12" s="2" t="str">
        <x:v>Arable cropped 4.089m ha</x:v>
      </x:c>
      <x:c r="B12" s="2" t="str">
        <x:v>Constant planting to 2050</x:v>
      </x:c>
      <x:c r="C12" s="2" t="n">
        <x:v>2050</x:v>
      </x:c>
      <x:c r="D12" s="17" t="n">
        <x:f>'Annual build'!N358</x:f>
        <x:v>69.63366521601468</x:v>
      </x:c>
      <x:c r="E12" s="17" t="n">
        <x:f>'Annual build'!O358</x:f>
        <x:v>87.58864004747915</x:v>
      </x:c>
      <x:c r="F12" s="17" t="n">
        <x:f>'Annual build'!P358</x:f>
        <x:v>6.7094221500671125</x:v>
      </x:c>
      <x:c r="G12" s="17" t="n">
        <x:f>'Annual build'!V358</x:f>
        <x:v>4.490018012621616</x:v>
      </x:c>
      <x:c r="H12" s="17"/>
      <x:c r="I12" s="17"/>
      <x:c r="J12" s="2"/>
      <x:c r="K12" s="2"/>
      <x:c r="L12" s="2"/>
    </x:row>
    <x:row r="13" ht="22" customHeight="1">
      <x:c r="A13" s="2" t="str">
        <x:v>Arable cropped 4.089m ha</x:v>
      </x:c>
      <x:c r="B13" s="2" t="str">
        <x:v>Constant planting to 2050</x:v>
      </x:c>
      <x:c r="C13" s="2" t="n">
        <x:v>2056</x:v>
      </x:c>
      <x:c r="D13" s="17" t="n">
        <x:f>'Annual build'!N364</x:f>
        <x:v>114.81254977939771</x:v>
      </x:c>
      <x:c r="E13" s="17" t="n">
        <x:f>'Annual build'!O364</x:f>
        <x:v>144.32074299304315</x:v>
      </x:c>
      <x:c r="F13" s="17" t="n">
        <x:f>'Annual build'!P364</x:f>
        <x:v>7.832880452670403</x:v>
      </x:c>
      <x:c r="G13" s="17" t="n">
        <x:f>'Annual build'!V364</x:f>
        <x:v>5.808980166142115</x:v>
      </x:c>
      <x:c r="H13" s="17"/>
      <x:c r="I13" s="17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str">
        <x:v>Combined = AGB + BGB + additional SOC on cropland tree strips only. Grassland SOC credit is zero.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PAIC and MAIC describe AGB only. Cropped-area results are tabulated; figures use the croppable baseline.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Input SOC rate: 0.651 Mg C/strip ha/year; profile SD 0.259. Scenarios use the mean rate only.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6" customHeight="1">
      <x:c r="A19" s="7" t="str">
        <x:v>Land definition</x:v>
      </x:c>
      <x:c r="B19" s="7" t="str">
        <x:v>Target ha</x:v>
      </x:c>
      <x:c r="C19" s="7" t="str">
        <x:v>Trees / ha</x:v>
      </x:c>
      <x:c r="D19" s="7" t="str">
        <x:v>Trees at target</x:v>
      </x:c>
      <x:c r="E19" s="7" t="str">
        <x:v>Tree-strip ha</x:v>
      </x:c>
      <x:c r="F19" s="7" t="str">
        <x:v>Constant ha / year</x:v>
      </x:c>
      <x:c r="G19" s="7" t="str">
        <x:v>Strip SOC Mg C/ha/year</x:v>
      </x:c>
      <x:c r="H19" s="2"/>
      <x:c r="I19" s="2"/>
      <x:c r="J19" s="2"/>
      <x:c r="K19" s="2"/>
      <x:c r="L19" s="2"/>
    </x:row>
    <x:row r="20" ht="22" customHeight="1">
      <x:c r="A20" s="2" t="str">
        <x:f>Inputs!A13</x:f>
        <x:v>Permanent grassland</x:v>
      </x:c>
      <x:c r="B20" s="18" t="n">
        <x:f>Inputs!H13</x:f>
        <x:v>837900.0000000001</x:v>
      </x:c>
      <x:c r="C20" s="18" t="n">
        <x:f>Inputs!D13</x:f>
        <x:v>166</x:v>
      </x:c>
      <x:c r="D20" s="18" t="n">
        <x:f>B20*C20</x:f>
        <x:v>139091400.00000003</x:v>
      </x:c>
      <x:c r="E20" s="18" t="n">
        <x:f>B20*Inputs!E13/Inputs!F13</x:f>
        <x:v>167580.00000000003</x:v>
      </x:c>
      <x:c r="F20" s="18" t="n">
        <x:f>B20/24</x:f>
        <x:v>34912.50000000001</x:v>
      </x:c>
      <x:c r="G20" s="11" t="n">
        <x:f>Inputs!$B$8*Inputs!E13/Inputs!F13*0</x:f>
        <x:v>0</x:v>
      </x:c>
      <x:c r="H20" s="2"/>
      <x:c r="I20" s="2"/>
      <x:c r="J20" s="2"/>
      <x:c r="K20" s="2"/>
      <x:c r="L20" s="2"/>
    </x:row>
    <x:row r="21" ht="22" customHeight="1">
      <x:c r="A21" s="2" t="str">
        <x:f>Inputs!A14</x:f>
        <x:v>Croppable area</x:v>
      </x:c>
      <x:c r="B21" s="18" t="n">
        <x:f>Inputs!H14</x:f>
        <x:v>428750.00000000006</x:v>
      </x:c>
      <x:c r="C21" s="18" t="n">
        <x:f>Inputs!D14</x:f>
        <x:v>47.61904761904762</x:v>
      </x:c>
      <x:c r="D21" s="18" t="n">
        <x:f>B21*C21</x:f>
        <x:v>20416666.66666667</x:v>
      </x:c>
      <x:c r="E21" s="18" t="n">
        <x:f>B21*Inputs!E14/Inputs!F14</x:f>
        <x:v>28583.333333333336</x:v>
      </x:c>
      <x:c r="F21" s="18" t="n">
        <x:f>B21/24</x:f>
        <x:v>17864.583333333336</x:v>
      </x:c>
      <x:c r="G21" s="11" t="n">
        <x:f>Inputs!$B$8*Inputs!E14/Inputs!F14</x:f>
        <x:v>0.04340086623262759</x:v>
      </x:c>
      <x:c r="H21" s="2"/>
      <x:c r="I21" s="2"/>
      <x:c r="J21" s="2"/>
      <x:c r="K21" s="2"/>
      <x:c r="L21" s="2"/>
    </x:row>
    <x:row r="22" ht="22" customHeight="1">
      <x:c r="A22" s="2" t="str">
        <x:f>Inputs!A15</x:f>
        <x:v>Cropped area</x:v>
      </x:c>
      <x:c r="B22" s="18" t="n">
        <x:f>Inputs!H15</x:f>
        <x:v>286230</x:v>
      </x:c>
      <x:c r="C22" s="18" t="n">
        <x:f>Inputs!D15</x:f>
        <x:v>47.61904761904762</x:v>
      </x:c>
      <x:c r="D22" s="18" t="n">
        <x:f>B22*C22</x:f>
        <x:v>13630000</x:v>
      </x:c>
      <x:c r="E22" s="18" t="n">
        <x:f>B22*Inputs!E15/Inputs!F15</x:f>
        <x:v>19082</x:v>
      </x:c>
      <x:c r="F22" s="18" t="n">
        <x:f>B22/24</x:f>
        <x:v>11926.25</x:v>
      </x:c>
      <x:c r="G22" s="11" t="n">
        <x:f>Inputs!$B$8*Inputs!E15/Inputs!F15</x:f>
        <x:v>0.04340086623262759</x:v>
      </x:c>
      <x:c r="H22" s="2"/>
      <x:c r="I22" s="2"/>
      <x:c r="J22" s="2"/>
      <x:c r="K22" s="2"/>
      <x:c r="L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6" customHeight="1">
      <x:c r="A26" s="7" t="str">
        <x:v>End year</x:v>
      </x:c>
      <x:c r="B26" s="7" t="str">
        <x:v>Croppable all 2027</x:v>
      </x:c>
      <x:c r="C26" s="7" t="str">
        <x:v>Croppable constant</x:v>
      </x:c>
      <x:c r="D26" s="7" t="str">
        <x:v>Cropped all 2027</x:v>
      </x:c>
      <x:c r="E26" s="7" t="str">
        <x:v>Cropped constant</x:v>
      </x:c>
      <x:c r="F26" s="2"/>
      <x:c r="G26" s="2"/>
      <x:c r="H26" s="2"/>
      <x:c r="I26" s="2"/>
      <x:c r="J26" s="2"/>
      <x:c r="K26" s="2"/>
      <x:c r="L26" s="2"/>
    </x:row>
    <x:row r="27" ht="22" customHeight="1">
      <x:c r="A27" s="2" t="str">
        <x:v>2027</x:v>
      </x:c>
      <x:c r="B27" s="19" t="n">
        <x:f>'Annual build'!O65</x:f>
        <x:v>0.43251676110235776</x:v>
      </x:c>
      <x:c r="C27" s="19" t="n">
        <x:f>'Annual build'!O155</x:f>
        <x:v>0.01802153171259824</x:v>
      </x:c>
      <x:c r="D27" s="19" t="n">
        <x:f>'Annual build'!O245</x:f>
        <x:v>0.3943371317657992</x:v>
      </x:c>
      <x:c r="E27" s="19" t="n">
        <x:f>'Annual build'!O335</x:f>
        <x:v>0.016430713823574965</x:v>
      </x:c>
      <x:c r="F27" s="2"/>
      <x:c r="G27" s="2"/>
      <x:c r="H27" s="2"/>
      <x:c r="I27" s="2"/>
      <x:c r="J27" s="2"/>
      <x:c r="K27" s="2"/>
      <x:c r="L27" s="2"/>
    </x:row>
    <x:row r="28" ht="22" customHeight="1">
      <x:c r="A28" s="2" t="str">
        <x:v>2028</x:v>
      </x:c>
      <x:c r="B28" s="19" t="n">
        <x:f>'Annual build'!O66</x:f>
        <x:v>1.5056909178326996</x:v>
      </x:c>
      <x:c r="C28" s="19" t="n">
        <x:f>'Annual build'!O156</x:f>
        <x:v>0.08075865328896074</x:v>
      </x:c>
      <x:c r="D28" s="19" t="n">
        <x:f>'Annual build'!O246</x:f>
        <x:v>1.4020732998645127</x:v>
      </x:c>
      <x:c r="E28" s="19" t="n">
        <x:f>'Annual build'!O336</x:f>
        <x:v>0.07485043465126301</x:v>
      </x:c>
      <x:c r="F28" s="2"/>
      <x:c r="G28" s="2"/>
      <x:c r="H28" s="2"/>
      <x:c r="I28" s="2"/>
      <x:c r="J28" s="2"/>
      <x:c r="K28" s="2"/>
      <x:c r="L28" s="2"/>
    </x:row>
    <x:row r="29" ht="22" customHeight="1">
      <x:c r="A29" s="2" t="str">
        <x:v>2029</x:v>
      </x:c>
      <x:c r="B29" s="19" t="n">
        <x:f>'Annual build'!O67</x:f>
        <x:v>4.346279249778091</x:v>
      </x:c>
      <x:c r="C29" s="19" t="n">
        <x:f>'Annual build'!O157</x:f>
        <x:v>0.26185362202971446</x:v>
      </x:c>
      <x:c r="D29" s="19" t="n">
        <x:f>'Annual build'!O247</x:f>
        <x:v>4.102024619581604</x:v>
      </x:c>
      <x:c r="E29" s="19" t="n">
        <x:f>'Annual build'!O337</x:f>
        <x:v>0.24576812713382978</x:v>
      </x:c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2030</x:v>
      </x:c>
      <x:c r="B30" s="19" t="n">
        <x:f>'Annual build'!O68</x:f>
        <x:v>8.451048041979405</x:v>
      </x:c>
      <x:c r="C30" s="19" t="n">
        <x:f>'Annual build'!O158</x:f>
        <x:v>0.6139806237788563</x:v>
      </x:c>
      <x:c r="D30" s="19" t="n">
        <x:f>'Annual build'!O248</x:f>
        <x:v>8.012368703611946</x:v>
      </x:c>
      <x:c r="E30" s="19" t="n">
        <x:f>'Annual build'!O338</x:f>
        <x:v>0.5796168231176608</x:v>
      </x:c>
      <x:c r="F30" s="2"/>
      <x:c r="G30" s="2"/>
      <x:c r="H30" s="2"/>
      <x:c r="I30" s="2"/>
      <x:c r="J30" s="2"/>
      <x:c r="K30" s="2"/>
      <x:c r="L30" s="2"/>
    </x:row>
    <x:row r="31" ht="22" customHeight="1">
      <x:c r="A31" s="2" t="str">
        <x:v>2031</x:v>
      </x:c>
      <x:c r="B31" s="19" t="n">
        <x:f>'Annual build'!O69</x:f>
        <x:v>15.990107910955953</x:v>
      </x:c>
      <x:c r="C31" s="19" t="n">
        <x:f>'Annual build'!O159</x:f>
        <x:v>1.2802351200686877</x:v>
      </x:c>
      <x:c r="D31" s="19" t="n">
        <x:f>'Annual build'!O249</x:f>
        <x:v>15.210883425110286</x:v>
      </x:c>
      <x:c r="E31" s="19" t="n">
        <x:f>'Annual build'!O339</x:f>
        <x:v>1.213403632497256</x:v>
      </x:c>
      <x:c r="F31" s="2"/>
      <x:c r="G31" s="2"/>
      <x:c r="H31" s="2"/>
      <x:c r="I31" s="2"/>
      <x:c r="J31" s="2"/>
      <x:c r="K31" s="2"/>
      <x:c r="L31" s="2"/>
    </x:row>
    <x:row r="32" ht="22" customHeight="1">
      <x:c r="A32" s="2" t="str">
        <x:v>2032</x:v>
      </x:c>
      <x:c r="B32" s="19" t="n">
        <x:f>'Annual build'!O70</x:f>
        <x:v>27.90785399955403</x:v>
      </x:c>
      <x:c r="C32" s="19" t="n">
        <x:f>'Annual build'!O160</x:f>
        <x:v>2.4430623700501064</x:v>
      </x:c>
      <x:c r="D32" s="19" t="n">
        <x:f>'Annual build'!O250</x:f>
        <x:v>26.601782291159562</x:v>
      </x:c>
      <x:c r="E32" s="19" t="n">
        <x:f>'Annual build'!O340</x:f>
        <x:v>2.3218112279622387</x:v>
      </x:c>
      <x:c r="F32" s="2"/>
      <x:c r="G32" s="2"/>
      <x:c r="H32" s="2"/>
      <x:c r="I32" s="2"/>
      <x:c r="J32" s="2"/>
      <x:c r="K32" s="2"/>
      <x:c r="L32" s="2"/>
    </x:row>
    <x:row r="33" ht="22" customHeight="1">
      <x:c r="A33" s="2" t="str">
        <x:v>2033</x:v>
      </x:c>
      <x:c r="B33" s="19" t="n">
        <x:f>'Annual build'!O71</x:f>
        <x:v>33.070379514637764</x:v>
      </x:c>
      <x:c r="C33" s="19" t="n">
        <x:f>'Annual build'!O161</x:f>
        <x:v>3.8209948498266786</x:v>
      </x:c>
      <x:c r="D33" s="19" t="n">
        <x:f>'Annual build'!O251</x:f>
        <x:v>31.524878212472206</x:v>
      </x:c>
      <x:c r="E33" s="19" t="n">
        <x:f>'Annual build'!O341</x:f>
        <x:v>3.6353478201485796</x:v>
      </x:c>
      <x:c r="F33" s="2"/>
      <x:c r="G33" s="2"/>
      <x:c r="H33" s="2"/>
      <x:c r="I33" s="2"/>
      <x:c r="J33" s="2"/>
      <x:c r="K33" s="2"/>
      <x:c r="L33" s="2"/>
    </x:row>
    <x:row r="34" ht="22" customHeight="1">
      <x:c r="A34" s="2" t="str">
        <x:v>2034</x:v>
      </x:c>
      <x:c r="B34" s="19" t="n">
        <x:f>'Annual build'!O72</x:f>
        <x:v>38.23290502972149</x:v>
      </x:c>
      <x:c r="C34" s="19" t="n">
        <x:f>'Annual build'!O162</x:f>
        <x:v>5.414032559398407</x:v>
      </x:c>
      <x:c r="D34" s="19" t="n">
        <x:f>'Annual build'!O252</x:f>
        <x:v>36.447974133784854</x:v>
      </x:c>
      <x:c r="E34" s="19" t="n">
        <x:f>'Annual build'!O342</x:f>
        <x:v>5.154013409056282</x:v>
      </x:c>
      <x:c r="F34" s="2"/>
      <x:c r="G34" s="2"/>
      <x:c r="H34" s="2"/>
      <x:c r="I34" s="2"/>
      <x:c r="J34" s="2"/>
      <x:c r="K34" s="2"/>
      <x:c r="L34" s="2"/>
    </x:row>
    <x:row r="35" ht="22" customHeight="1">
      <x:c r="A35" s="2" t="str">
        <x:v>2035</x:v>
      </x:c>
      <x:c r="B35" s="19" t="n">
        <x:f>'Annual build'!O73</x:f>
        <x:v>43.39543054480522</x:v>
      </x:c>
      <x:c r="C35" s="19" t="n">
        <x:f>'Annual build'!O163</x:f>
        <x:v>7.222175498765292</x:v>
      </x:c>
      <x:c r="D35" s="19" t="n">
        <x:f>'Annual build'!O253</x:f>
        <x:v>41.37107005509749</x:v>
      </x:c>
      <x:c r="E35" s="19" t="n">
        <x:f>'Annual build'!O343</x:f>
        <x:v>6.8778079946853445</x:v>
      </x:c>
      <x:c r="F35" s="2"/>
      <x:c r="G35" s="2"/>
      <x:c r="H35" s="2"/>
      <x:c r="I35" s="2"/>
      <x:c r="J35" s="2"/>
      <x:c r="K35" s="2"/>
      <x:c r="L35" s="2"/>
    </x:row>
    <x:row r="36" ht="22" customHeight="1">
      <x:c r="A36" s="2" t="str">
        <x:v>2036</x:v>
      </x:c>
      <x:c r="B36" s="19" t="n">
        <x:f>'Annual build'!O74</x:f>
        <x:v>52.08091994377627</x:v>
      </x:c>
      <x:c r="C36" s="19" t="n">
        <x:f>'Annual build'!O164</x:f>
        <x:v>9.39221382975597</x:v>
      </x:c>
      <x:c r="D36" s="19" t="n">
        <x:f>'Annual build'!O254</x:f>
        <x:v>49.66723661628609</x:v>
      </x:c>
      <x:c r="E36" s="19" t="n">
        <x:f>'Annual build'!O344</x:f>
        <x:v>8.9472761870306</x:v>
      </x:c>
      <x:c r="F36" s="2"/>
      <x:c r="G36" s="2"/>
      <x:c r="H36" s="2"/>
      <x:c r="I36" s="2"/>
      <x:c r="J36" s="2"/>
      <x:c r="K36" s="2"/>
      <x:c r="L36" s="2"/>
    </x:row>
    <x:row r="37" ht="22" customHeight="1">
      <x:c r="A37" s="2" t="str">
        <x:v>2037</x:v>
      </x:c>
      <x:c r="B37" s="19" t="n">
        <x:f>'Annual build'!O75</x:f>
        <x:v>64.83320314280415</x:v>
      </x:c>
      <x:c r="C37" s="19" t="n">
        <x:f>'Annual build'!O165</x:f>
        <x:v>12.093597294039474</x:v>
      </x:c>
      <x:c r="D37" s="19" t="n">
        <x:f>'Annual build'!O255</x:f>
        <x:v>61.85716513970772</x:v>
      </x:c>
      <x:c r="E37" s="19" t="n">
        <x:f>'Annual build'!O345</x:f>
        <x:v>11.524658067851751</x:v>
      </x:c>
      <x:c r="F37" s="2"/>
      <x:c r="G37" s="2"/>
      <x:c r="H37" s="2"/>
      <x:c r="I37" s="2"/>
      <x:c r="J37" s="2"/>
      <x:c r="K37" s="2"/>
      <x:c r="L37" s="2"/>
    </x:row>
    <x:row r="38" ht="22" customHeight="1">
      <x:c r="A38" s="2" t="str">
        <x:v>2038</x:v>
      </x:c>
      <x:c r="B38" s="19" t="n">
        <x:f>'Annual build'!O76</x:f>
        <x:v>77.58548634183204</x:v>
      </x:c>
      <x:c r="C38" s="19" t="n">
        <x:f>'Annual build'!O166</x:f>
        <x:v>15.326325891615815</x:v>
      </x:c>
      <x:c r="D38" s="19" t="n">
        <x:f>'Annual build'!O256</x:f>
        <x:v>74.04709366312936</x:v>
      </x:c>
      <x:c r="E38" s="19" t="n">
        <x:f>'Annual build'!O346</x:f>
        <x:v>14.609953637148813</x:v>
      </x:c>
      <x:c r="F38" s="2"/>
      <x:c r="G38" s="2"/>
      <x:c r="H38" s="2"/>
      <x:c r="I38" s="2"/>
      <x:c r="J38" s="2"/>
      <x:c r="K38" s="2"/>
      <x:c r="L38" s="2"/>
    </x:row>
    <x:row r="39" ht="22" customHeight="1">
      <x:c r="A39" s="2" t="str">
        <x:v>2039</x:v>
      </x:c>
      <x:c r="B39" s="19" t="n">
        <x:f>'Annual build'!O77</x:f>
        <x:v>90.33776954085992</x:v>
      </x:c>
      <x:c r="C39" s="19" t="n">
        <x:f>'Annual build'!O167</x:f>
        <x:v>19.090399622484973</x:v>
      </x:c>
      <x:c r="D39" s="19" t="n">
        <x:f>'Annual build'!O257</x:f>
        <x:v>86.237022186551</x:v>
      </x:c>
      <x:c r="E39" s="19" t="n">
        <x:f>'Annual build'!O347</x:f>
        <x:v>18.203162894921768</x:v>
      </x:c>
      <x:c r="F39" s="2"/>
      <x:c r="G39" s="2"/>
      <x:c r="H39" s="2"/>
      <x:c r="I39" s="2"/>
      <x:c r="J39" s="2"/>
      <x:c r="K39" s="2"/>
      <x:c r="L39" s="2"/>
    </x:row>
    <x:row r="40" ht="22" customHeight="1">
      <x:c r="A40" s="2" t="str">
        <x:v>2040</x:v>
      </x:c>
      <x:c r="B40" s="19" t="n">
        <x:f>'Annual build'!O78</x:f>
        <x:v>98.49583091489495</x:v>
      </x:c>
      <x:c r="C40" s="19" t="n">
        <x:f>'Annual build'!O168</x:f>
        <x:v>23.194392577272264</x:v>
      </x:c>
      <x:c r="D40" s="19" t="n">
        <x:f>'Annual build'!O258</x:f>
        <x:v>94.02820145743665</x:v>
      </x:c>
      <x:c r="E40" s="19" t="n">
        <x:f>'Annual build'!O348</x:f>
        <x:v>22.121004622314963</x:v>
      </x:c>
      <x:c r="F40" s="2"/>
      <x:c r="G40" s="2"/>
      <x:c r="H40" s="2"/>
      <x:c r="I40" s="2"/>
      <x:c r="J40" s="2"/>
      <x:c r="K40" s="2"/>
      <x:c r="L40" s="2"/>
    </x:row>
    <x:row r="41" ht="22" customHeight="1">
      <x:c r="A41" s="2" t="str">
        <x:v>2041</x:v>
      </x:c>
      <x:c r="B41" s="19" t="n">
        <x:f>'Annual build'!O79</x:f>
        <x:v>111.50207504307429</x:v>
      </x:c>
      <x:c r="C41" s="19" t="n">
        <x:f>'Annual build'!O169</x:f>
        <x:v>27.84031237073369</x:v>
      </x:c>
      <x:c r="D41" s="19" t="n">
        <x:f>'Annual build'!O259</x:f>
        <x:v>106.46128551183442</x:v>
      </x:c>
      <x:c r="E41" s="19" t="n">
        <x:f>'Annual build'!O349</x:f>
        <x:v>26.556891518641393</x:v>
      </x:c>
      <x:c r="F41" s="2"/>
      <x:c r="G41" s="2"/>
      <x:c r="H41" s="2"/>
      <x:c r="I41" s="2"/>
      <x:c r="J41" s="2"/>
      <x:c r="K41" s="2"/>
      <x:c r="L41" s="2"/>
    </x:row>
    <x:row r="42" ht="22" customHeight="1">
      <x:c r="A42" s="2" t="str">
        <x:v>2042</x:v>
      </x:c>
      <x:c r="B42" s="19" t="n">
        <x:f>'Annual build'!O80</x:f>
        <x:v>125.59719004118456</x:v>
      </x:c>
      <x:c r="C42" s="19" t="n">
        <x:f>'Annual build'!O170</x:f>
        <x:v>33.073528622449714</x:v>
      </x:c>
      <x:c r="D42" s="19" t="n">
        <x:f>'Annual build'!O260</x:f>
        <x:v>119.93691172193763</x:v>
      </x:c>
      <x:c r="E42" s="19" t="n">
        <x:f>'Annual build'!O350</x:f>
        <x:v>31.554262840388795</x:v>
      </x:c>
      <x:c r="F42" s="2"/>
      <x:c r="G42" s="2"/>
      <x:c r="H42" s="2"/>
      <x:c r="I42" s="2"/>
      <x:c r="J42" s="2"/>
      <x:c r="K42" s="2"/>
      <x:c r="L42" s="2"/>
    </x:row>
    <x:row r="43" ht="22" customHeight="1">
      <x:c r="A43" s="2" t="str">
        <x:v>2043</x:v>
      </x:c>
      <x:c r="B43" s="19" t="n">
        <x:f>'Annual build'!O81</x:f>
        <x:v>138.7389619680377</x:v>
      </x:c>
      <x:c r="C43" s="19" t="n">
        <x:f>'Annual build'!O171</x:f>
        <x:v>38.85431870445129</x:v>
      </x:c>
      <x:c r="D43" s="19" t="n">
        <x:f>'Annual build'!O261</x:f>
        <x:v>132.49975720837404</x:v>
      </x:c>
      <x:c r="E43" s="19" t="n">
        <x:f>'Annual build'!O351</x:f>
        <x:v>37.07508605740438</x:v>
      </x:c>
      <x:c r="F43" s="2"/>
      <x:c r="G43" s="2"/>
      <x:c r="H43" s="2"/>
      <x:c r="I43" s="2"/>
      <x:c r="J43" s="2"/>
      <x:c r="K43" s="2"/>
      <x:c r="L43" s="2"/>
    </x:row>
    <x:row r="44" ht="22" customHeight="1">
      <x:c r="A44" s="2" t="str">
        <x:v>2044</x:v>
      </x:c>
      <x:c r="B44" s="19" t="n">
        <x:f>'Annual build'!O82</x:f>
        <x:v>153.16565800124147</x:v>
      </x:c>
      <x:c r="C44" s="19" t="n">
        <x:f>'Annual build'!O172</x:f>
        <x:v>45.23622112116968</x:v>
      </x:c>
      <x:c r="D44" s="19" t="n">
        <x:f>'Annual build'!O262</x:f>
        <x:v>146.29285651530031</x:v>
      </x:c>
      <x:c r="E44" s="19" t="n">
        <x:f>'Annual build'!O352</x:f>
        <x:v>43.170621745541894</x:v>
      </x:c>
      <x:c r="F44" s="2"/>
      <x:c r="G44" s="2"/>
      <x:c r="H44" s="2"/>
      <x:c r="I44" s="2"/>
      <x:c r="J44" s="2"/>
      <x:c r="K44" s="2"/>
      <x:c r="L44" s="2"/>
    </x:row>
    <x:row r="45" ht="22" customHeight="1">
      <x:c r="A45" s="2" t="str">
        <x:v>2045</x:v>
      </x:c>
      <x:c r="B45" s="19" t="n">
        <x:f>'Annual build'!O83</x:f>
        <x:v>163.4174949606786</x:v>
      </x:c>
      <x:c r="C45" s="19" t="n">
        <x:f>'Annual build'!O173</x:f>
        <x:v>52.04528341119796</x:v>
      </x:c>
      <x:c r="D45" s="19" t="n">
        <x:f>'Annual build'!O263</x:f>
        <x:v>156.08872649162004</x:v>
      </x:c>
      <x:c r="E45" s="19" t="n">
        <x:f>'Annual build'!O353</x:f>
        <x:v>49.67431868269273</x:v>
      </x:c>
      <x:c r="F45" s="2"/>
      <x:c r="G45" s="2"/>
      <x:c r="H45" s="2"/>
      <x:c r="I45" s="2"/>
      <x:c r="J45" s="2"/>
      <x:c r="K45" s="2"/>
      <x:c r="L45" s="2"/>
    </x:row>
    <x:row r="46" ht="22" customHeight="1">
      <x:c r="A46" s="2" t="str">
        <x:v>2046</x:v>
      </x:c>
      <x:c r="B46" s="19" t="n">
        <x:f>'Annual build'!O84</x:f>
        <x:v>169.4815903678558</x:v>
      </x:c>
      <x:c r="C46" s="19" t="n">
        <x:f>'Annual build'!O174</x:f>
        <x:v>59.10701634319196</x:v>
      </x:c>
      <x:c r="D46" s="19" t="n">
        <x:f>'Annual build'!O264</x:f>
        <x:v>161.8750327758675</x:v>
      </x:c>
      <x:c r="E46" s="19" t="n">
        <x:f>'Annual build'!O354</x:f>
        <x:v>56.41911171502055</x:v>
      </x:c>
      <x:c r="F46" s="2"/>
      <x:c r="G46" s="2"/>
      <x:c r="H46" s="2"/>
      <x:c r="I46" s="2"/>
      <x:c r="J46" s="2"/>
      <x:c r="K46" s="2"/>
      <x:c r="L46" s="2"/>
    </x:row>
    <x:row r="47" ht="22" customHeight="1">
      <x:c r="A47" s="2" t="str">
        <x:v>2047</x:v>
      </x:c>
      <x:c r="B47" s="19" t="n">
        <x:f>'Annual build'!O85</x:f>
        <x:v>179.2203096417661</x:v>
      </x:c>
      <x:c r="C47" s="19" t="n">
        <x:f>'Annual build'!O175</x:f>
        <x:v>66.5745292449322</x:v>
      </x:c>
      <x:c r="D47" s="19" t="n">
        <x:f>'Annual build'!O265</x:f>
        <x:v>171.17961693237865</x:v>
      </x:c>
      <x:c r="E47" s="19" t="n">
        <x:f>'Annual build'!O355</x:f>
        <x:v>63.55159575386964</x:v>
      </x:c>
      <x:c r="F47" s="2"/>
      <x:c r="G47" s="2"/>
      <x:c r="H47" s="2"/>
      <x:c r="I47" s="2"/>
      <x:c r="J47" s="2"/>
      <x:c r="K47" s="2"/>
      <x:c r="L47" s="2"/>
    </x:row>
    <x:row r="48" ht="22" customHeight="1">
      <x:c r="A48" s="2" t="str">
        <x:v>2048</x:v>
      </x:c>
      <x:c r="B48" s="19" t="n">
        <x:f>'Annual build'!O86</x:f>
        <x:v>190.15104687171592</x:v>
      </x:c>
      <x:c r="C48" s="19" t="n">
        <x:f>'Annual build'!O176</x:f>
        <x:v>74.4974895312537</x:v>
      </x:c>
      <x:c r="D48" s="19" t="n">
        <x:f>'Annual build'!O266</x:f>
        <x:v>181.6255016818681</x:v>
      </x:c>
      <x:c r="E48" s="19" t="n">
        <x:f>'Annual build'!O356</x:f>
        <x:v>71.11932499061416</x:v>
      </x:c>
      <x:c r="F48" s="2"/>
      <x:c r="G48" s="2"/>
      <x:c r="H48" s="2"/>
      <x:c r="I48" s="2"/>
      <x:c r="J48" s="2"/>
      <x:c r="K48" s="2"/>
      <x:c r="L48" s="2"/>
    </x:row>
    <x:row r="49" ht="22" customHeight="1">
      <x:c r="A49" s="2" t="str">
        <x:v>2049</x:v>
      </x:c>
      <x:c r="B49" s="19" t="n">
        <x:f>'Annual build'!O87</x:f>
        <x:v>201.98947528639331</x:v>
      </x:c>
      <x:c r="C49" s="19" t="n">
        <x:f>'Annual build'!O177</x:f>
        <x:v>82.91371766818676</x:v>
      </x:c>
      <x:c r="D49" s="19" t="n">
        <x:f>'Annual build'!O267</x:f>
        <x:v>192.94045764133557</x:v>
      </x:c>
      <x:c r="E49" s="19" t="n">
        <x:f>'Annual build'!O357</x:f>
        <x:v>79.15851072566981</x:v>
      </x:c>
      <x:c r="F49" s="2"/>
      <x:c r="G49" s="2"/>
      <x:c r="H49" s="2"/>
      <x:c r="I49" s="2"/>
      <x:c r="J49" s="2"/>
      <x:c r="K49" s="2"/>
      <x:c r="L49" s="2"/>
    </x:row>
    <x:row r="50" ht="22" customHeight="1">
      <x:c r="A50" s="2" t="str">
        <x:v>2050</x:v>
      </x:c>
      <x:c r="B50" s="19" t="n">
        <x:f>'Annual build'!O88</x:f>
        <x:v>211.8097254186451</x:v>
      </x:c>
      <x:c r="C50" s="19" t="n">
        <x:f>'Annual build'!O178</x:f>
        <x:v>91.73912289396364</x:v>
      </x:c>
      <x:c r="D50" s="19" t="n">
        <x:f>'Annual build'!O268</x:f>
        <x:v>202.323103723424</x:v>
      </x:c>
      <x:c r="E50" s="19" t="n">
        <x:f>'Annual build'!O358</x:f>
        <x:v>87.58864004747915</x:v>
      </x:c>
      <x:c r="F50" s="2"/>
      <x:c r="G50" s="2"/>
      <x:c r="H50" s="2"/>
      <x:c r="I50" s="2"/>
      <x:c r="J50" s="2"/>
      <x:c r="K50" s="2"/>
      <x:c r="L50" s="2"/>
    </x:row>
    <x:row r="51" ht="22" customHeight="1">
      <x:c r="A51" s="2" t="str">
        <x:v>2051</x:v>
      </x:c>
      <x:c r="B51" s="19" t="n">
        <x:f>'Annual build'!O89</x:f>
        <x:v>221.003350855056</x:v>
      </x:c>
      <x:c r="C51" s="19" t="n">
        <x:f>'Annual build'!O179</x:f>
        <x:v>100.92957431454502</x:v>
      </x:c>
      <x:c r="D51" s="19" t="n">
        <x:f>'Annual build'!O269</x:f>
        <x:v>211.10578641291875</x:v>
      </x:c>
      <x:c r="E51" s="19" t="n">
        <x:f>'Annual build'!O359</x:f>
        <x:v>96.36828376752717</x:v>
      </x:c>
      <x:c r="F51" s="2"/>
      <x:c r="G51" s="2"/>
      <x:c r="H51" s="2"/>
      <x:c r="I51" s="2"/>
      <x:c r="J51" s="2"/>
      <x:c r="K51" s="2"/>
      <x:c r="L51" s="2"/>
    </x:row>
    <x:row r="52" ht="22" customHeight="1">
      <x:c r="A52" s="2" t="str">
        <x:v>2052</x:v>
      </x:c>
      <x:c r="B52" s="19" t="n">
        <x:f>'Annual build'!O90</x:f>
        <x:v>232.86184864817275</x:v>
      </x:c>
      <x:c r="C52" s="19" t="n">
        <x:f>'Annual build'!O180</x:f>
        <x:v>110.56941421997587</x:v>
      </x:c>
      <x:c r="D52" s="19" t="n">
        <x:f>'Annual build'!O270</x:f>
        <x:v>222.4399578492987</x:v>
      </x:c>
      <x:c r="E52" s="19" t="n">
        <x:f>'Annual build'!O360</x:f>
        <x:v>105.5781956237536</x:v>
      </x:c>
      <x:c r="F52" s="2"/>
      <x:c r="G52" s="2"/>
      <x:c r="H52" s="2"/>
      <x:c r="I52" s="2"/>
      <x:c r="J52" s="2"/>
      <x:c r="K52" s="2"/>
      <x:c r="L52" s="2"/>
    </x:row>
    <x:row r="53" ht="22" customHeight="1">
      <x:c r="A53" s="2" t="str">
        <x:v>2053</x:v>
      </x:c>
      <x:c r="B53" s="19" t="n">
        <x:f>'Annual build'!O91</x:f>
        <x:v>240.64596911325316</x:v>
      </x:c>
      <x:c r="C53" s="19" t="n">
        <x:f>'Annual build'!O181</x:f>
        <x:v>120.41523463095396</x:v>
      </x:c>
      <x:c r="D53" s="19" t="n">
        <x:f>'Annual build'!O271</x:f>
        <x:v>229.8731064554897</x:v>
      </x:c>
      <x:c r="E53" s="19" t="n">
        <x:f>'Annual build'!O361</x:f>
        <x:v>114.98532403358307</x:v>
      </x:c>
      <x:c r="F53" s="2"/>
      <x:c r="G53" s="2"/>
      <x:c r="H53" s="2"/>
      <x:c r="I53" s="2"/>
      <x:c r="J53" s="2"/>
      <x:c r="K53" s="2"/>
      <x:c r="L53" s="2"/>
    </x:row>
    <x:row r="54" ht="22" customHeight="1">
      <x:c r="A54" s="2" t="str">
        <x:v>2054</x:v>
      </x:c>
      <x:c r="B54" s="19" t="n">
        <x:f>'Annual build'!O92</x:f>
        <x:v>248.9353460962583</x:v>
      </x:c>
      <x:c r="C54" s="19" t="n">
        <x:f>'Annual build'!O182</x:f>
        <x:v>130.43541371654896</x:v>
      </x:c>
      <x:c r="D54" s="19" t="n">
        <x:f>'Annual build'!O272</x:f>
        <x:v>237.79001418677777</x:v>
      </x:c>
      <x:c r="E54" s="19" t="n">
        <x:f>'Annual build'!O362</x:f>
        <x:v>124.5593925953817</x:v>
      </x:c>
      <x:c r="F54" s="2"/>
      <x:c r="G54" s="2"/>
      <x:c r="H54" s="2"/>
      <x:c r="I54" s="2"/>
      <x:c r="J54" s="2"/>
      <x:c r="K54" s="2"/>
      <x:c r="L54" s="2"/>
    </x:row>
    <x:row r="55" ht="22" customHeight="1">
      <x:c r="A55" s="2" t="str">
        <x:v>2055</x:v>
      </x:c>
      <x:c r="B55" s="19" t="n">
        <x:f>'Annual build'!O93</x:f>
        <x:v>265.3278417139269</x:v>
      </x:c>
      <x:c r="C55" s="19" t="n">
        <x:f>'Annual build'!O183</x:f>
        <x:v>140.8244859583394</x:v>
      </x:c>
      <x:c r="D55" s="19" t="n">
        <x:f>'Annual build'!O273</x:f>
        <x:v>253.46527325485437</x:v>
      </x:c>
      <x:c r="E55" s="19" t="n">
        <x:f>'Annual build'!O363</x:f>
        <x:v>134.4866588382877</x:v>
      </x:c>
      <x:c r="F55" s="2"/>
      <x:c r="G55" s="2"/>
      <x:c r="H55" s="2"/>
      <x:c r="I55" s="2"/>
      <x:c r="J55" s="2"/>
      <x:c r="K55" s="2"/>
      <x:c r="L55" s="2"/>
    </x:row>
    <x:row r="56" ht="22" customHeight="1">
      <x:c r="A56" s="2" t="str">
        <x:v>2056</x:v>
      </x:c>
      <x:c r="B56" s="19" t="n">
        <x:f>'Annual build'!O94</x:f>
        <x:v>274.90983738711134</x:v>
      </x:c>
      <x:c r="C56" s="19" t="n">
        <x:f>'Annual build'!O184</x:f>
        <x:v>151.11623526615432</x:v>
      </x:c>
      <x:c r="D56" s="19" t="n">
        <x:f>'Annual build'!O274</x:f>
        <x:v>262.6198020052906</x:v>
      </x:c>
      <x:c r="E56" s="19" t="n">
        <x:f>'Annual build'!O364</x:f>
        <x:v>144.32074299304315</x:v>
      </x:c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</x:sheetData>
  <x:pageMargins left="0.7" right="0.7" top="0.75" bottom="0.75" header="0.3" footer="0.3"/>
  <x:drawing xmlns:r="http://schemas.openxmlformats.org/officeDocument/2006/relationships" r:id="Rb7e4c59c34c54e5d"/>
</x:worksheet>
</file>

<file path=xl/worksheets/sheet2.xml><?xml version="1.0" encoding="utf-8"?>
<x:worksheet xmlns:x="http://schemas.openxmlformats.org/spreadsheetml/2006/main">
  <x:sheetPr>
    <x:tabColor rgb="FF79A6BF"/>
  </x:sheetPr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Scenario inputs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Blue cells can be edited; grassland SOC credit is fixed at zero. Calendar: 2027-2056.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" t="str">
        <x:v>AGB carbon fraction</x:v>
      </x:c>
      <x:c r="B5" s="10" t="n">
        <x:v>0.4884</x:v>
      </x:c>
      <x:c r="C5" s="2"/>
      <x:c r="D5" s="2"/>
      <x:c r="E5" s="2"/>
      <x:c r="F5" s="2"/>
      <x:c r="G5" s="2"/>
      <x:c r="H5" s="2"/>
    </x:row>
    <x:row r="6" ht="22" customHeight="1">
      <x:c r="A6" s="2" t="str">
        <x:v>BGB carbon fraction</x:v>
      </x:c>
      <x:c r="B6" s="10" t="n">
        <x:v>0.469</x:v>
      </x:c>
      <x:c r="C6" s="2"/>
      <x:c r="D6" s="2"/>
      <x:c r="E6" s="2"/>
      <x:c r="F6" s="2"/>
      <x:c r="G6" s="2"/>
      <x:c r="H6" s="2"/>
    </x:row>
    <x:row r="7" ht="22" customHeight="1">
      <x:c r="A7" s="2" t="str">
        <x:v>Root:shoot dry-biomass ratio</x:v>
      </x:c>
      <x:c r="B7" s="10" t="n">
        <x:v>0.26</x:v>
      </x:c>
      <x:c r="C7" s="2"/>
      <x:c r="D7" s="2"/>
      <x:c r="E7" s="2"/>
      <x:c r="F7" s="2"/>
      <x:c r="G7" s="2"/>
      <x:c r="H7" s="2"/>
    </x:row>
    <x:row r="8" ht="22" customHeight="1">
      <x:c r="A8" s="2" t="str">
        <x:v>Tree-row SOC Mg C/ha/year</x:v>
      </x:c>
      <x:c r="B8" s="10" t="n">
        <x:f>'Sources'!B23</x:f>
        <x:v>0.6510129934894138</x:v>
      </x:c>
      <x:c r="C8" s="2"/>
      <x:c r="D8" s="2"/>
      <x:c r="E8" s="2"/>
      <x:c r="F8" s="2"/>
      <x:c r="G8" s="2"/>
      <x:c r="H8" s="2"/>
    </x:row>
    <x:row r="9" ht="22" customHeight="1">
      <x:c r="A9" s="2" t="str">
        <x:v>Grassland SOC credit fixed at zero</x:v>
      </x:c>
      <x:c r="B9" s="11" t="n">
        <x:v>0</x:v>
      </x:c>
      <x:c r="C9" s="2"/>
      <x:c r="D9" s="2"/>
      <x:c r="E9" s="2"/>
      <x:c r="F9" s="2"/>
      <x:c r="G9" s="2"/>
      <x:c r="H9" s="2"/>
    </x:row>
    <x:row r="10" ht="22" customHeight="1">
      <x:c r="A10" s="2" t="str">
        <x:v>BGB C / AGB C</x:v>
      </x:c>
      <x:c r="B10" s="11" t="n">
        <x:f>B7*B6/B5</x:f>
        <x:v>0.24967239967239965</x:v>
      </x:c>
      <x:c r="C10" s="2"/>
      <x:c r="D10" s="2"/>
      <x:c r="E10" s="2"/>
      <x:c r="F10" s="2"/>
      <x:c r="G10" s="2"/>
      <x:c r="H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</x:row>
    <x:row r="12" ht="36" customHeight="1">
      <x:c r="A12" s="7" t="str">
        <x:v>Land definition</x:v>
      </x:c>
      <x:c r="B12" s="7" t="str">
        <x:v>Baseline ha</x:v>
      </x:c>
      <x:c r="C12" s="7" t="str">
        <x:v>Adoption</x:v>
      </x:c>
      <x:c r="D12" s="7" t="str">
        <x:v>Trees / ha</x:v>
      </x:c>
      <x:c r="E12" s="7" t="str">
        <x:v>Strip width m</x:v>
      </x:c>
      <x:c r="F12" s="7" t="str">
        <x:v>Row centres m</x:v>
      </x:c>
      <x:c r="G12" s="7" t="str">
        <x:v>Tree spacing m</x:v>
      </x:c>
      <x:c r="H12" s="7" t="str">
        <x:v>Target system ha</x:v>
      </x:c>
    </x:row>
    <x:row r="13" ht="22" customHeight="1">
      <x:c r="A13" s="2" t="str">
        <x:v>Permanent grassland</x:v>
      </x:c>
      <x:c r="B13" s="13" t="n">
        <x:v>5985000</x:v>
      </x:c>
      <x:c r="C13" s="12" t="n">
        <x:v>0.14</x:v>
      </x:c>
      <x:c r="D13" s="14" t="n">
        <x:v>166</x:v>
      </x:c>
      <x:c r="E13" s="14" t="n">
        <x:v>2</x:v>
      </x:c>
      <x:c r="F13" s="14" t="n">
        <x:v>10</x:v>
      </x:c>
      <x:c r="G13" s="14" t="n">
        <x:f>10000/(D13*F13)</x:f>
        <x:v>6.024096385542169</x:v>
      </x:c>
      <x:c r="H13" s="15" t="n">
        <x:f>B13*C13</x:f>
        <x:v>837900.0000000001</x:v>
      </x:c>
    </x:row>
    <x:row r="14" ht="22" customHeight="1">
      <x:c r="A14" s="2" t="str">
        <x:v>Croppable area</x:v>
      </x:c>
      <x:c r="B14" s="13" t="n">
        <x:v>6125000</x:v>
      </x:c>
      <x:c r="C14" s="12" t="n">
        <x:v>0.07</x:v>
      </x:c>
      <x:c r="D14" s="14" t="n">
        <x:f>10000/(F14*G14)</x:f>
        <x:v>47.61904761904762</x:v>
      </x:c>
      <x:c r="E14" s="14" t="n">
        <x:v>2</x:v>
      </x:c>
      <x:c r="F14" s="14" t="n">
        <x:v>30</x:v>
      </x:c>
      <x:c r="G14" s="14" t="n">
        <x:v>7</x:v>
      </x:c>
      <x:c r="H14" s="15" t="n">
        <x:f>B14*C14</x:f>
        <x:v>428750.00000000006</x:v>
      </x:c>
    </x:row>
    <x:row r="15" ht="22" customHeight="1">
      <x:c r="A15" s="2" t="str">
        <x:v>Cropped area</x:v>
      </x:c>
      <x:c r="B15" s="13" t="n">
        <x:v>4089000</x:v>
      </x:c>
      <x:c r="C15" s="12" t="n">
        <x:v>0.07</x:v>
      </x:c>
      <x:c r="D15" s="14" t="n">
        <x:f>10000/(F15*G15)</x:f>
        <x:v>47.61904761904762</x:v>
      </x:c>
      <x:c r="E15" s="14" t="n">
        <x:v>2</x:v>
      </x:c>
      <x:c r="F15" s="14" t="n">
        <x:v>30</x:v>
      </x:c>
      <x:c r="G15" s="14" t="n">
        <x:v>7</x:v>
      </x:c>
      <x:c r="H15" s="15" t="n">
        <x:f>B15*C15</x:f>
        <x:v>286230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" t="str">
        <x:v>Period: 1 January 2027 to 1 January 2057. End-year outputs: 2050 (24 periods) and 2056 (30 periods).</x:v>
      </x:c>
      <x:c r="B18" s="2"/>
      <x:c r="C18" s="2"/>
      <x:c r="D18" s="2"/>
      <x:c r="E18" s="2"/>
      <x:c r="F18" s="2"/>
      <x:c r="G18" s="2"/>
      <x:c r="H18" s="2"/>
    </x:row>
    <x:row r="19" ht="22" customHeight="1">
      <x:c r="A19" s="2" t="str">
        <x:v>Planting is at the beginning of each year. Constant planting uses 24 equal cohorts, 2027-2050 inclusive.</x:v>
      </x:c>
      <x:c r="B19" s="2"/>
      <x:c r="C19" s="2"/>
      <x:c r="D19" s="2"/>
      <x:c r="E19" s="2"/>
      <x:c r="F19" s="2"/>
      <x:c r="G19" s="2"/>
      <x:c r="H19" s="2"/>
    </x:row>
    <x:row r="20" ht="22" customHeight="1">
      <x:c r="A20" s="2" t="str">
        <x:v>Land targets are whole-system hectares containing trees and alleys, not tree-strip hectares. Cropland definitions are alternatives.</x:v>
      </x:c>
      <x:c r="B20" s="2"/>
      <x:c r="C20" s="2"/>
      <x:c r="D20" s="2"/>
      <x:c r="E20" s="2"/>
      <x:c r="F20" s="2"/>
      <x:c r="G20" s="2"/>
      <x:c r="H20" s="2"/>
    </x:row>
    <x:row r="21" ht="22" customHeight="1">
      <x:c r="A21" s="2" t="str">
        <x:v>Grassland row geometry is confirmed: 2 m strips / 10 m row centres; density retained at 166 trees/ha.</x:v>
      </x:c>
      <x:c r="B21" s="2"/>
      <x:c r="C21" s="2"/>
      <x:c r="D21" s="2"/>
      <x:c r="E21" s="2"/>
      <x:c r="F21" s="2"/>
      <x:c r="G21" s="2"/>
      <x:c r="H21" s="2"/>
    </x:row>
    <x:row r="22" ht="22" customHeight="1">
      <x:c r="A22" s="2" t="str">
        <x:v>No additional SOC accumulation is credited to tree rows or alleys on permanent grassland.</x:v>
      </x:c>
      <x:c r="B22" s="2"/>
      <x:c r="C22" s="2"/>
      <x:c r="D22" s="2"/>
      <x:c r="E22" s="2"/>
      <x:c r="F22" s="2"/>
      <x:c r="G22" s="2"/>
      <x:c r="H22" s="2"/>
    </x:row>
    <x:row r="23" ht="22" customHeight="1">
      <x:c r="A23" s="2" t="str">
        <x:v>Croppable land also includes temporary grass and fallow. Its uniform arable SOC baseline is a simplifying assumption.</x:v>
      </x:c>
      <x:c r="B23" s="2"/>
      <x:c r="C23" s="2"/>
      <x:c r="D23" s="2"/>
      <x:c r="E23" s="2"/>
      <x:c r="F23" s="2"/>
      <x:c r="G23" s="2"/>
      <x:c r="H23" s="2"/>
    </x:row>
    <x:row r="24" ht="22" customHeight="1">
      <x:c r="A24" s="2" t="str">
        <x:v>No mortality, harvesting, management emissions or displacement model. Combined stock means additional carbon, not total pre-existing SOC.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 t="str">
        <x:v>Scenario calculations use the mean SOC rate. Profile SD is descriptive; no uncertainty bands are applied.</x:v>
      </x:c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</x:sheetData>
  <x:dataValidations count="1">
    <x:dataValidation type="decimal" operator="between" sqref="B5:B7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Annual cohort calculation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2" t="str">
        <x:v>Stocks and annual differences; totals are additional to a tree-free baseline. No alley SOC credited.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6" customHeight="1">
      <x:c r="A4" s="7" t="str">
        <x:v>Scenario code</x:v>
      </x:c>
      <x:c r="B4" s="7" t="str">
        <x:v>Land</x:v>
      </x:c>
      <x:c r="C4" s="7" t="str">
        <x:v>End year</x:v>
      </x:c>
      <x:c r="D4" s="7" t="str">
        <x:v>Target ha</x:v>
      </x:c>
      <x:c r="E4" s="7" t="str">
        <x:v>New ha</x:v>
      </x:c>
      <x:c r="F4" s="7" t="str">
        <x:v>Established ha</x:v>
      </x:c>
      <x:c r="G4" s="7" t="str">
        <x:v>Trees</x:v>
      </x:c>
      <x:c r="H4" s="7" t="str">
        <x:v>AGB C Mg</x:v>
      </x:c>
      <x:c r="I4" s="7" t="str">
        <x:v>BGB C Mg</x:v>
      </x:c>
      <x:c r="J4" s="7" t="str">
        <x:v>SOC C Mg</x:v>
      </x:c>
      <x:c r="K4" s="7" t="str">
        <x:v>Combined C Mg</x:v>
      </x:c>
      <x:c r="L4" s="7" t="str">
        <x:v>Annual AGB C Mg</x:v>
      </x:c>
      <x:c r="M4" s="7" t="str">
        <x:v>Annual combined C Mg</x:v>
      </x:c>
      <x:c r="N4" s="7" t="str">
        <x:v>AGB Mt CO2</x:v>
      </x:c>
      <x:c r="O4" s="7" t="str">
        <x:v>Combined Mt CO2</x:v>
      </x:c>
      <x:c r="P4" s="7" t="str">
        <x:v>Annual AGB Mt CO2</x:v>
      </x:c>
      <x:c r="Q4" s="7" t="str">
        <x:v>Annual combined Mt CO2</x:v>
      </x:c>
      <x:c r="R4" s="7" t="str">
        <x:v>Combined without grass SOC</x:v>
      </x:c>
      <x:c r="S4" s="7" t="str">
        <x:v>Annual without grass SOC</x:v>
      </x:c>
      <x:c r="T4" s="7" t="str">
        <x:v>Strip fraction</x:v>
      </x:c>
      <x:c r="U4" s="7" t="str">
        <x:v>Area years / ha</x:v>
      </x:c>
      <x:c r="V4" s="7" t="str">
        <x:v>AGB MAIC Mt CO2/yr</x:v>
      </x:c>
    </x:row>
    <x:row r="5" ht="22" customHeight="1">
      <x:c r="A5" s="2" t="str">
        <x:v>CB_FAST</x:v>
      </x:c>
      <x:c r="B5" s="2" t="str">
        <x:v>Permanent grassland</x:v>
      </x:c>
      <x:c r="C5" s="2" t="n">
        <x:v>2027</x:v>
      </x:c>
      <x:c r="D5" s="16" t="n">
        <x:f>Inputs!H13</x:f>
        <x:v>837900.0000000001</x:v>
      </x:c>
      <x:c r="E5" s="16" t="n">
        <x:f>D5*'Cohort factors'!C5</x:f>
        <x:v>837900.0000000001</x:v>
      </x:c>
      <x:c r="F5" s="16" t="n">
        <x:f>D5*'Cohort factors'!D5</x:f>
        <x:v>837900.0000000001</x:v>
      </x:c>
      <x:c r="G5" s="16" t="n">
        <x:f>F5*Inputs!D13</x:f>
        <x:v>139091400.00000003</x:v>
      </x:c>
      <x:c r="H5" s="16" t="n">
        <x:f>D5*Inputs!D13*'Cohort factors'!E5*Inputs!$B$5/1000</x:f>
        <x:v>69325.60547774399</x:v>
      </x:c>
      <x:c r="I5" s="16" t="n">
        <x:f>H5*Inputs!$B$10</x:f>
        <x:v>17308.690278370395</x:v>
      </x:c>
      <x:c r="J5" s="16" t="n">
        <x:f>D5*T5*Inputs!$B$8*U5*0</x:f>
        <x:v>0</x:v>
      </x:c>
      <x:c r="K5" s="16" t="n">
        <x:f>SUM(H5:J5)</x:f>
        <x:v>86634.29575611438</x:v>
      </x:c>
      <x:c r="L5" s="16" t="n">
        <x:f>H5</x:f>
        <x:v>69325.60547774399</x:v>
      </x:c>
      <x:c r="M5" s="16" t="n">
        <x:f>K5</x:f>
        <x:v>86634.29575611438</x:v>
      </x:c>
      <x:c r="N5" s="16" t="n">
        <x:f>H5*44/12/1000000</x:f>
        <x:v>0.25419388675172794</x:v>
      </x:c>
      <x:c r="O5" s="16" t="n">
        <x:f>K5*44/12/1000000</x:f>
        <x:v>0.3176590844390861</x:v>
      </x:c>
      <x:c r="P5" s="16" t="n">
        <x:f>L5*44/12/1000000</x:f>
        <x:v>0.25419388675172794</x:v>
      </x:c>
      <x:c r="Q5" s="16" t="n">
        <x:f>M5*44/12/1000000</x:f>
        <x:v>0.3176590844390861</x:v>
      </x:c>
      <x:c r="R5" s="16" t="n">
        <x:f>(H5+I5)*44/12/1000000</x:f>
        <x:v>0.3176590844390861</x:v>
      </x:c>
      <x:c r="S5" s="16" t="n">
        <x:f>R5</x:f>
        <x:v>0.3176590844390861</x:v>
      </x:c>
      <x:c r="T5" s="2" t="n">
        <x:f>Inputs!E13/Inputs!F13</x:f>
        <x:v>0.2</x:v>
      </x:c>
      <x:c r="U5" s="2" t="n">
        <x:f>'Cohort factors'!F5</x:f>
        <x:v>1</x:v>
      </x:c>
      <x:c r="V5" s="2" t="n">
        <x:f>D5*Inputs!D13*'Cohort factors'!G5*Inputs!$B$5/1000*44/12/1000000</x:f>
        <x:v>0.25419388675172794</x:v>
      </x:c>
    </x:row>
    <x:row r="6" ht="22" customHeight="1">
      <x:c r="A6" s="2" t="str">
        <x:v>CB_FAST</x:v>
      </x:c>
      <x:c r="B6" s="2" t="str">
        <x:v>Permanent grassland</x:v>
      </x:c>
      <x:c r="C6" s="2" t="n">
        <x:v>2028</x:v>
      </x:c>
      <x:c r="D6" s="16" t="n">
        <x:f>Inputs!H13</x:f>
        <x:v>837900.0000000001</x:v>
      </x:c>
      <x:c r="E6" s="16" t="n">
        <x:f>D6*'Cohort factors'!C6</x:f>
        <x:v>0</x:v>
      </x:c>
      <x:c r="F6" s="16" t="n">
        <x:f>D6*'Cohort factors'!D6</x:f>
        <x:v>837900.0000000001</x:v>
      </x:c>
      <x:c r="G6" s="16" t="n">
        <x:f>F6*Inputs!D13</x:f>
        <x:v>139091400.00000003</x:v>
      </x:c>
      <x:c r="H6" s="16" t="n">
        <x:f>D6*Inputs!D13*'Cohort factors'!E6*Inputs!$B$5/1000</x:f>
        <x:v>260571.46606075193</x:v>
      </x:c>
      <x:c r="I6" s="16" t="n">
        <x:f>H6*Inputs!$B$10</x:f>
        <x:v>65057.50321754318</x:v>
      </x:c>
      <x:c r="J6" s="16" t="n">
        <x:f>D6*T6*Inputs!$B$8*U6*0</x:f>
        <x:v>0</x:v>
      </x:c>
      <x:c r="K6" s="16" t="n">
        <x:f>SUM(H6:J6)</x:f>
        <x:v>325628.9692782951</x:v>
      </x:c>
      <x:c r="L6" s="16" t="n">
        <x:f>H6-H5</x:f>
        <x:v>191245.86058300795</x:v>
      </x:c>
      <x:c r="M6" s="16" t="n">
        <x:f>K6-K5</x:f>
        <x:v>238994.67352218073</x:v>
      </x:c>
      <x:c r="N6" s="16" t="n">
        <x:f>H6*44/12/1000000</x:f>
        <x:v>0.9554287088894238</x:v>
      </x:c>
      <x:c r="O6" s="16" t="n">
        <x:f>K6*44/12/1000000</x:f>
        <x:v>1.1939728873537487</x:v>
      </x:c>
      <x:c r="P6" s="16" t="n">
        <x:f>L6*44/12/1000000</x:f>
        <x:v>0.7012348221376957</x:v>
      </x:c>
      <x:c r="Q6" s="16" t="n">
        <x:f>M6*44/12/1000000</x:f>
        <x:v>0.8763138029146628</x:v>
      </x:c>
      <x:c r="R6" s="16" t="n">
        <x:f>(H6+I6)*44/12/1000000</x:f>
        <x:v>1.1939728873537487</x:v>
      </x:c>
      <x:c r="S6" s="16" t="n">
        <x:f>R6-R5</x:f>
        <x:v>0.8763138029146627</x:v>
      </x:c>
      <x:c r="T6" s="2" t="n">
        <x:f>Inputs!E13/Inputs!F13</x:f>
        <x:v>0.2</x:v>
      </x:c>
      <x:c r="U6" s="2" t="n">
        <x:f>'Cohort factors'!F6</x:f>
        <x:v>2</x:v>
      </x:c>
      <x:c r="V6" s="2" t="n">
        <x:f>D6*Inputs!D13*'Cohort factors'!G6*Inputs!$B$5/1000*44/12/1000000</x:f>
        <x:v>0.4777143544447119</x:v>
      </x:c>
    </x:row>
    <x:row r="7" ht="22" customHeight="1">
      <x:c r="A7" s="2" t="str">
        <x:v>CB_FAST</x:v>
      </x:c>
      <x:c r="B7" s="2" t="str">
        <x:v>Permanent grassland</x:v>
      </x:c>
      <x:c r="C7" s="2" t="n">
        <x:v>2029</x:v>
      </x:c>
      <x:c r="D7" s="16" t="n">
        <x:f>Inputs!H13</x:f>
        <x:v>837900.0000000001</x:v>
      </x:c>
      <x:c r="E7" s="16" t="n">
        <x:f>D7*'Cohort factors'!C7</x:f>
        <x:v>0</x:v>
      </x:c>
      <x:c r="F7" s="16" t="n">
        <x:f>D7*'Cohort factors'!D7</x:f>
        <x:v>837900.0000000001</x:v>
      </x:c>
      <x:c r="G7" s="16" t="n">
        <x:f>F7*Inputs!D13</x:f>
        <x:v>139091400.00000003</x:v>
      </x:c>
      <x:c r="H7" s="16" t="n">
        <x:f>D7*Inputs!D13*'Cohort factors'!E7*Inputs!$B$5/1000</x:f>
        <x:v>788164.9417487998</x:v>
      </x:c>
      <x:c r="I7" s="16" t="n">
        <x:f>H7*Inputs!$B$10</x:f>
        <x:v>196783.03234407993</x:v>
      </x:c>
      <x:c r="J7" s="16" t="n">
        <x:f>D7*T7*Inputs!$B$8*U7*0</x:f>
        <x:v>0</x:v>
      </x:c>
      <x:c r="K7" s="16" t="n">
        <x:f>SUM(H7:J7)</x:f>
        <x:v>984947.9740928797</x:v>
      </x:c>
      <x:c r="L7" s="16" t="n">
        <x:f>H7-H6</x:f>
        <x:v>527593.4756880478</x:v>
      </x:c>
      <x:c r="M7" s="16" t="n">
        <x:f>K7-K6</x:f>
        <x:v>659319.0048145845</x:v>
      </x:c>
      <x:c r="N7" s="16" t="n">
        <x:f>H7*44/12/1000000</x:f>
        <x:v>2.889938119745599</x:v>
      </x:c>
      <x:c r="O7" s="16" t="n">
        <x:f>K7*44/12/1000000</x:f>
        <x:v>3.611475905007226</x:v>
      </x:c>
      <x:c r="P7" s="16" t="n">
        <x:f>L7*44/12/1000000</x:f>
        <x:v>1.9345094108561753</x:v>
      </x:c>
      <x:c r="Q7" s="16" t="n">
        <x:f>M7*44/12/1000000</x:f>
        <x:v>2.4175030176534764</x:v>
      </x:c>
      <x:c r="R7" s="16" t="n">
        <x:f>(H7+I7)*44/12/1000000</x:f>
        <x:v>3.611475905007226</x:v>
      </x:c>
      <x:c r="S7" s="16" t="n">
        <x:f>R7-R6</x:f>
        <x:v>2.4175030176534773</x:v>
      </x:c>
      <x:c r="T7" s="2" t="n">
        <x:f>Inputs!E13/Inputs!F13</x:f>
        <x:v>0.2</x:v>
      </x:c>
      <x:c r="U7" s="2" t="n">
        <x:f>'Cohort factors'!F7</x:f>
        <x:v>3</x:v>
      </x:c>
      <x:c r="V7" s="2" t="n">
        <x:f>D7*Inputs!D13*'Cohort factors'!G7*Inputs!$B$5/1000*44/12/1000000</x:f>
        <x:v>0.9633127065818664</x:v>
      </x:c>
    </x:row>
    <x:row r="8" ht="22" customHeight="1">
      <x:c r="A8" s="2" t="str">
        <x:v>CB_FAST</x:v>
      </x:c>
      <x:c r="B8" s="2" t="str">
        <x:v>Permanent grassland</x:v>
      </x:c>
      <x:c r="C8" s="2" t="n">
        <x:v>2030</x:v>
      </x:c>
      <x:c r="D8" s="16" t="n">
        <x:f>Inputs!H13</x:f>
        <x:v>837900.0000000001</x:v>
      </x:c>
      <x:c r="E8" s="16" t="n">
        <x:f>D8*'Cohort factors'!C8</x:f>
        <x:v>0</x:v>
      </x:c>
      <x:c r="F8" s="16" t="n">
        <x:f>D8*'Cohort factors'!D8</x:f>
        <x:v>837900.0000000001</x:v>
      </x:c>
      <x:c r="G8" s="16" t="n">
        <x:f>F8*Inputs!D13</x:f>
        <x:v>139091400.00000003</x:v>
      </x:c>
      <x:c r="H8" s="16" t="n">
        <x:f>D8*Inputs!D13*'Cohort factors'!E8*Inputs!$B$5/1000</x:f>
        <x:v>1556338.1801388953</x:v>
      </x:c>
      <x:c r="I8" s="16" t="n">
        <x:f>H8*Inputs!$B$10</x:f>
        <x:v>388574.6881370534</x:v>
      </x:c>
      <x:c r="J8" s="16" t="n">
        <x:f>D8*T8*Inputs!$B$8*U8*0</x:f>
        <x:v>0</x:v>
      </x:c>
      <x:c r="K8" s="16" t="n">
        <x:f>SUM(H8:J8)</x:f>
        <x:v>1944912.8682759488</x:v>
      </x:c>
      <x:c r="L8" s="16" t="n">
        <x:f>H8-H7</x:f>
        <x:v>768173.2383900955</x:v>
      </x:c>
      <x:c r="M8" s="16" t="n">
        <x:f>K8-K7</x:f>
        <x:v>959964.8941830691</x:v>
      </x:c>
      <x:c r="N8" s="16" t="n">
        <x:f>H8*44/12/1000000</x:f>
        <x:v>5.70657332717595</x:v>
      </x:c>
      <x:c r="O8" s="16" t="n">
        <x:f>K8*44/12/1000000</x:f>
        <x:v>7.1313471836784785</x:v>
      </x:c>
      <x:c r="P8" s="16" t="n">
        <x:f>L8*44/12/1000000</x:f>
        <x:v>2.81663520743035</x:v>
      </x:c>
      <x:c r="Q8" s="16" t="n">
        <x:f>M8*44/12/1000000</x:f>
        <x:v>3.5198712786712534</x:v>
      </x:c>
      <x:c r="R8" s="16" t="n">
        <x:f>(H8+I8)*44/12/1000000</x:f>
        <x:v>7.1313471836784785</x:v>
      </x:c>
      <x:c r="S8" s="16" t="n">
        <x:f>R8-R7</x:f>
        <x:v>3.5198712786712525</x:v>
      </x:c>
      <x:c r="T8" s="2" t="n">
        <x:f>Inputs!E13/Inputs!F13</x:f>
        <x:v>0.2</x:v>
      </x:c>
      <x:c r="U8" s="2" t="n">
        <x:f>'Cohort factors'!F8</x:f>
        <x:v>4</x:v>
      </x:c>
      <x:c r="V8" s="2" t="n">
        <x:f>D8*Inputs!D13*'Cohort factors'!G8*Inputs!$B$5/1000*44/12/1000000</x:f>
        <x:v>1.4266433317939875</x:v>
      </x:c>
    </x:row>
    <x:row r="9" ht="22" customHeight="1">
      <x:c r="A9" s="2" t="str">
        <x:v>CB_FAST</x:v>
      </x:c>
      <x:c r="B9" s="2" t="str">
        <x:v>Permanent grassland</x:v>
      </x:c>
      <x:c r="C9" s="2" t="n">
        <x:v>2031</x:v>
      </x:c>
      <x:c r="D9" s="16" t="n">
        <x:f>Inputs!H13</x:f>
        <x:v>837900.0000000001</x:v>
      </x:c>
      <x:c r="E9" s="16" t="n">
        <x:f>D9*'Cohort factors'!C9</x:f>
        <x:v>0</x:v>
      </x:c>
      <x:c r="F9" s="16" t="n">
        <x:f>D9*'Cohort factors'!D9</x:f>
        <x:v>837900.0000000001</x:v>
      </x:c>
      <x:c r="G9" s="16" t="n">
        <x:f>F9*Inputs!D13</x:f>
        <x:v>139091400.00000003</x:v>
      </x:c>
      <x:c r="H9" s="16" t="n">
        <x:f>D9*Inputs!D13*'Cohort factors'!E9*Inputs!$B$5/1000</x:f>
        <x:v>2978073.9108120017</x:v>
      </x:c>
      <x:c r="I9" s="16" t="n">
        <x:f>H9*Inputs!$B$10</x:f>
        <x:v>743542.8597142004</x:v>
      </x:c>
      <x:c r="J9" s="16" t="n">
        <x:f>D9*T9*Inputs!$B$8*U9*0</x:f>
        <x:v>0</x:v>
      </x:c>
      <x:c r="K9" s="16" t="n">
        <x:f>SUM(H9:J9)</x:f>
        <x:v>3721616.770526202</x:v>
      </x:c>
      <x:c r="L9" s="16" t="n">
        <x:f>H9-H8</x:f>
        <x:v>1421735.7306731064</x:v>
      </x:c>
      <x:c r="M9" s="16" t="n">
        <x:f>K9-K8</x:f>
        <x:v>1776703.9022502531</x:v>
      </x:c>
      <x:c r="N9" s="16" t="n">
        <x:f>H9*44/12/1000000</x:f>
        <x:v>10.919604339644005</x:v>
      </x:c>
      <x:c r="O9" s="16" t="n">
        <x:f>K9*44/12/1000000</x:f>
        <x:v>13.645928158596075</x:v>
      </x:c>
      <x:c r="P9" s="16" t="n">
        <x:f>L9*44/12/1000000</x:f>
        <x:v>5.213031012468057</x:v>
      </x:c>
      <x:c r="Q9" s="16" t="n">
        <x:f>M9*44/12/1000000</x:f>
        <x:v>6.514580974917594</x:v>
      </x:c>
      <x:c r="R9" s="16" t="n">
        <x:f>(H9+I9)*44/12/1000000</x:f>
        <x:v>13.645928158596075</x:v>
      </x:c>
      <x:c r="S9" s="16" t="n">
        <x:f>R9-R8</x:f>
        <x:v>6.514580974917596</x:v>
      </x:c>
      <x:c r="T9" s="2" t="n">
        <x:f>Inputs!E13/Inputs!F13</x:f>
        <x:v>0.2</x:v>
      </x:c>
      <x:c r="U9" s="2" t="n">
        <x:f>'Cohort factors'!F9</x:f>
        <x:v>5</x:v>
      </x:c>
      <x:c r="V9" s="2" t="n">
        <x:f>D9*Inputs!D13*'Cohort factors'!G9*Inputs!$B$5/1000*44/12/1000000</x:f>
        <x:v>2.1839208679288014</x:v>
      </x:c>
    </x:row>
    <x:row r="10" ht="22" customHeight="1">
      <x:c r="A10" s="2" t="str">
        <x:v>CB_FAST</x:v>
      </x:c>
      <x:c r="B10" s="2" t="str">
        <x:v>Permanent grassland</x:v>
      </x:c>
      <x:c r="C10" s="2" t="n">
        <x:v>2032</x:v>
      </x:c>
      <x:c r="D10" s="16" t="n">
        <x:f>Inputs!H13</x:f>
        <x:v>837900.0000000001</x:v>
      </x:c>
      <x:c r="E10" s="16" t="n">
        <x:f>D10*'Cohort factors'!C10</x:f>
        <x:v>0</x:v>
      </x:c>
      <x:c r="F10" s="16" t="n">
        <x:f>D10*'Cohort factors'!D10</x:f>
        <x:v>837900.0000000001</x:v>
      </x:c>
      <x:c r="G10" s="16" t="n">
        <x:f>F10*Inputs!D13</x:f>
        <x:v>139091400.00000003</x:v>
      </x:c>
      <x:c r="H10" s="16" t="n">
        <x:f>D10*Inputs!D13*'Cohort factors'!E10*Inputs!$B$5/1000</x:f>
        <x:v>5233095.176882496</x:v>
      </x:c>
      <x:c r="I10" s="16" t="n">
        <x:f>H10*Inputs!$B$10</x:f>
        <x:v>1306559.4305263136</x:v>
      </x:c>
      <x:c r="J10" s="16" t="n">
        <x:f>D10*T10*Inputs!$B$8*U10*0</x:f>
        <x:v>0</x:v>
      </x:c>
      <x:c r="K10" s="16" t="n">
        <x:f>SUM(H10:J10)</x:f>
        <x:v>6539654.6074088095</x:v>
      </x:c>
      <x:c r="L10" s="16" t="n">
        <x:f>H10-H9</x:f>
        <x:v>2255021.2660704944</x:v>
      </x:c>
      <x:c r="M10" s="16" t="n">
        <x:f>K10-K9</x:f>
        <x:v>2818037.8368826075</x:v>
      </x:c>
      <x:c r="N10" s="16" t="n">
        <x:f>H10*44/12/1000000</x:f>
        <x:v>19.188015648569152</x:v>
      </x:c>
      <x:c r="O10" s="16" t="n">
        <x:f>K10*44/12/1000000</x:f>
        <x:v>23.978733560498966</x:v>
      </x:c>
      <x:c r="P10" s="16" t="n">
        <x:f>L10*44/12/1000000</x:f>
        <x:v>8.268411308925147</x:v>
      </x:c>
      <x:c r="Q10" s="16" t="n">
        <x:f>M10*44/12/1000000</x:f>
        <x:v>10.332805401902894</x:v>
      </x:c>
      <x:c r="R10" s="16" t="n">
        <x:f>(H10+I10)*44/12/1000000</x:f>
        <x:v>23.978733560498966</x:v>
      </x:c>
      <x:c r="S10" s="16" t="n">
        <x:f>R10-R9</x:f>
        <x:v>10.332805401902892</x:v>
      </x:c>
      <x:c r="T10" s="2" t="n">
        <x:f>Inputs!E13/Inputs!F13</x:f>
        <x:v>0.2</x:v>
      </x:c>
      <x:c r="U10" s="2" t="n">
        <x:f>'Cohort factors'!F10</x:f>
        <x:v>6</x:v>
      </x:c>
      <x:c r="V10" s="2" t="n">
        <x:f>D10*Inputs!D13*'Cohort factors'!G10*Inputs!$B$5/1000*44/12/1000000</x:f>
        <x:v>3.1980026080948596</x:v>
      </x:c>
    </x:row>
    <x:row r="11" ht="22" customHeight="1">
      <x:c r="A11" s="2" t="str">
        <x:v>CB_FAST</x:v>
      </x:c>
      <x:c r="B11" s="2" t="str">
        <x:v>Permanent grassland</x:v>
      </x:c>
      <x:c r="C11" s="2" t="n">
        <x:v>2033</x:v>
      </x:c>
      <x:c r="D11" s="16" t="n">
        <x:f>Inputs!H13</x:f>
        <x:v>837900.0000000001</x:v>
      </x:c>
      <x:c r="E11" s="16" t="n">
        <x:f>D11*'Cohort factors'!C11</x:f>
        <x:v>0</x:v>
      </x:c>
      <x:c r="F11" s="16" t="n">
        <x:f>D11*'Cohort factors'!D11</x:f>
        <x:v>837900.0000000001</x:v>
      </x:c>
      <x:c r="G11" s="16" t="n">
        <x:f>F11*Inputs!D13</x:f>
        <x:v>139091400.00000003</x:v>
      </x:c>
      <x:c r="H11" s="16" t="n">
        <x:f>D11*Inputs!D13*'Cohort factors'!E11*Inputs!$B$5/1000</x:f>
        <x:v>6202564.724927647</x:v>
      </x:c>
      <x:c r="I11" s="16" t="n">
        <x:f>H11*Inputs!$B$10</x:f>
        <x:v>1548609.218996063</x:v>
      </x:c>
      <x:c r="J11" s="16" t="n">
        <x:f>D11*T11*Inputs!$B$8*U11*0</x:f>
        <x:v>0</x:v>
      </x:c>
      <x:c r="K11" s="16" t="n">
        <x:f>SUM(H11:J11)</x:f>
        <x:v>7751173.94392371</x:v>
      </x:c>
      <x:c r="L11" s="16" t="n">
        <x:f>H11-H10</x:f>
        <x:v>969469.5480451509</x:v>
      </x:c>
      <x:c r="M11" s="16" t="n">
        <x:f>K11-K10</x:f>
        <x:v>1211519.3365149004</x:v>
      </x:c>
      <x:c r="N11" s="16" t="n">
        <x:f>H11*44/12/1000000</x:f>
        <x:v>22.742737324734705</x:v>
      </x:c>
      <x:c r="O11" s="16" t="n">
        <x:f>K11*44/12/1000000</x:f>
        <x:v>28.42097112772027</x:v>
      </x:c>
      <x:c r="P11" s="16" t="n">
        <x:f>L11*44/12/1000000</x:f>
        <x:v>3.554721676165553</x:v>
      </x:c>
      <x:c r="Q11" s="16" t="n">
        <x:f>M11*44/12/1000000</x:f>
        <x:v>4.4422375672213015</x:v>
      </x:c>
      <x:c r="R11" s="16" t="n">
        <x:f>(H11+I11)*44/12/1000000</x:f>
        <x:v>28.42097112772027</x:v>
      </x:c>
      <x:c r="S11" s="16" t="n">
        <x:f>R11-R10</x:f>
        <x:v>4.442237567221305</x:v>
      </x:c>
      <x:c r="T11" s="2" t="n">
        <x:f>Inputs!E13/Inputs!F13</x:f>
        <x:v>0.2</x:v>
      </x:c>
      <x:c r="U11" s="2" t="n">
        <x:f>'Cohort factors'!F11</x:f>
        <x:v>7</x:v>
      </x:c>
      <x:c r="V11" s="2" t="n">
        <x:f>D11*Inputs!D13*'Cohort factors'!G11*Inputs!$B$5/1000*44/12/1000000</x:f>
        <x:v>3.248962474962101</x:v>
      </x:c>
    </x:row>
    <x:row r="12" ht="22" customHeight="1">
      <x:c r="A12" s="2" t="str">
        <x:v>CB_FAST</x:v>
      </x:c>
      <x:c r="B12" s="2" t="str">
        <x:v>Permanent grassland</x:v>
      </x:c>
      <x:c r="C12" s="2" t="n">
        <x:v>2034</x:v>
      </x:c>
      <x:c r="D12" s="16" t="n">
        <x:f>Inputs!H13</x:f>
        <x:v>837900.0000000001</x:v>
      </x:c>
      <x:c r="E12" s="16" t="n">
        <x:f>D12*'Cohort factors'!C12</x:f>
        <x:v>0</x:v>
      </x:c>
      <x:c r="F12" s="16" t="n">
        <x:f>D12*'Cohort factors'!D12</x:f>
        <x:v>837900.0000000001</x:v>
      </x:c>
      <x:c r="G12" s="16" t="n">
        <x:f>F12*Inputs!D13</x:f>
        <x:v>139091400.00000003</x:v>
      </x:c>
      <x:c r="H12" s="16" t="n">
        <x:f>D12*Inputs!D13*'Cohort factors'!E12*Inputs!$B$5/1000</x:f>
        <x:v>7172034.272972799</x:v>
      </x:c>
      <x:c r="I12" s="16" t="n">
        <x:f>H12*Inputs!$B$10</x:f>
        <x:v>1790659.0074658128</x:v>
      </x:c>
      <x:c r="J12" s="16" t="n">
        <x:f>D12*T12*Inputs!$B$8*U12*0</x:f>
        <x:v>0</x:v>
      </x:c>
      <x:c r="K12" s="16" t="n">
        <x:f>SUM(H12:J12)</x:f>
        <x:v>8962693.280438611</x:v>
      </x:c>
      <x:c r="L12" s="16" t="n">
        <x:f>H12-H11</x:f>
        <x:v>969469.5480451519</x:v>
      </x:c>
      <x:c r="M12" s="16" t="n">
        <x:f>K12-K11</x:f>
        <x:v>1211519.3365149014</x:v>
      </x:c>
      <x:c r="N12" s="16" t="n">
        <x:f>H12*44/12/1000000</x:f>
        <x:v>26.297459000900265</x:v>
      </x:c>
      <x:c r="O12" s="16" t="n">
        <x:f>K12*44/12/1000000</x:f>
        <x:v>32.86320869494158</x:v>
      </x:c>
      <x:c r="P12" s="16" t="n">
        <x:f>L12*44/12/1000000</x:f>
        <x:v>3.554721676165557</x:v>
      </x:c>
      <x:c r="Q12" s="16" t="n">
        <x:f>M12*44/12/1000000</x:f>
        <x:v>4.442237567221305</x:v>
      </x:c>
      <x:c r="R12" s="16" t="n">
        <x:f>(H12+I12)*44/12/1000000</x:f>
        <x:v>32.86320869494158</x:v>
      </x:c>
      <x:c r="S12" s="16" t="n">
        <x:f>R12-R11</x:f>
        <x:v>4.442237567221305</x:v>
      </x:c>
      <x:c r="T12" s="2" t="n">
        <x:f>Inputs!E13/Inputs!F13</x:f>
        <x:v>0.2</x:v>
      </x:c>
      <x:c r="U12" s="2" t="n">
        <x:f>'Cohort factors'!F12</x:f>
        <x:v>8</x:v>
      </x:c>
      <x:c r="V12" s="2" t="n">
        <x:f>D12*Inputs!D13*'Cohort factors'!G12*Inputs!$B$5/1000*44/12/1000000</x:f>
        <x:v>3.287182375112533</x:v>
      </x:c>
    </x:row>
    <x:row r="13" ht="22" customHeight="1">
      <x:c r="A13" s="2" t="str">
        <x:v>CB_FAST</x:v>
      </x:c>
      <x:c r="B13" s="2" t="str">
        <x:v>Permanent grassland</x:v>
      </x:c>
      <x:c r="C13" s="2" t="n">
        <x:v>2035</x:v>
      </x:c>
      <x:c r="D13" s="16" t="n">
        <x:f>Inputs!H13</x:f>
        <x:v>837900.0000000001</x:v>
      </x:c>
      <x:c r="E13" s="16" t="n">
        <x:f>D13*'Cohort factors'!C13</x:f>
        <x:v>0</x:v>
      </x:c>
      <x:c r="F13" s="16" t="n">
        <x:f>D13*'Cohort factors'!D13</x:f>
        <x:v>837900.0000000001</x:v>
      </x:c>
      <x:c r="G13" s="16" t="n">
        <x:f>F13*Inputs!D13</x:f>
        <x:v>139091400.00000003</x:v>
      </x:c>
      <x:c r="H13" s="16" t="n">
        <x:f>D13*Inputs!D13*'Cohort factors'!E13*Inputs!$B$5/1000</x:f>
        <x:v>8141503.821017948</x:v>
      </x:c>
      <x:c r="I13" s="16" t="n">
        <x:f>H13*Inputs!$B$10</x:f>
        <x:v>2032708.795935562</x:v>
      </x:c>
      <x:c r="J13" s="16" t="n">
        <x:f>D13*T13*Inputs!$B$8*U13*0</x:f>
        <x:v>0</x:v>
      </x:c>
      <x:c r="K13" s="16" t="n">
        <x:f>SUM(H13:J13)</x:f>
        <x:v>10174212.61695351</x:v>
      </x:c>
      <x:c r="L13" s="16" t="n">
        <x:f>H13-H12</x:f>
        <x:v>969469.5480451491</x:v>
      </x:c>
      <x:c r="M13" s="16" t="n">
        <x:f>K13-K12</x:f>
        <x:v>1211519.3365148995</x:v>
      </x:c>
      <x:c r="N13" s="16" t="n">
        <x:f>H13*44/12/1000000</x:f>
        <x:v>29.852180677065807</x:v>
      </x:c>
      <x:c r="O13" s="16" t="n">
        <x:f>K13*44/12/1000000</x:f>
        <x:v>37.305446262162874</x:v>
      </x:c>
      <x:c r="P13" s="16" t="n">
        <x:f>L13*44/12/1000000</x:f>
        <x:v>3.554721676165547</x:v>
      </x:c>
      <x:c r="Q13" s="16" t="n">
        <x:f>M13*44/12/1000000</x:f>
        <x:v>4.442237567221298</x:v>
      </x:c>
      <x:c r="R13" s="16" t="n">
        <x:f>(H13+I13)*44/12/1000000</x:f>
        <x:v>37.305446262162874</x:v>
      </x:c>
      <x:c r="S13" s="16" t="n">
        <x:f>R13-R12</x:f>
        <x:v>4.442237567221298</x:v>
      </x:c>
      <x:c r="T13" s="2" t="n">
        <x:f>Inputs!E13/Inputs!F13</x:f>
        <x:v>0.2</x:v>
      </x:c>
      <x:c r="U13" s="2" t="n">
        <x:f>'Cohort factors'!F13</x:f>
        <x:v>9</x:v>
      </x:c>
      <x:c r="V13" s="2" t="n">
        <x:f>D13*Inputs!D13*'Cohort factors'!G13*Inputs!$B$5/1000*44/12/1000000</x:f>
        <x:v>3.3169089641184235</x:v>
      </x:c>
    </x:row>
    <x:row r="14" ht="22" customHeight="1">
      <x:c r="A14" s="2" t="str">
        <x:v>CB_FAST</x:v>
      </x:c>
      <x:c r="B14" s="2" t="str">
        <x:v>Permanent grassland</x:v>
      </x:c>
      <x:c r="C14" s="2" t="n">
        <x:v>2036</x:v>
      </x:c>
      <x:c r="D14" s="16" t="n">
        <x:f>Inputs!H13</x:f>
        <x:v>837900.0000000001</x:v>
      </x:c>
      <x:c r="E14" s="16" t="n">
        <x:f>D14*'Cohort factors'!C14</x:f>
        <x:v>0</x:v>
      </x:c>
      <x:c r="F14" s="16" t="n">
        <x:f>D14*'Cohort factors'!D14</x:f>
        <x:v>837900.0000000001</x:v>
      </x:c>
      <x:c r="G14" s="16" t="n">
        <x:f>F14*Inputs!D13</x:f>
        <x:v>139091400.00000003</x:v>
      </x:c>
      <x:c r="H14" s="16" t="n">
        <x:f>D14*Inputs!D13*'Cohort factors'!E14*Inputs!$B$5/1000</x:f>
        <x:v>9781410.732904267</x:v>
      </x:c>
      <x:c r="I14" s="16" t="n">
        <x:f>H14*Inputs!$B$10</x:f>
        <x:v>2442148.289865574</x:v>
      </x:c>
      <x:c r="J14" s="16" t="n">
        <x:f>D14*T14*Inputs!$B$8*U14*0</x:f>
        <x:v>0</x:v>
      </x:c>
      <x:c r="K14" s="16" t="n">
        <x:f>SUM(H14:J14)</x:f>
        <x:v>12223559.02276984</x:v>
      </x:c>
      <x:c r="L14" s="16" t="n">
        <x:f>H14-H13</x:f>
        <x:v>1639906.9118863186</x:v>
      </x:c>
      <x:c r="M14" s="16" t="n">
        <x:f>K14-K13</x:f>
        <x:v>2049346.4058163296</x:v>
      </x:c>
      <x:c r="N14" s="16" t="n">
        <x:f>H14*44/12/1000000</x:f>
        <x:v>35.86517268731564</x:v>
      </x:c>
      <x:c r="O14" s="16" t="n">
        <x:f>K14*44/12/1000000</x:f>
        <x:v>44.81971641682276</x:v>
      </x:c>
      <x:c r="P14" s="16" t="n">
        <x:f>L14*44/12/1000000</x:f>
        <x:v>6.012992010249834</x:v>
      </x:c>
      <x:c r="Q14" s="16" t="n">
        <x:f>M14*44/12/1000000</x:f>
        <x:v>7.514270154659875</x:v>
      </x:c>
      <x:c r="R14" s="16" t="n">
        <x:f>(H14+I14)*44/12/1000000</x:f>
        <x:v>44.81971641682276</x:v>
      </x:c>
      <x:c r="S14" s="16" t="n">
        <x:f>R14-R13</x:f>
        <x:v>7.514270154659883</x:v>
      </x:c>
      <x:c r="T14" s="2" t="n">
        <x:f>Inputs!E13/Inputs!F13</x:f>
        <x:v>0.2</x:v>
      </x:c>
      <x:c r="U14" s="2" t="n">
        <x:f>'Cohort factors'!F14</x:f>
        <x:v>10</x:v>
      </x:c>
      <x:c r="V14" s="2" t="n">
        <x:f>D14*Inputs!D13*'Cohort factors'!G14*Inputs!$B$5/1000*44/12/1000000</x:f>
        <x:v>3.586517268731564</x:v>
      </x:c>
    </x:row>
    <x:row r="15" ht="22" customHeight="1">
      <x:c r="A15" s="2" t="str">
        <x:v>CB_FAST</x:v>
      </x:c>
      <x:c r="B15" s="2" t="str">
        <x:v>Permanent grassland</x:v>
      </x:c>
      <x:c r="C15" s="2" t="n">
        <x:v>2037</x:v>
      </x:c>
      <x:c r="D15" s="16" t="n">
        <x:f>Inputs!H13</x:f>
        <x:v>837900.0000000001</x:v>
      </x:c>
      <x:c r="E15" s="16" t="n">
        <x:f>D15*'Cohort factors'!C15</x:f>
        <x:v>0</x:v>
      </x:c>
      <x:c r="F15" s="16" t="n">
        <x:f>D15*'Cohort factors'!D15</x:f>
        <x:v>837900.0000000001</x:v>
      </x:c>
      <x:c r="G15" s="16" t="n">
        <x:f>F15*Inputs!D13</x:f>
        <x:v>139091400.00000003</x:v>
      </x:c>
      <x:c r="H15" s="16" t="n">
        <x:f>D15*Inputs!D13*'Cohort factors'!E15*Inputs!$B$5/1000</x:f>
        <x:v>12195248.517901663</x:v>
      </x:c>
      <x:c r="I15" s="16" t="n">
        <x:f>H15*Inputs!$B$10</x:f>
        <x:v>3044816.9620657833</x:v>
      </x:c>
      <x:c r="J15" s="16" t="n">
        <x:f>D15*T15*Inputs!$B$8*U15*0</x:f>
        <x:v>0</x:v>
      </x:c>
      <x:c r="K15" s="16" t="n">
        <x:f>SUM(H15:J15)</x:f>
        <x:v>15240065.479967445</x:v>
      </x:c>
      <x:c r="L15" s="16" t="n">
        <x:f>H15-H14</x:f>
        <x:v>2413837.784997396</x:v>
      </x:c>
      <x:c r="M15" s="16" t="n">
        <x:f>K15-K14</x:f>
        <x:v>3016506.4571976047</x:v>
      </x:c>
      <x:c r="N15" s="16" t="n">
        <x:f>H15*44/12/1000000</x:f>
        <x:v>44.7159112323061</x:v>
      </x:c>
      <x:c r="O15" s="16" t="n">
        <x:f>K15*44/12/1000000</x:f>
        <x:v>55.88024009321397</x:v>
      </x:c>
      <x:c r="P15" s="16" t="n">
        <x:f>L15*44/12/1000000</x:f>
        <x:v>8.850738544990453</x:v>
      </x:c>
      <x:c r="Q15" s="16" t="n">
        <x:f>M15*44/12/1000000</x:f>
        <x:v>11.060523676391217</x:v>
      </x:c>
      <x:c r="R15" s="16" t="n">
        <x:f>(H15+I15)*44/12/1000000</x:f>
        <x:v>55.88024009321397</x:v>
      </x:c>
      <x:c r="S15" s="16" t="n">
        <x:f>R15-R14</x:f>
        <x:v>11.060523676391213</x:v>
      </x:c>
      <x:c r="T15" s="2" t="n">
        <x:f>Inputs!E13/Inputs!F13</x:f>
        <x:v>0.2</x:v>
      </x:c>
      <x:c r="U15" s="2" t="n">
        <x:f>'Cohort factors'!F15</x:f>
        <x:v>11</x:v>
      </x:c>
      <x:c r="V15" s="2" t="n">
        <x:f>D15*Inputs!D13*'Cohort factors'!G15*Inputs!$B$5/1000*44/12/1000000</x:f>
        <x:v>4.065082839300556</x:v>
      </x:c>
    </x:row>
    <x:row r="16" ht="22" customHeight="1">
      <x:c r="A16" s="2" t="str">
        <x:v>CB_FAST</x:v>
      </x:c>
      <x:c r="B16" s="2" t="str">
        <x:v>Permanent grassland</x:v>
      </x:c>
      <x:c r="C16" s="2" t="n">
        <x:v>2038</x:v>
      </x:c>
      <x:c r="D16" s="16" t="n">
        <x:f>Inputs!H13</x:f>
        <x:v>837900.0000000001</x:v>
      </x:c>
      <x:c r="E16" s="16" t="n">
        <x:f>D16*'Cohort factors'!C16</x:f>
        <x:v>0</x:v>
      </x:c>
      <x:c r="F16" s="16" t="n">
        <x:f>D16*'Cohort factors'!D16</x:f>
        <x:v>837900.0000000001</x:v>
      </x:c>
      <x:c r="G16" s="16" t="n">
        <x:f>F16*Inputs!D13</x:f>
        <x:v>139091400.00000003</x:v>
      </x:c>
      <x:c r="H16" s="16" t="n">
        <x:f>D16*Inputs!D13*'Cohort factors'!E16*Inputs!$B$5/1000</x:f>
        <x:v>14609086.302899063</x:v>
      </x:c>
      <x:c r="I16" s="16" t="n">
        <x:f>H16*Inputs!$B$10</x:f>
        <x:v>3647485.634265994</x:v>
      </x:c>
      <x:c r="J16" s="16" t="n">
        <x:f>D16*T16*Inputs!$B$8*U16*0</x:f>
        <x:v>0</x:v>
      </x:c>
      <x:c r="K16" s="16" t="n">
        <x:f>SUM(H16:J16)</x:f>
        <x:v>18256571.937165055</x:v>
      </x:c>
      <x:c r="L16" s="16" t="n">
        <x:f>H16-H15</x:f>
        <x:v>2413837.7849974</x:v>
      </x:c>
      <x:c r="M16" s="16" t="n">
        <x:f>K16-K15</x:f>
        <x:v>3016506.4571976103</x:v>
      </x:c>
      <x:c r="N16" s="16" t="n">
        <x:f>H16*44/12/1000000</x:f>
        <x:v>53.56664977729657</x:v>
      </x:c>
      <x:c r="O16" s="16" t="n">
        <x:f>K16*44/12/1000000</x:f>
        <x:v>66.9407637696052</x:v>
      </x:c>
      <x:c r="P16" s="16" t="n">
        <x:f>L16*44/12/1000000</x:f>
        <x:v>8.850738544990467</x:v>
      </x:c>
      <x:c r="Q16" s="16" t="n">
        <x:f>M16*44/12/1000000</x:f>
        <x:v>11.060523676391238</x:v>
      </x:c>
      <x:c r="R16" s="16" t="n">
        <x:f>(H16+I16)*44/12/1000000</x:f>
        <x:v>66.9407637696052</x:v>
      </x:c>
      <x:c r="S16" s="16" t="n">
        <x:f>R16-R15</x:f>
        <x:v>11.060523676391227</x:v>
      </x:c>
      <x:c r="T16" s="2" t="n">
        <x:f>Inputs!E13/Inputs!F13</x:f>
        <x:v>0.2</x:v>
      </x:c>
      <x:c r="U16" s="2" t="n">
        <x:f>'Cohort factors'!F16</x:f>
        <x:v>12</x:v>
      </x:c>
      <x:c r="V16" s="2" t="n">
        <x:f>D16*Inputs!D13*'Cohort factors'!G16*Inputs!$B$5/1000*44/12/1000000</x:f>
        <x:v>4.463887481441382</x:v>
      </x:c>
    </x:row>
    <x:row r="17" ht="22" customHeight="1">
      <x:c r="A17" s="2" t="str">
        <x:v>CB_FAST</x:v>
      </x:c>
      <x:c r="B17" s="2" t="str">
        <x:v>Permanent grassland</x:v>
      </x:c>
      <x:c r="C17" s="2" t="n">
        <x:v>2039</x:v>
      </x:c>
      <x:c r="D17" s="16" t="n">
        <x:f>Inputs!H13</x:f>
        <x:v>837900.0000000001</x:v>
      </x:c>
      <x:c r="E17" s="16" t="n">
        <x:f>D17*'Cohort factors'!C17</x:f>
        <x:v>0</x:v>
      </x:c>
      <x:c r="F17" s="16" t="n">
        <x:f>D17*'Cohort factors'!D17</x:f>
        <x:v>837900.0000000001</x:v>
      </x:c>
      <x:c r="G17" s="16" t="n">
        <x:f>F17*Inputs!D13</x:f>
        <x:v>139091400.00000003</x:v>
      </x:c>
      <x:c r="H17" s="16" t="n">
        <x:f>D17*Inputs!D13*'Cohort factors'!E17*Inputs!$B$5/1000</x:f>
        <x:v>17022924.08789646</x:v>
      </x:c>
      <x:c r="I17" s="16" t="n">
        <x:f>H17*Inputs!$B$10</x:f>
        <x:v>4250154.306466204</x:v>
      </x:c>
      <x:c r="J17" s="16" t="n">
        <x:f>D17*T17*Inputs!$B$8*U17*0</x:f>
        <x:v>0</x:v>
      </x:c>
      <x:c r="K17" s="16" t="n">
        <x:f>SUM(H17:J17)</x:f>
        <x:v>21273078.394362662</x:v>
      </x:c>
      <x:c r="L17" s="16" t="n">
        <x:f>H17-H16</x:f>
        <x:v>2413837.784997396</x:v>
      </x:c>
      <x:c r="M17" s="16" t="n">
        <x:f>K17-K16</x:f>
        <x:v>3016506.4571976066</x:v>
      </x:c>
      <x:c r="N17" s="16" t="n">
        <x:f>H17*44/12/1000000</x:f>
        <x:v>62.41738832228702</x:v>
      </x:c>
      <x:c r="O17" s="16" t="n">
        <x:f>K17*44/12/1000000</x:f>
        <x:v>78.00128744599643</x:v>
      </x:c>
      <x:c r="P17" s="16" t="n">
        <x:f>L17*44/12/1000000</x:f>
        <x:v>8.850738544990453</x:v>
      </x:c>
      <x:c r="Q17" s="16" t="n">
        <x:f>M17*44/12/1000000</x:f>
        <x:v>11.060523676391224</x:v>
      </x:c>
      <x:c r="R17" s="16" t="n">
        <x:f>(H17+I17)*44/12/1000000</x:f>
        <x:v>78.00128744599643</x:v>
      </x:c>
      <x:c r="S17" s="16" t="n">
        <x:f>R17-R16</x:f>
        <x:v>11.060523676391227</x:v>
      </x:c>
      <x:c r="T17" s="2" t="n">
        <x:f>Inputs!E13/Inputs!F13</x:f>
        <x:v>0.2</x:v>
      </x:c>
      <x:c r="U17" s="2" t="n">
        <x:f>'Cohort factors'!F17</x:f>
        <x:v>13</x:v>
      </x:c>
      <x:c r="V17" s="2" t="n">
        <x:f>D17*Inputs!D13*'Cohort factors'!G17*Inputs!$B$5/1000*44/12/1000000</x:f>
        <x:v>4.801337563252847</x:v>
      </x:c>
    </x:row>
    <x:row r="18" ht="22" customHeight="1">
      <x:c r="A18" s="2" t="str">
        <x:v>CB_FAST</x:v>
      </x:c>
      <x:c r="B18" s="2" t="str">
        <x:v>Permanent grassland</x:v>
      </x:c>
      <x:c r="C18" s="2" t="n">
        <x:v>2040</x:v>
      </x:c>
      <x:c r="D18" s="16" t="n">
        <x:f>Inputs!H13</x:f>
        <x:v>837900.0000000001</x:v>
      </x:c>
      <x:c r="E18" s="16" t="n">
        <x:f>D18*'Cohort factors'!C18</x:f>
        <x:v>0</x:v>
      </x:c>
      <x:c r="F18" s="16" t="n">
        <x:f>D18*'Cohort factors'!D18</x:f>
        <x:v>837900.0000000001</x:v>
      </x:c>
      <x:c r="G18" s="16" t="n">
        <x:f>F18*Inputs!D13</x:f>
        <x:v>139091400.00000003</x:v>
      </x:c>
      <x:c r="H18" s="16" t="n">
        <x:f>D18*Inputs!D13*'Cohort factors'!E18*Inputs!$B$5/1000</x:f>
        <x:v>18562458.85112939</x:v>
      </x:c>
      <x:c r="I18" s="16" t="n">
        <x:f>H18*Inputs!$B$10</x:f>
        <x:v>4634533.645181649</x:v>
      </x:c>
      <x:c r="J18" s="16" t="n">
        <x:f>D18*T18*Inputs!$B$8*U18*0</x:f>
        <x:v>0</x:v>
      </x:c>
      <x:c r="K18" s="16" t="n">
        <x:f>SUM(H18:J18)</x:f>
        <x:v>23196992.49631104</x:v>
      </x:c>
      <x:c r="L18" s="16" t="n">
        <x:f>H18-H17</x:f>
        <x:v>1539534.7632329315</x:v>
      </x:c>
      <x:c r="M18" s="16" t="n">
        <x:f>K18-K17</x:f>
        <x:v>1923914.1019483767</x:v>
      </x:c>
      <x:c r="N18" s="16" t="n">
        <x:f>H18*44/12/1000000</x:f>
        <x:v>68.06234912080777</x:v>
      </x:c>
      <x:c r="O18" s="16" t="n">
        <x:f>K18*44/12/1000000</x:f>
        <x:v>85.05563915314048</x:v>
      </x:c>
      <x:c r="P18" s="16" t="n">
        <x:f>L18*44/12/1000000</x:f>
        <x:v>5.644960798520748</x:v>
      </x:c>
      <x:c r="Q18" s="16" t="n">
        <x:f>M18*44/12/1000000</x:f>
        <x:v>7.054351707144048</x:v>
      </x:c>
      <x:c r="R18" s="16" t="n">
        <x:f>(H18+I18)*44/12/1000000</x:f>
        <x:v>85.05563915314048</x:v>
      </x:c>
      <x:c r="S18" s="16" t="n">
        <x:f>R18-R17</x:f>
        <x:v>7.0543517071440505</x:v>
      </x:c>
      <x:c r="T18" s="2" t="n">
        <x:f>Inputs!E13/Inputs!F13</x:f>
        <x:v>0.2</x:v>
      </x:c>
      <x:c r="U18" s="2" t="n">
        <x:f>'Cohort factors'!F18</x:f>
        <x:v>14</x:v>
      </x:c>
      <x:c r="V18" s="2" t="n">
        <x:f>D18*Inputs!D13*'Cohort factors'!G18*Inputs!$B$5/1000*44/12/1000000</x:f>
        <x:v>4.861596365771983</x:v>
      </x:c>
    </x:row>
    <x:row r="19" ht="22" customHeight="1">
      <x:c r="A19" s="2" t="str">
        <x:v>CB_FAST</x:v>
      </x:c>
      <x:c r="B19" s="2" t="str">
        <x:v>Permanent grassland</x:v>
      </x:c>
      <x:c r="C19" s="2" t="n">
        <x:v>2041</x:v>
      </x:c>
      <x:c r="D19" s="16" t="n">
        <x:f>Inputs!H13</x:f>
        <x:v>837900.0000000001</x:v>
      </x:c>
      <x:c r="E19" s="16" t="n">
        <x:f>D19*'Cohort factors'!C19</x:f>
        <x:v>0</x:v>
      </x:c>
      <x:c r="F19" s="16" t="n">
        <x:f>D19*'Cohort factors'!D19</x:f>
        <x:v>837900.0000000001</x:v>
      </x:c>
      <x:c r="G19" s="16" t="n">
        <x:f>F19*Inputs!D13</x:f>
        <x:v>139091400.00000003</x:v>
      </x:c>
      <x:c r="H19" s="16" t="n">
        <x:f>D19*Inputs!D13*'Cohort factors'!E19*Inputs!$B$5/1000</x:f>
        <x:v>21024626.65070277</x:v>
      </x:c>
      <x:c r="I19" s="16" t="n">
        <x:f>H19*Inputs!$B$10</x:f>
        <x:v>5249268.988097248</x:v>
      </x:c>
      <x:c r="J19" s="16" t="n">
        <x:f>D19*T19*Inputs!$B$8*U19*0</x:f>
        <x:v>0</x:v>
      </x:c>
      <x:c r="K19" s="16" t="n">
        <x:f>SUM(H19:J19)</x:f>
        <x:v>26273895.638800018</x:v>
      </x:c>
      <x:c r="L19" s="16" t="n">
        <x:f>H19-H18</x:f>
        <x:v>2462167.7995733805</x:v>
      </x:c>
      <x:c r="M19" s="16" t="n">
        <x:f>K19-K18</x:f>
        <x:v>3076903.142488979</x:v>
      </x:c>
      <x:c r="N19" s="16" t="n">
        <x:f>H19*44/12/1000000</x:f>
        <x:v>77.0902977192435</x:v>
      </x:c>
      <x:c r="O19" s="16" t="n">
        <x:f>K19*44/12/1000000</x:f>
        <x:v>96.33761734226674</x:v>
      </x:c>
      <x:c r="P19" s="16" t="n">
        <x:f>L19*44/12/1000000</x:f>
        <x:v>9.027948598435728</x:v>
      </x:c>
      <x:c r="Q19" s="16" t="n">
        <x:f>M19*44/12/1000000</x:f>
        <x:v>11.281978189126255</x:v>
      </x:c>
      <x:c r="R19" s="16" t="n">
        <x:f>(H19+I19)*44/12/1000000</x:f>
        <x:v>96.33761734226674</x:v>
      </x:c>
      <x:c r="S19" s="16" t="n">
        <x:f>R19-R18</x:f>
        <x:v>11.281978189126264</x:v>
      </x:c>
      <x:c r="T19" s="2" t="n">
        <x:f>Inputs!E13/Inputs!F13</x:f>
        <x:v>0.2</x:v>
      </x:c>
      <x:c r="U19" s="2" t="n">
        <x:f>'Cohort factors'!F19</x:f>
        <x:v>15</x:v>
      </x:c>
      <x:c r="V19" s="2" t="n">
        <x:f>D19*Inputs!D13*'Cohort factors'!G19*Inputs!$B$5/1000*44/12/1000000</x:f>
        <x:v>5.1393531812829005</x:v>
      </x:c>
    </x:row>
    <x:row r="20" ht="22" customHeight="1">
      <x:c r="A20" s="2" t="str">
        <x:v>CB_FAST</x:v>
      </x:c>
      <x:c r="B20" s="2" t="str">
        <x:v>Permanent grassland</x:v>
      </x:c>
      <x:c r="C20" s="2" t="n">
        <x:v>2042</x:v>
      </x:c>
      <x:c r="D20" s="16" t="n">
        <x:f>Inputs!H13</x:f>
        <x:v>837900.0000000001</x:v>
      </x:c>
      <x:c r="E20" s="16" t="n">
        <x:f>D20*'Cohort factors'!C20</x:f>
        <x:v>0</x:v>
      </x:c>
      <x:c r="F20" s="16" t="n">
        <x:f>D20*'Cohort factors'!D20</x:f>
        <x:v>837900.0000000001</x:v>
      </x:c>
      <x:c r="G20" s="16" t="n">
        <x:f>F20*Inputs!D13</x:f>
        <x:v>139091400.00000003</x:v>
      </x:c>
      <x:c r="H20" s="16" t="n">
        <x:f>D20*Inputs!D13*'Cohort factors'!E20*Inputs!$B$5/1000</x:f>
        <x:v>23694011.935229316</x:v>
      </x:c>
      <x:c r="I20" s="16" t="n">
        <x:f>H20*Inputs!$B$10</x:f>
        <x:v>5915740.817735181</x:v>
      </x:c>
      <x:c r="J20" s="16" t="n">
        <x:f>D20*T20*Inputs!$B$8*U20*0</x:f>
        <x:v>0</x:v>
      </x:c>
      <x:c r="K20" s="16" t="n">
        <x:f>SUM(H20:J20)</x:f>
        <x:v>29609752.752964497</x:v>
      </x:c>
      <x:c r="L20" s="16" t="n">
        <x:f>H20-H19</x:f>
        <x:v>2669385.2845265456</x:v>
      </x:c>
      <x:c r="M20" s="16" t="n">
        <x:f>K20-K19</x:f>
        <x:v>3335857.114164479</x:v>
      </x:c>
      <x:c r="N20" s="16" t="n">
        <x:f>H20*44/12/1000000</x:f>
        <x:v>86.8780437625075</x:v>
      </x:c>
      <x:c r="O20" s="16" t="n">
        <x:f>K20*44/12/1000000</x:f>
        <x:v>108.56909342753649</x:v>
      </x:c>
      <x:c r="P20" s="16" t="n">
        <x:f>L20*44/12/1000000</x:f>
        <x:v>9.787746043263999</x:v>
      </x:c>
      <x:c r="Q20" s="16" t="n">
        <x:f>M20*44/12/1000000</x:f>
        <x:v>12.231476085269756</x:v>
      </x:c>
      <x:c r="R20" s="16" t="n">
        <x:f>(H20+I20)*44/12/1000000</x:f>
        <x:v>108.56909342753649</x:v>
      </x:c>
      <x:c r="S20" s="16" t="n">
        <x:f>R20-R19</x:f>
        <x:v>12.231476085269748</x:v>
      </x:c>
      <x:c r="T20" s="2" t="n">
        <x:f>Inputs!E13/Inputs!F13</x:f>
        <x:v>0.2</x:v>
      </x:c>
      <x:c r="U20" s="2" t="n">
        <x:f>'Cohort factors'!F20</x:f>
        <x:v>16</x:v>
      </x:c>
      <x:c r="V20" s="2" t="n">
        <x:f>D20*Inputs!D13*'Cohort factors'!G20*Inputs!$B$5/1000*44/12/1000000</x:f>
        <x:v>5.429877735156719</x:v>
      </x:c>
    </x:row>
    <x:row r="21" ht="22" customHeight="1">
      <x:c r="A21" s="2" t="str">
        <x:v>CB_FAST</x:v>
      </x:c>
      <x:c r="B21" s="2" t="str">
        <x:v>Permanent grassland</x:v>
      </x:c>
      <x:c r="C21" s="2" t="n">
        <x:v>2043</x:v>
      </x:c>
      <x:c r="D21" s="16" t="n">
        <x:f>Inputs!H13</x:f>
        <x:v>837900.0000000001</x:v>
      </x:c>
      <x:c r="E21" s="16" t="n">
        <x:f>D21*'Cohort factors'!C21</x:f>
        <x:v>0</x:v>
      </x:c>
      <x:c r="F21" s="16" t="n">
        <x:f>D21*'Cohort factors'!D21</x:f>
        <x:v>837900.0000000001</x:v>
      </x:c>
      <x:c r="G21" s="16" t="n">
        <x:f>F21*Inputs!D13</x:f>
        <x:v>139091400.00000003</x:v>
      </x:c>
      <x:c r="H21" s="16" t="n">
        <x:f>D21*Inputs!D13*'Cohort factors'!E21*Inputs!$B$5/1000</x:f>
        <x:v>26181971.341831546</x:v>
      </x:c>
      <x:c r="I21" s="16" t="n">
        <x:f>H21*Inputs!$B$10</x:f>
        <x:v>6536915.61306908</x:v>
      </x:c>
      <x:c r="J21" s="16" t="n">
        <x:f>D21*T21*Inputs!$B$8*U21*0</x:f>
        <x:v>0</x:v>
      </x:c>
      <x:c r="K21" s="16" t="n">
        <x:f>SUM(H21:J21)</x:f>
        <x:v>32718886.954900626</x:v>
      </x:c>
      <x:c r="L21" s="16" t="n">
        <x:f>H21-H20</x:f>
        <x:v>2487959.40660223</x:v>
      </x:c>
      <x:c r="M21" s="16" t="n">
        <x:f>K21-K20</x:f>
        <x:v>3109134.2019361295</x:v>
      </x:c>
      <x:c r="N21" s="16" t="n">
        <x:f>H21*44/12/1000000</x:f>
        <x:v>96.00056158671568</x:v>
      </x:c>
      <x:c r="O21" s="16" t="n">
        <x:f>K21*44/12/1000000</x:f>
        <x:v>119.96925216796897</x:v>
      </x:c>
      <x:c r="P21" s="16" t="n">
        <x:f>L21*44/12/1000000</x:f>
        <x:v>9.122517824208176</x:v>
      </x:c>
      <x:c r="Q21" s="16" t="n">
        <x:f>M21*44/12/1000000</x:f>
        <x:v>11.400158740432477</x:v>
      </x:c>
      <x:c r="R21" s="16" t="n">
        <x:f>(H21+I21)*44/12/1000000</x:f>
        <x:v>119.96925216796897</x:v>
      </x:c>
      <x:c r="S21" s="16" t="n">
        <x:f>R21-R20</x:f>
        <x:v>11.400158740432488</x:v>
      </x:c>
      <x:c r="T21" s="2" t="n">
        <x:f>Inputs!E13/Inputs!F13</x:f>
        <x:v>0.2</x:v>
      </x:c>
      <x:c r="U21" s="2" t="n">
        <x:f>'Cohort factors'!F21</x:f>
        <x:v>17</x:v>
      </x:c>
      <x:c r="V21" s="2" t="n">
        <x:f>D21*Inputs!D13*'Cohort factors'!G21*Inputs!$B$5/1000*44/12/1000000</x:f>
        <x:v>5.647091858042098</x:v>
      </x:c>
    </x:row>
    <x:row r="22" ht="22" customHeight="1">
      <x:c r="A22" s="2" t="str">
        <x:v>CB_FAST</x:v>
      </x:c>
      <x:c r="B22" s="2" t="str">
        <x:v>Permanent grassland</x:v>
      </x:c>
      <x:c r="C22" s="2" t="n">
        <x:v>2044</x:v>
      </x:c>
      <x:c r="D22" s="16" t="n">
        <x:f>Inputs!H13</x:f>
        <x:v>837900.0000000001</x:v>
      </x:c>
      <x:c r="E22" s="16" t="n">
        <x:f>D22*'Cohort factors'!C22</x:f>
        <x:v>0</x:v>
      </x:c>
      <x:c r="F22" s="16" t="n">
        <x:f>D22*'Cohort factors'!D22</x:f>
        <x:v>837900.0000000001</x:v>
      </x:c>
      <x:c r="G22" s="16" t="n">
        <x:f>F22*Inputs!D13</x:f>
        <x:v>139091400.00000003</x:v>
      </x:c>
      <x:c r="H22" s="16" t="n">
        <x:f>D22*Inputs!D13*'Cohort factors'!E22*Inputs!$B$5/1000</x:f>
        <x:v>28914458.129068505</x:v>
      </x:c>
      <x:c r="I22" s="16" t="n">
        <x:f>H22*Inputs!$B$10</x:f>
        <x:v>7219142.146311657</x:v>
      </x:c>
      <x:c r="J22" s="16" t="n">
        <x:f>D22*T22*Inputs!$B$8*U22*0</x:f>
        <x:v>0</x:v>
      </x:c>
      <x:c r="K22" s="16" t="n">
        <x:f>SUM(H22:J22)</x:f>
        <x:v>36133600.275380164</x:v>
      </x:c>
      <x:c r="L22" s="16" t="n">
        <x:f>H22-H21</x:f>
        <x:v>2732486.7872369587</x:v>
      </x:c>
      <x:c r="M22" s="16" t="n">
        <x:f>K22-K21</x:f>
        <x:v>3414713.3204795383</x:v>
      </x:c>
      <x:c r="N22" s="16" t="n">
        <x:f>H22*44/12/1000000</x:f>
        <x:v>106.01967980658452</x:v>
      </x:c>
      <x:c r="O22" s="16" t="n">
        <x:f>K22*44/12/1000000</x:f>
        <x:v>132.48986767639394</x:v>
      </x:c>
      <x:c r="P22" s="16" t="n">
        <x:f>L22*44/12/1000000</x:f>
        <x:v>10.019118219868847</x:v>
      </x:c>
      <x:c r="Q22" s="16" t="n">
        <x:f>M22*44/12/1000000</x:f>
        <x:v>12.520615508424973</x:v>
      </x:c>
      <x:c r="R22" s="16" t="n">
        <x:f>(H22+I22)*44/12/1000000</x:f>
        <x:v>132.48986767639394</x:v>
      </x:c>
      <x:c r="S22" s="16" t="n">
        <x:f>R22-R21</x:f>
        <x:v>12.520615508424967</x:v>
      </x:c>
      <x:c r="T22" s="2" t="n">
        <x:f>Inputs!E13/Inputs!F13</x:f>
        <x:v>0.2</x:v>
      </x:c>
      <x:c r="U22" s="2" t="n">
        <x:f>'Cohort factors'!F22</x:f>
        <x:v>18</x:v>
      </x:c>
      <x:c r="V22" s="2" t="n">
        <x:f>D22*Inputs!D13*'Cohort factors'!G22*Inputs!$B$5/1000*44/12/1000000</x:f>
        <x:v>5.889982211476918</x:v>
      </x:c>
    </x:row>
    <x:row r="23" ht="22" customHeight="1">
      <x:c r="A23" s="2" t="str">
        <x:v>CB_FAST</x:v>
      </x:c>
      <x:c r="B23" s="2" t="str">
        <x:v>Permanent grassland</x:v>
      </x:c>
      <x:c r="C23" s="2" t="n">
        <x:v>2045</x:v>
      </x:c>
      <x:c r="D23" s="16" t="n">
        <x:f>Inputs!H13</x:f>
        <x:v>837900.0000000001</x:v>
      </x:c>
      <x:c r="E23" s="16" t="n">
        <x:f>D23*'Cohort factors'!C23</x:f>
        <x:v>0</x:v>
      </x:c>
      <x:c r="F23" s="16" t="n">
        <x:f>D23*'Cohort factors'!D23</x:f>
        <x:v>837900.0000000001</x:v>
      </x:c>
      <x:c r="G23" s="16" t="n">
        <x:f>F23*Inputs!D13</x:f>
        <x:v>139091400.00000003</x:v>
      </x:c>
      <x:c r="H23" s="16" t="n">
        <x:f>D23*Inputs!D13*'Cohort factors'!E23*Inputs!$B$5/1000</x:f>
        <x:v>30852448.689811073</x:v>
      </x:c>
      <x:c r="I23" s="16" t="n">
        <x:f>H23*Inputs!$B$10</x:f>
        <x:v>7703004.900154714</x:v>
      </x:c>
      <x:c r="J23" s="16" t="n">
        <x:f>D23*T23*Inputs!$B$8*U23*0</x:f>
        <x:v>0</x:v>
      </x:c>
      <x:c r="K23" s="16" t="n">
        <x:f>SUM(H23:J23)</x:f>
        <x:v>38555453.58996579</x:v>
      </x:c>
      <x:c r="L23" s="16" t="n">
        <x:f>H23-H22</x:f>
        <x:v>1937990.5607425682</x:v>
      </x:c>
      <x:c r="M23" s="16" t="n">
        <x:f>K23-K22</x:f>
        <x:v>2421853.314585626</x:v>
      </x:c>
      <x:c r="N23" s="16" t="n">
        <x:f>H23*44/12/1000000</x:f>
        <x:v>113.12564519597393</x:v>
      </x:c>
      <x:c r="O23" s="16" t="n">
        <x:f>K23*44/12/1000000</x:f>
        <x:v>141.36999649654123</x:v>
      </x:c>
      <x:c r="P23" s="16" t="n">
        <x:f>L23*44/12/1000000</x:f>
        <x:v>7.105965389389417</x:v>
      </x:c>
      <x:c r="Q23" s="16" t="n">
        <x:f>M23*44/12/1000000</x:f>
        <x:v>8.880128820147297</x:v>
      </x:c>
      <x:c r="R23" s="16" t="n">
        <x:f>(H23+I23)*44/12/1000000</x:f>
        <x:v>141.36999649654123</x:v>
      </x:c>
      <x:c r="S23" s="16" t="n">
        <x:f>R23-R22</x:f>
        <x:v>8.880128820147291</x:v>
      </x:c>
      <x:c r="T23" s="2" t="n">
        <x:f>Inputs!E13/Inputs!F13</x:f>
        <x:v>0.2</x:v>
      </x:c>
      <x:c r="U23" s="2" t="n">
        <x:f>'Cohort factors'!F23</x:f>
        <x:v>19</x:v>
      </x:c>
      <x:c r="V23" s="2" t="n">
        <x:f>D23*Inputs!D13*'Cohort factors'!G23*Inputs!$B$5/1000*44/12/1000000</x:f>
        <x:v>5.953981326103891</x:v>
      </x:c>
    </x:row>
    <x:row r="24" ht="22" customHeight="1">
      <x:c r="A24" s="2" t="str">
        <x:v>CB_FAST</x:v>
      </x:c>
      <x:c r="B24" s="2" t="str">
        <x:v>Permanent grassland</x:v>
      </x:c>
      <x:c r="C24" s="2" t="n">
        <x:v>2046</x:v>
      </x:c>
      <x:c r="D24" s="16" t="n">
        <x:f>Inputs!H13</x:f>
        <x:v>837900.0000000001</x:v>
      </x:c>
      <x:c r="E24" s="16" t="n">
        <x:f>D24*'Cohort factors'!C24</x:f>
        <x:v>0</x:v>
      </x:c>
      <x:c r="F24" s="16" t="n">
        <x:f>D24*'Cohort factors'!D24</x:f>
        <x:v>837900.0000000001</x:v>
      </x:c>
      <x:c r="G24" s="16" t="n">
        <x:f>F24*Inputs!D13</x:f>
        <x:v>139091400.00000003</x:v>
      </x:c>
      <x:c r="H24" s="16" t="n">
        <x:f>D24*Inputs!D13*'Cohort factors'!E24*Inputs!$B$5/1000</x:f>
        <x:v>31993491.42500646</x:v>
      </x:c>
      <x:c r="I24" s="16" t="n">
        <x:f>H24*Inputs!$B$10</x:f>
        <x:v>7987891.777979705</x:v>
      </x:c>
      <x:c r="J24" s="16" t="n">
        <x:f>D24*T24*Inputs!$B$8*U24*0</x:f>
        <x:v>0</x:v>
      </x:c>
      <x:c r="K24" s="16" t="n">
        <x:f>SUM(H24:J24)</x:f>
        <x:v>39981383.202986166</x:v>
      </x:c>
      <x:c r="L24" s="16" t="n">
        <x:f>H24-H23</x:f>
        <x:v>1141042.7351953872</x:v>
      </x:c>
      <x:c r="M24" s="16" t="n">
        <x:f>K24-K23</x:f>
        <x:v>1425929.6130203754</x:v>
      </x:c>
      <x:c r="N24" s="16" t="n">
        <x:f>H24*44/12/1000000</x:f>
        <x:v>117.30946855835701</x:v>
      </x:c>
      <x:c r="O24" s="16" t="n">
        <x:f>K24*44/12/1000000</x:f>
        <x:v>146.59840507761595</x:v>
      </x:c>
      <x:c r="P24" s="16" t="n">
        <x:f>L24*44/12/1000000</x:f>
        <x:v>4.1838233623830865</x:v>
      </x:c>
      <x:c r="Q24" s="16" t="n">
        <x:f>M24*44/12/1000000</x:f>
        <x:v>5.22840858107471</x:v>
      </x:c>
      <x:c r="R24" s="16" t="n">
        <x:f>(H24+I24)*44/12/1000000</x:f>
        <x:v>146.59840507761595</x:v>
      </x:c>
      <x:c r="S24" s="16" t="n">
        <x:f>R24-R23</x:f>
        <x:v>5.228408581074717</x:v>
      </x:c>
      <x:c r="T24" s="2" t="n">
        <x:f>Inputs!E13/Inputs!F13</x:f>
        <x:v>0.2</x:v>
      </x:c>
      <x:c r="U24" s="2" t="n">
        <x:f>'Cohort factors'!F24</x:f>
        <x:v>20</x:v>
      </x:c>
      <x:c r="V24" s="2" t="n">
        <x:f>D24*Inputs!D13*'Cohort factors'!G24*Inputs!$B$5/1000*44/12/1000000</x:f>
        <x:v>5.865473427917852</x:v>
      </x:c>
    </x:row>
    <x:row r="25" ht="22" customHeight="1">
      <x:c r="A25" s="2" t="str">
        <x:v>CB_FAST</x:v>
      </x:c>
      <x:c r="B25" s="2" t="str">
        <x:v>Permanent grassland</x:v>
      </x:c>
      <x:c r="C25" s="2" t="n">
        <x:v>2047</x:v>
      </x:c>
      <x:c r="D25" s="16" t="n">
        <x:f>Inputs!H13</x:f>
        <x:v>837900.0000000001</x:v>
      </x:c>
      <x:c r="E25" s="16" t="n">
        <x:f>D25*'Cohort factors'!C25</x:f>
        <x:v>0</x:v>
      </x:c>
      <x:c r="F25" s="16" t="n">
        <x:f>D25*'Cohort factors'!D25</x:f>
        <x:v>837900.0000000001</x:v>
      </x:c>
      <x:c r="G25" s="16" t="n">
        <x:f>F25*Inputs!D13</x:f>
        <x:v>139091400.00000003</x:v>
      </x:c>
      <x:c r="H25" s="16" t="n">
        <x:f>D25*Inputs!D13*'Cohort factors'!E25*Inputs!$B$5/1000</x:f>
        <x:v>33833833.16510734</x:v>
      </x:c>
      <x:c r="I25" s="16" t="n">
        <x:f>H25*Inputs!$B$10</x:f>
        <x:v>8447374.31644797</x:v>
      </x:c>
      <x:c r="J25" s="16" t="n">
        <x:f>D25*T25*Inputs!$B$8*U25*0</x:f>
        <x:v>0</x:v>
      </x:c>
      <x:c r="K25" s="16" t="n">
        <x:f>SUM(H25:J25)</x:f>
        <x:v>42281207.48155531</x:v>
      </x:c>
      <x:c r="L25" s="16" t="n">
        <x:f>H25-H24</x:f>
        <x:v>1840341.7401008792</x:v>
      </x:c>
      <x:c r="M25" s="16" t="n">
        <x:f>K25-K24</x:f>
        <x:v>2299824.278569147</x:v>
      </x:c>
      <x:c r="N25" s="16" t="n">
        <x:f>H25*44/12/1000000</x:f>
        <x:v>124.05738827206024</x:v>
      </x:c>
      <x:c r="O25" s="16" t="n">
        <x:f>K25*44/12/1000000</x:f>
        <x:v>155.03109409903612</x:v>
      </x:c>
      <x:c r="P25" s="16" t="n">
        <x:f>L25*44/12/1000000</x:f>
        <x:v>6.747919713703223</x:v>
      </x:c>
      <x:c r="Q25" s="16" t="n">
        <x:f>M25*44/12/1000000</x:f>
        <x:v>8.432689021420204</x:v>
      </x:c>
      <x:c r="R25" s="16" t="n">
        <x:f>(H25+I25)*44/12/1000000</x:f>
        <x:v>155.03109409903612</x:v>
      </x:c>
      <x:c r="S25" s="16" t="n">
        <x:f>R25-R24</x:f>
        <x:v>8.432689021420174</x:v>
      </x:c>
      <x:c r="T25" s="2" t="n">
        <x:f>Inputs!E13/Inputs!F13</x:f>
        <x:v>0.2</x:v>
      </x:c>
      <x:c r="U25" s="2" t="n">
        <x:f>'Cohort factors'!F25</x:f>
        <x:v>21</x:v>
      </x:c>
      <x:c r="V25" s="2" t="n">
        <x:f>D25*Inputs!D13*'Cohort factors'!G25*Inputs!$B$5/1000*44/12/1000000</x:f>
        <x:v>5.907494679621916</x:v>
      </x:c>
    </x:row>
    <x:row r="26" ht="22" customHeight="1">
      <x:c r="A26" s="2" t="str">
        <x:v>CB_FAST</x:v>
      </x:c>
      <x:c r="B26" s="2" t="str">
        <x:v>Permanent grassland</x:v>
      </x:c>
      <x:c r="C26" s="2" t="n">
        <x:v>2048</x:v>
      </x:c>
      <x:c r="D26" s="16" t="n">
        <x:f>Inputs!H13</x:f>
        <x:v>837900.0000000001</x:v>
      </x:c>
      <x:c r="E26" s="16" t="n">
        <x:f>D26*'Cohort factors'!C26</x:f>
        <x:v>0</x:v>
      </x:c>
      <x:c r="F26" s="16" t="n">
        <x:f>D26*'Cohort factors'!D26</x:f>
        <x:v>837900.0000000001</x:v>
      </x:c>
      <x:c r="G26" s="16" t="n">
        <x:f>F26*Inputs!D13</x:f>
        <x:v>139091400.00000003</x:v>
      </x:c>
      <x:c r="H26" s="16" t="n">
        <x:f>D26*Inputs!D13*'Cohort factors'!E26*Inputs!$B$5/1000</x:f>
        <x:v>35901021.78824143</x:v>
      </x:c>
      <x:c r="I26" s="16" t="n">
        <x:f>H26*Inputs!$B$10</x:f>
        <x:v>8963494.260561343</x:v>
      </x:c>
      <x:c r="J26" s="16" t="n">
        <x:f>D26*T26*Inputs!$B$8*U26*0</x:f>
        <x:v>0</x:v>
      </x:c>
      <x:c r="K26" s="16" t="n">
        <x:f>SUM(H26:J26)</x:f>
        <x:v>44864516.04880278</x:v>
      </x:c>
      <x:c r="L26" s="16" t="n">
        <x:f>H26-H25</x:f>
        <x:v>2067188.6231340915</x:v>
      </x:c>
      <x:c r="M26" s="16" t="n">
        <x:f>K26-K25</x:f>
        <x:v>2583308.5672474653</x:v>
      </x:c>
      <x:c r="N26" s="16" t="n">
        <x:f>H26*44/12/1000000</x:f>
        <x:v>131.63707989021856</x:v>
      </x:c>
      <x:c r="O26" s="16" t="n">
        <x:f>K26*44/12/1000000</x:f>
        <x:v>164.50322551227686</x:v>
      </x:c>
      <x:c r="P26" s="16" t="n">
        <x:f>L26*44/12/1000000</x:f>
        <x:v>7.579691618158336</x:v>
      </x:c>
      <x:c r="Q26" s="16" t="n">
        <x:f>M26*44/12/1000000</x:f>
        <x:v>9.472131413240707</x:v>
      </x:c>
      <x:c r="R26" s="16" t="n">
        <x:f>(H26+I26)*44/12/1000000</x:f>
        <x:v>164.50322551227686</x:v>
      </x:c>
      <x:c r="S26" s="16" t="n">
        <x:f>R26-R25</x:f>
        <x:v>9.472131413240731</x:v>
      </x:c>
      <x:c r="T26" s="2" t="n">
        <x:f>Inputs!E13/Inputs!F13</x:f>
        <x:v>0.2</x:v>
      </x:c>
      <x:c r="U26" s="2" t="n">
        <x:f>'Cohort factors'!F26</x:f>
        <x:v>22</x:v>
      </x:c>
      <x:c r="V26" s="2" t="n">
        <x:f>D26*Inputs!D13*'Cohort factors'!G26*Inputs!$B$5/1000*44/12/1000000</x:f>
        <x:v>5.983503631373572</x:v>
      </x:c>
    </x:row>
    <x:row r="27" ht="22" customHeight="1">
      <x:c r="A27" s="2" t="str">
        <x:v>CB_FAST</x:v>
      </x:c>
      <x:c r="B27" s="2" t="str">
        <x:v>Permanent grassland</x:v>
      </x:c>
      <x:c r="C27" s="2" t="n">
        <x:v>2049</x:v>
      </x:c>
      <x:c r="D27" s="16" t="n">
        <x:f>Inputs!H13</x:f>
        <x:v>837900.0000000001</x:v>
      </x:c>
      <x:c r="E27" s="16" t="n">
        <x:f>D27*'Cohort factors'!C27</x:f>
        <x:v>0</x:v>
      </x:c>
      <x:c r="F27" s="16" t="n">
        <x:f>D27*'Cohort factors'!D27</x:f>
        <x:v>837900.0000000001</x:v>
      </x:c>
      <x:c r="G27" s="16" t="n">
        <x:f>F27*Inputs!D13</x:f>
        <x:v>139091400.00000003</x:v>
      </x:c>
      <x:c r="H27" s="16" t="n">
        <x:f>D27*Inputs!D13*'Cohort factors'!E27*Inputs!$B$5/1000</x:f>
        <x:v>38140948.51063732</x:v>
      </x:c>
      <x:c r="I27" s="16" t="n">
        <x:f>H27*Inputs!$B$10</x:f>
        <x:v>9522742.140432257</x:v>
      </x:c>
      <x:c r="J27" s="16" t="n">
        <x:f>D27*T27*Inputs!$B$8*U27*0</x:f>
        <x:v>0</x:v>
      </x:c>
      <x:c r="K27" s="16" t="n">
        <x:f>SUM(H27:J27)</x:f>
        <x:v>47663690.65106958</x:v>
      </x:c>
      <x:c r="L27" s="16" t="n">
        <x:f>H27-H26</x:f>
        <x:v>2239926.7223958895</x:v>
      </x:c>
      <x:c r="M27" s="16" t="n">
        <x:f>K27-K26</x:f>
        <x:v>2799174.6022668034</x:v>
      </x:c>
      <x:c r="N27" s="16" t="n">
        <x:f>H27*44/12/1000000</x:f>
        <x:v>139.8501445390035</x:v>
      </x:c>
      <x:c r="O27" s="16" t="n">
        <x:f>K27*44/12/1000000</x:f>
        <x:v>174.76686572058847</x:v>
      </x:c>
      <x:c r="P27" s="16" t="n">
        <x:f>L27*44/12/1000000</x:f>
        <x:v>8.213064648784927</x:v>
      </x:c>
      <x:c r="Q27" s="16" t="n">
        <x:f>M27*44/12/1000000</x:f>
        <x:v>10.263640208311612</x:v>
      </x:c>
      <x:c r="R27" s="16" t="n">
        <x:f>(H27+I27)*44/12/1000000</x:f>
        <x:v>174.76686572058847</x:v>
      </x:c>
      <x:c r="S27" s="16" t="n">
        <x:f>R27-R26</x:f>
        <x:v>10.263640208311614</x:v>
      </x:c>
      <x:c r="T27" s="2" t="n">
        <x:f>Inputs!E13/Inputs!F13</x:f>
        <x:v>0.2</x:v>
      </x:c>
      <x:c r="U27" s="2" t="n">
        <x:f>'Cohort factors'!F27</x:f>
        <x:v>23</x:v>
      </x:c>
      <x:c r="V27" s="2" t="n">
        <x:f>D27*Inputs!D13*'Cohort factors'!G27*Inputs!$B$5/1000*44/12/1000000</x:f>
        <x:v>6.080441066913196</x:v>
      </x:c>
    </x:row>
    <x:row r="28" ht="22" customHeight="1">
      <x:c r="A28" s="2" t="str">
        <x:v>CB_FAST</x:v>
      </x:c>
      <x:c r="B28" s="2" t="str">
        <x:v>Permanent grassland</x:v>
      </x:c>
      <x:c r="C28" s="2" t="n">
        <x:v>2050</x:v>
      </x:c>
      <x:c r="D28" s="16" t="n">
        <x:f>Inputs!H13</x:f>
        <x:v>837900.0000000001</x:v>
      </x:c>
      <x:c r="E28" s="16" t="n">
        <x:f>D28*'Cohort factors'!C28</x:f>
        <x:v>0</x:v>
      </x:c>
      <x:c r="F28" s="16" t="n">
        <x:f>D28*'Cohort factors'!D28</x:f>
        <x:v>837900.0000000001</x:v>
      </x:c>
      <x:c r="G28" s="16" t="n">
        <x:f>F28*Inputs!D13</x:f>
        <x:v>139091400.00000003</x:v>
      </x:c>
      <x:c r="H28" s="16" t="n">
        <x:f>D28*Inputs!D13*'Cohort factors'!E28*Inputs!$B$5/1000</x:f>
        <x:v>39996805.974299304</x:v>
      </x:c>
      <x:c r="I28" s="16" t="n">
        <x:f>H28*Inputs!$B$10</x:f>
        <x:v>9986098.526834678</x:v>
      </x:c>
      <x:c r="J28" s="16" t="n">
        <x:f>D28*T28*Inputs!$B$8*U28*0</x:f>
        <x:v>0</x:v>
      </x:c>
      <x:c r="K28" s="16" t="n">
        <x:f>SUM(H28:J28)</x:f>
        <x:v>49982904.50113398</x:v>
      </x:c>
      <x:c r="L28" s="16" t="n">
        <x:f>H28-H27</x:f>
        <x:v>1855857.4636619836</x:v>
      </x:c>
      <x:c r="M28" s="16" t="n">
        <x:f>K28-K27</x:f>
        <x:v>2319213.850064397</x:v>
      </x:c>
      <x:c r="N28" s="16" t="n">
        <x:f>H28*44/12/1000000</x:f>
        <x:v>146.65495523909743</x:v>
      </x:c>
      <x:c r="O28" s="16" t="n">
        <x:f>K28*44/12/1000000</x:f>
        <x:v>183.27064983749128</x:v>
      </x:c>
      <x:c r="P28" s="16" t="n">
        <x:f>L28*44/12/1000000</x:f>
        <x:v>6.80481070009394</x:v>
      </x:c>
      <x:c r="Q28" s="16" t="n">
        <x:f>M28*44/12/1000000</x:f>
        <x:v>8.50378411690279</x:v>
      </x:c>
      <x:c r="R28" s="16" t="n">
        <x:f>(H28+I28)*44/12/1000000</x:f>
        <x:v>183.27064983749128</x:v>
      </x:c>
      <x:c r="S28" s="16" t="n">
        <x:f>R28-R27</x:f>
        <x:v>8.503784116902807</x:v>
      </x:c>
      <x:c r="T28" s="2" t="n">
        <x:f>Inputs!E13/Inputs!F13</x:f>
        <x:v>0.2</x:v>
      </x:c>
      <x:c r="U28" s="2" t="n">
        <x:f>'Cohort factors'!F28</x:f>
        <x:v>24</x:v>
      </x:c>
      <x:c r="V28" s="2" t="n">
        <x:f>D28*Inputs!D13*'Cohort factors'!G28*Inputs!$B$5/1000*44/12/1000000</x:f>
        <x:v>6.110623134962392</x:v>
      </x:c>
    </x:row>
    <x:row r="29" ht="22" customHeight="1">
      <x:c r="A29" s="2" t="str">
        <x:v>CB_FAST</x:v>
      </x:c>
      <x:c r="B29" s="2" t="str">
        <x:v>Permanent grassland</x:v>
      </x:c>
      <x:c r="C29" s="2" t="n">
        <x:v>2051</x:v>
      </x:c>
      <x:c r="D29" s="16" t="n">
        <x:f>Inputs!H13</x:f>
        <x:v>837900.0000000001</x:v>
      </x:c>
      <x:c r="E29" s="16" t="n">
        <x:f>D29*'Cohort factors'!C29</x:f>
        <x:v>0</x:v>
      </x:c>
      <x:c r="F29" s="16" t="n">
        <x:f>D29*'Cohort factors'!D29</x:f>
        <x:v>837900.0000000001</x:v>
      </x:c>
      <x:c r="G29" s="16" t="n">
        <x:f>F29*Inputs!D13</x:f>
        <x:v>139091400.00000003</x:v>
      </x:c>
      <x:c r="H29" s="16" t="n">
        <x:f>D29*Inputs!D13*'Cohort factors'!E29*Inputs!$B$5/1000</x:f>
        <x:v>41733413.67468135</x:v>
      </x:c>
      <x:c r="I29" s="16" t="n">
        <x:f>H29*Inputs!$B$10</x:f>
        <x:v>10419681.538678631</x:v>
      </x:c>
      <x:c r="J29" s="16" t="n">
        <x:f>D29*T29*Inputs!$B$8*U29*0</x:f>
        <x:v>0</x:v>
      </x:c>
      <x:c r="K29" s="16" t="n">
        <x:f>SUM(H29:J29)</x:f>
        <x:v>52153095.21335998</x:v>
      </x:c>
      <x:c r="L29" s="16" t="n">
        <x:f>H29-H28</x:f>
        <x:v>1736607.7003820464</x:v>
      </x:c>
      <x:c r="M29" s="16" t="n">
        <x:f>K29-K28</x:f>
        <x:v>2170190.7122260034</x:v>
      </x:c>
      <x:c r="N29" s="16" t="n">
        <x:f>H29*44/12/1000000</x:f>
        <x:v>153.02251680716495</x:v>
      </x:c>
      <x:c r="O29" s="16" t="n">
        <x:f>K29*44/12/1000000</x:f>
        <x:v>191.22801578231994</x:v>
      </x:c>
      <x:c r="P29" s="16" t="n">
        <x:f>L29*44/12/1000000</x:f>
        <x:v>6.3675615680675035</x:v>
      </x:c>
      <x:c r="Q29" s="16" t="n">
        <x:f>M29*44/12/1000000</x:f>
        <x:v>7.957365944828679</x:v>
      </x:c>
      <x:c r="R29" s="16" t="n">
        <x:f>(H29+I29)*44/12/1000000</x:f>
        <x:v>191.22801578231994</x:v>
      </x:c>
      <x:c r="S29" s="16" t="n">
        <x:f>R29-R28</x:f>
        <x:v>7.957365944828666</x:v>
      </x:c>
      <x:c r="T29" s="2" t="n">
        <x:f>Inputs!E13/Inputs!F13</x:f>
        <x:v>0.2</x:v>
      </x:c>
      <x:c r="U29" s="2" t="n">
        <x:f>'Cohort factors'!F29</x:f>
        <x:v>25</x:v>
      </x:c>
      <x:c r="V29" s="2" t="n">
        <x:f>D29*Inputs!D13*'Cohort factors'!G29*Inputs!$B$5/1000*44/12/1000000</x:f>
        <x:v>6.120900672286599</x:v>
      </x:c>
    </x:row>
    <x:row r="30" ht="22" customHeight="1">
      <x:c r="A30" s="2" t="str">
        <x:v>CB_FAST</x:v>
      </x:c>
      <x:c r="B30" s="2" t="str">
        <x:v>Permanent grassland</x:v>
      </x:c>
      <x:c r="C30" s="2" t="n">
        <x:v>2052</x:v>
      </x:c>
      <x:c r="D30" s="16" t="n">
        <x:f>Inputs!H13</x:f>
        <x:v>837900.0000000001</x:v>
      </x:c>
      <x:c r="E30" s="16" t="n">
        <x:f>D30*'Cohort factors'!C30</x:f>
        <x:v>0</x:v>
      </x:c>
      <x:c r="F30" s="16" t="n">
        <x:f>D30*'Cohort factors'!D30</x:f>
        <x:v>837900.0000000001</x:v>
      </x:c>
      <x:c r="G30" s="16" t="n">
        <x:f>F30*Inputs!D13</x:f>
        <x:v>139091400.00000003</x:v>
      </x:c>
      <x:c r="H30" s="16" t="n">
        <x:f>D30*Inputs!D13*'Cohort factors'!E30*Inputs!$B$5/1000</x:f>
        <x:v>43977159.69855698</x:v>
      </x:c>
      <x:c r="I30" s="16" t="n">
        <x:f>H30*Inputs!$B$10</x:f>
        <x:v>10979882.992715066</x:v>
      </x:c>
      <x:c r="J30" s="16" t="n">
        <x:f>D30*T30*Inputs!$B$8*U30*0</x:f>
        <x:v>0</x:v>
      </x:c>
      <x:c r="K30" s="16" t="n">
        <x:f>SUM(H30:J30)</x:f>
        <x:v>54957042.69127205</x:v>
      </x:c>
      <x:c r="L30" s="16" t="n">
        <x:f>H30-H29</x:f>
        <x:v>2243746.0238756314</x:v>
      </x:c>
      <x:c r="M30" s="16" t="n">
        <x:f>K30-K29</x:f>
        <x:v>2803947.4779120684</x:v>
      </x:c>
      <x:c r="N30" s="16" t="n">
        <x:f>H30*44/12/1000000</x:f>
        <x:v>161.2495855613756</x:v>
      </x:c>
      <x:c r="O30" s="16" t="n">
        <x:f>K30*44/12/1000000</x:f>
        <x:v>201.50915653466419</x:v>
      </x:c>
      <x:c r="P30" s="16" t="n">
        <x:f>L30*44/12/1000000</x:f>
        <x:v>8.227068754210649</x:v>
      </x:c>
      <x:c r="Q30" s="16" t="n">
        <x:f>M30*44/12/1000000</x:f>
        <x:v>10.281140752344252</x:v>
      </x:c>
      <x:c r="R30" s="16" t="n">
        <x:f>(H30+I30)*44/12/1000000</x:f>
        <x:v>201.50915653466419</x:v>
      </x:c>
      <x:c r="S30" s="16" t="n">
        <x:f>R30-R29</x:f>
        <x:v>10.281140752344243</x:v>
      </x:c>
      <x:c r="T30" s="2" t="n">
        <x:f>Inputs!E13/Inputs!F13</x:f>
        <x:v>0.2</x:v>
      </x:c>
      <x:c r="U30" s="2" t="n">
        <x:f>'Cohort factors'!F30</x:f>
        <x:v>26</x:v>
      </x:c>
      <x:c r="V30" s="2" t="n">
        <x:f>D30*Inputs!D13*'Cohort factors'!G30*Inputs!$B$5/1000*44/12/1000000</x:f>
        <x:v>6.201907136975984</x:v>
      </x:c>
    </x:row>
    <x:row r="31" ht="22" customHeight="1">
      <x:c r="A31" s="2" t="str">
        <x:v>CB_FAST</x:v>
      </x:c>
      <x:c r="B31" s="2" t="str">
        <x:v>Permanent grassland</x:v>
      </x:c>
      <x:c r="C31" s="2" t="n">
        <x:v>2053</x:v>
      </x:c>
      <x:c r="D31" s="16" t="n">
        <x:f>Inputs!H13</x:f>
        <x:v>837900.0000000001</x:v>
      </x:c>
      <x:c r="E31" s="16" t="n">
        <x:f>D31*'Cohort factors'!C31</x:f>
        <x:v>0</x:v>
      </x:c>
      <x:c r="F31" s="16" t="n">
        <x:f>D31*'Cohort factors'!D31</x:f>
        <x:v>837900.0000000001</x:v>
      </x:c>
      <x:c r="G31" s="16" t="n">
        <x:f>F31*Inputs!D13</x:f>
        <x:v>139091400.00000003</x:v>
      </x:c>
      <x:c r="H31" s="16" t="n">
        <x:f>D31*Inputs!D13*'Cohort factors'!E31*Inputs!$B$5/1000</x:f>
        <x:v>45445531.666627996</x:v>
      </x:c>
      <x:c r="I31" s="16" t="n">
        <x:f>H31*Inputs!$B$10</x:f>
        <x:v>11346494.945595039</x:v>
      </x:c>
      <x:c r="J31" s="16" t="n">
        <x:f>D31*T31*Inputs!$B$8*U31*0</x:f>
        <x:v>0</x:v>
      </x:c>
      <x:c r="K31" s="16" t="n">
        <x:f>SUM(H31:J31)</x:f>
        <x:v>56792026.61222304</x:v>
      </x:c>
      <x:c r="L31" s="16" t="n">
        <x:f>H31-H30</x:f>
        <x:v>1468371.9680710137</x:v>
      </x:c>
      <x:c r="M31" s="16" t="n">
        <x:f>K31-K30</x:f>
        <x:v>1834983.9209509864</x:v>
      </x:c>
      <x:c r="N31" s="16" t="n">
        <x:f>H31*44/12/1000000</x:f>
        <x:v>166.63361611096934</x:v>
      </x:c>
      <x:c r="O31" s="16" t="n">
        <x:f>K31*44/12/1000000</x:f>
        <x:v>208.23743091148447</x:v>
      </x:c>
      <x:c r="P31" s="16" t="n">
        <x:f>L31*44/12/1000000</x:f>
        <x:v>5.384030549593717</x:v>
      </x:c>
      <x:c r="Q31" s="16" t="n">
        <x:f>M31*44/12/1000000</x:f>
        <x:v>6.728274376820284</x:v>
      </x:c>
      <x:c r="R31" s="16" t="n">
        <x:f>(H31+I31)*44/12/1000000</x:f>
        <x:v>208.23743091148447</x:v>
      </x:c>
      <x:c r="S31" s="16" t="n">
        <x:f>R31-R30</x:f>
        <x:v>6.728274376820281</x:v>
      </x:c>
      <x:c r="T31" s="2" t="n">
        <x:f>Inputs!E13/Inputs!F13</x:f>
        <x:v>0.2</x:v>
      </x:c>
      <x:c r="U31" s="2" t="n">
        <x:f>'Cohort factors'!F31</x:f>
        <x:v>27</x:v>
      </x:c>
      <x:c r="V31" s="2" t="n">
        <x:f>D31*Inputs!D13*'Cohort factors'!G31*Inputs!$B$5/1000*44/12/1000000</x:f>
        <x:v>6.171615411517383</x:v>
      </x:c>
    </x:row>
    <x:row r="32" ht="22" customHeight="1">
      <x:c r="A32" s="2" t="str">
        <x:v>CB_FAST</x:v>
      </x:c>
      <x:c r="B32" s="2" t="str">
        <x:v>Permanent grassland</x:v>
      </x:c>
      <x:c r="C32" s="2" t="n">
        <x:v>2054</x:v>
      </x:c>
      <x:c r="D32" s="16" t="n">
        <x:f>Inputs!H13</x:f>
        <x:v>837900.0000000001</x:v>
      </x:c>
      <x:c r="E32" s="16" t="n">
        <x:f>D32*'Cohort factors'!C32</x:f>
        <x:v>0</x:v>
      </x:c>
      <x:c r="F32" s="16" t="n">
        <x:f>D32*'Cohort factors'!D32</x:f>
        <x:v>837900.0000000001</x:v>
      </x:c>
      <x:c r="G32" s="16" t="n">
        <x:f>F32*Inputs!D13</x:f>
        <x:v>139091400.00000003</x:v>
      </x:c>
      <x:c r="H32" s="16" t="n">
        <x:f>D32*Inputs!D13*'Cohort factors'!E32*Inputs!$B$5/1000</x:f>
        <x:v>47010056.4364607</x:v>
      </x:c>
      <x:c r="I32" s="16" t="n">
        <x:f>H32*Inputs!$B$10</x:f>
        <x:v>11737113.59922608</x:v>
      </x:c>
      <x:c r="J32" s="16" t="n">
        <x:f>D32*T32*Inputs!$B$8*U32*0</x:f>
        <x:v>0</x:v>
      </x:c>
      <x:c r="K32" s="16" t="n">
        <x:f>SUM(H32:J32)</x:f>
        <x:v>58747170.03568678</x:v>
      </x:c>
      <x:c r="L32" s="16" t="n">
        <x:f>H32-H31</x:f>
        <x:v>1564524.769832708</x:v>
      </x:c>
      <x:c r="M32" s="16" t="n">
        <x:f>K32-K31</x:f>
        <x:v>1955143.423463747</x:v>
      </x:c>
      <x:c r="N32" s="16" t="n">
        <x:f>H32*44/12/1000000</x:f>
        <x:v>172.37020693368925</x:v>
      </x:c>
      <x:c r="O32" s="16" t="n">
        <x:f>K32*44/12/1000000</x:f>
        <x:v>215.40629013085154</x:v>
      </x:c>
      <x:c r="P32" s="16" t="n">
        <x:f>L32*44/12/1000000</x:f>
        <x:v>5.736590822719929</x:v>
      </x:c>
      <x:c r="Q32" s="16" t="n">
        <x:f>M32*44/12/1000000</x:f>
        <x:v>7.168859219367072</x:v>
      </x:c>
      <x:c r="R32" s="16" t="n">
        <x:f>(H32+I32)*44/12/1000000</x:f>
        <x:v>215.40629013085154</x:v>
      </x:c>
      <x:c r="S32" s="16" t="n">
        <x:f>R32-R31</x:f>
        <x:v>7.168859219367079</x:v>
      </x:c>
      <x:c r="T32" s="2" t="n">
        <x:f>Inputs!E13/Inputs!F13</x:f>
        <x:v>0.2</x:v>
      </x:c>
      <x:c r="U32" s="2" t="n">
        <x:f>'Cohort factors'!F32</x:f>
        <x:v>28</x:v>
      </x:c>
      <x:c r="V32" s="2" t="n">
        <x:f>D32*Inputs!D13*'Cohort factors'!G32*Inputs!$B$5/1000*44/12/1000000</x:f>
        <x:v>6.15607881906033</x:v>
      </x:c>
    </x:row>
    <x:row r="33" ht="22" customHeight="1">
      <x:c r="A33" s="2" t="str">
        <x:v>CB_FAST</x:v>
      </x:c>
      <x:c r="B33" s="2" t="str">
        <x:v>Permanent grassland</x:v>
      </x:c>
      <x:c r="C33" s="2" t="n">
        <x:v>2055</x:v>
      </x:c>
      <x:c r="D33" s="16" t="n">
        <x:f>Inputs!H13</x:f>
        <x:v>837900.0000000001</x:v>
      </x:c>
      <x:c r="E33" s="16" t="n">
        <x:f>D33*'Cohort factors'!C33</x:f>
        <x:v>0</x:v>
      </x:c>
      <x:c r="F33" s="16" t="n">
        <x:f>D33*'Cohort factors'!D33</x:f>
        <x:v>837900.0000000001</x:v>
      </x:c>
      <x:c r="G33" s="16" t="n">
        <x:f>F33*Inputs!D13</x:f>
        <x:v>139091400.00000003</x:v>
      </x:c>
      <x:c r="H33" s="16" t="n">
        <x:f>D33*Inputs!D13*'Cohort factors'!E33*Inputs!$B$5/1000</x:f>
        <x:v>50116644.558450595</x:v>
      </x:c>
      <x:c r="I33" s="16" t="n">
        <x:f>H33*Inputs!$B$10</x:f>
        <x:v>12512742.91043707</x:v>
      </x:c>
      <x:c r="J33" s="16" t="n">
        <x:f>D33*T33*Inputs!$B$8*U33*0</x:f>
        <x:v>0</x:v>
      </x:c>
      <x:c r="K33" s="16" t="n">
        <x:f>SUM(H33:J33)</x:f>
        <x:v>62629387.468887664</x:v>
      </x:c>
      <x:c r="L33" s="16" t="n">
        <x:f>H33-H32</x:f>
        <x:v>3106588.121989891</x:v>
      </x:c>
      <x:c r="M33" s="16" t="n">
        <x:f>K33-K32</x:f>
        <x:v>3882217.433200881</x:v>
      </x:c>
      <x:c r="N33" s="16" t="n">
        <x:f>H33*44/12/1000000</x:f>
        <x:v>183.76103004765216</x:v>
      </x:c>
      <x:c r="O33" s="16" t="n">
        <x:f>K33*44/12/1000000</x:f>
        <x:v>229.64108738592145</x:v>
      </x:c>
      <x:c r="P33" s="16" t="n">
        <x:f>L33*44/12/1000000</x:f>
        <x:v>11.390823113962933</x:v>
      </x:c>
      <x:c r="Q33" s="16" t="n">
        <x:f>M33*44/12/1000000</x:f>
        <x:v>14.234797255069896</x:v>
      </x:c>
      <x:c r="R33" s="16" t="n">
        <x:f>(H33+I33)*44/12/1000000</x:f>
        <x:v>229.64108738592145</x:v>
      </x:c>
      <x:c r="S33" s="16" t="n">
        <x:f>R33-R32</x:f>
        <x:v>14.234797255069907</x:v>
      </x:c>
      <x:c r="T33" s="2" t="n">
        <x:f>Inputs!E13/Inputs!F13</x:f>
        <x:v>0.2</x:v>
      </x:c>
      <x:c r="U33" s="2" t="n">
        <x:f>'Cohort factors'!F33</x:f>
        <x:v>29</x:v>
      </x:c>
      <x:c r="V33" s="2" t="n">
        <x:f>D33*Inputs!D13*'Cohort factors'!G33*Inputs!$B$5/1000*44/12/1000000</x:f>
        <x:v>6.336587243022489</x:v>
      </x:c>
    </x:row>
    <x:row r="34" ht="22" customHeight="1">
      <x:c r="A34" s="2" t="str">
        <x:v>CB_FAST</x:v>
      </x:c>
      <x:c r="B34" s="2" t="str">
        <x:v>Permanent grassland</x:v>
      </x:c>
      <x:c r="C34" s="2" t="n">
        <x:v>2056</x:v>
      </x:c>
      <x:c r="D34" s="16" t="n">
        <x:f>Inputs!H13</x:f>
        <x:v>837900.0000000001</x:v>
      </x:c>
      <x:c r="E34" s="16" t="n">
        <x:f>D34*'Cohort factors'!C34</x:f>
        <x:v>0</x:v>
      </x:c>
      <x:c r="F34" s="16" t="n">
        <x:f>D34*'Cohort factors'!D34</x:f>
        <x:v>837900.0000000001</x:v>
      </x:c>
      <x:c r="G34" s="16" t="n">
        <x:f>F34*Inputs!D13</x:f>
        <x:v>139091400.00000003</x:v>
      </x:c>
      <x:c r="H34" s="16" t="n">
        <x:f>D34*Inputs!D13*'Cohort factors'!E34*Inputs!$B$5/1000</x:f>
        <x:v>51927161.02608618</x:v>
      </x:c>
      <x:c r="I34" s="16" t="n">
        <x:f>H34*Inputs!$B$10</x:f>
        <x:v>12964778.901558043</x:v>
      </x:c>
      <x:c r="J34" s="16" t="n">
        <x:f>D34*T34*Inputs!$B$8*U34*0</x:f>
        <x:v>0</x:v>
      </x:c>
      <x:c r="K34" s="16" t="n">
        <x:f>SUM(H34:J34)</x:f>
        <x:v>64891939.92764422</x:v>
      </x:c>
      <x:c r="L34" s="16" t="n">
        <x:f>H34-H33</x:f>
        <x:v>1810516.4676355869</x:v>
      </x:c>
      <x:c r="M34" s="16" t="n">
        <x:f>K34-K33</x:f>
        <x:v>2262552.4587565586</x:v>
      </x:c>
      <x:c r="N34" s="16" t="n">
        <x:f>H34*44/12/1000000</x:f>
        <x:v>190.39959042898263</x:v>
      </x:c>
      <x:c r="O34" s="16" t="n">
        <x:f>K34*44/12/1000000</x:f>
        <x:v>237.93711306802882</x:v>
      </x:c>
      <x:c r="P34" s="16" t="n">
        <x:f>L34*44/12/1000000</x:f>
        <x:v>6.638560381330485</x:v>
      </x:c>
      <x:c r="Q34" s="16" t="n">
        <x:f>M34*44/12/1000000</x:f>
        <x:v>8.296025682107382</x:v>
      </x:c>
      <x:c r="R34" s="16" t="n">
        <x:f>(H34+I34)*44/12/1000000</x:f>
        <x:v>237.93711306802882</x:v>
      </x:c>
      <x:c r="S34" s="16" t="n">
        <x:f>R34-R33</x:f>
        <x:v>8.29602568210737</x:v>
      </x:c>
      <x:c r="T34" s="2" t="n">
        <x:f>Inputs!E13/Inputs!F13</x:f>
        <x:v>0.2</x:v>
      </x:c>
      <x:c r="U34" s="2" t="n">
        <x:f>'Cohort factors'!F34</x:f>
        <x:v>30</x:v>
      </x:c>
      <x:c r="V34" s="2" t="n">
        <x:f>D34*Inputs!D13*'Cohort factors'!G34*Inputs!$B$5/1000*44/12/1000000</x:f>
        <x:v>6.346653014299423</x:v>
      </x:c>
    </x:row>
    <x:row r="35" ht="22" customHeight="1">
      <x:c r="A35" s="2" t="str">
        <x:v>CB_FAST</x:v>
      </x:c>
      <x:c r="B35" s="2" t="str">
        <x:v>Croppable area</x:v>
      </x:c>
      <x:c r="C35" s="2" t="n">
        <x:v>2027</x:v>
      </x:c>
      <x:c r="D35" s="16" t="n">
        <x:f>Inputs!H14</x:f>
        <x:v>428750.00000000006</x:v>
      </x:c>
      <x:c r="E35" s="16" t="n">
        <x:f>D35*'Cohort factors'!C5</x:f>
        <x:v>428750.00000000006</x:v>
      </x:c>
      <x:c r="F35" s="16" t="n">
        <x:f>D35*'Cohort factors'!D5</x:f>
        <x:v>428750.00000000006</x:v>
      </x:c>
      <x:c r="G35" s="16" t="n">
        <x:f>F35*Inputs!D14</x:f>
        <x:v>20416666.66666667</x:v>
      </x:c>
      <x:c r="H35" s="16" t="n">
        <x:f>D35*Inputs!D14*'Cohort factors'!E5*Inputs!$B$5/1000</x:f>
        <x:v>10176.026544444443</x:v>
      </x:c>
      <x:c r="I35" s="16" t="n">
        <x:f>H35*Inputs!$B$10</x:f>
        <x:v>2540.672966481481</x:v>
      </x:c>
      <x:c r="J35" s="16" t="n">
        <x:f>D35*T35*Inputs!$B$8*U35</x:f>
        <x:v>18608.12139723908</x:v>
      </x:c>
      <x:c r="K35" s="16" t="n">
        <x:f>SUM(H35:J35)</x:f>
        <x:v>31324.820908165006</x:v>
      </x:c>
      <x:c r="L35" s="16" t="n">
        <x:f>H35</x:f>
        <x:v>10176.026544444443</x:v>
      </x:c>
      <x:c r="M35" s="16" t="n">
        <x:f>K35</x:f>
        <x:v>31324.820908165006</x:v>
      </x:c>
      <x:c r="N35" s="16" t="n">
        <x:f>H35*44/12/1000000</x:f>
        <x:v>0.037312097329629625</x:v>
      </x:c>
      <x:c r="O35" s="16" t="n">
        <x:f>K35*44/12/1000000</x:f>
        <x:v>0.1148576766632717</x:v>
      </x:c>
      <x:c r="P35" s="16" t="n">
        <x:f>L35*44/12/1000000</x:f>
        <x:v>0.037312097329629625</x:v>
      </x:c>
      <x:c r="Q35" s="16" t="n">
        <x:f>M35*44/12/1000000</x:f>
        <x:v>0.1148576766632717</x:v>
      </x:c>
      <x:c r="R35" s="16" t="n">
        <x:f>O35</x:f>
        <x:v>0.1148576766632717</x:v>
      </x:c>
      <x:c r="S35" s="16" t="n">
        <x:f>Q35</x:f>
        <x:v>0.1148576766632717</x:v>
      </x:c>
      <x:c r="T35" s="2" t="n">
        <x:f>Inputs!E14/Inputs!F14</x:f>
        <x:v>0.06666666666666667</x:v>
      </x:c>
      <x:c r="U35" s="2" t="n">
        <x:f>'Cohort factors'!F5</x:f>
        <x:v>1</x:v>
      </x:c>
      <x:c r="V35" s="2" t="n">
        <x:f>D35*Inputs!D14*'Cohort factors'!G5*Inputs!$B$5/1000*44/12/1000000</x:f>
        <x:v>0.037312097329629625</x:v>
      </x:c>
    </x:row>
    <x:row r="36" ht="22" customHeight="1">
      <x:c r="A36" s="2" t="str">
        <x:v>CB_FAST</x:v>
      </x:c>
      <x:c r="B36" s="2" t="str">
        <x:v>Croppable area</x:v>
      </x:c>
      <x:c r="C36" s="2" t="n">
        <x:v>2028</x:v>
      </x:c>
      <x:c r="D36" s="16" t="n">
        <x:f>Inputs!H14</x:f>
        <x:v>428750.00000000006</x:v>
      </x:c>
      <x:c r="E36" s="16" t="n">
        <x:f>D36*'Cohort factors'!C6</x:f>
        <x:v>0</x:v>
      </x:c>
      <x:c r="F36" s="16" t="n">
        <x:f>D36*'Cohort factors'!D6</x:f>
        <x:v>428750.00000000006</x:v>
      </x:c>
      <x:c r="G36" s="16" t="n">
        <x:f>F36*Inputs!D14</x:f>
        <x:v>20416666.66666667</x:v>
      </x:c>
      <x:c r="H36" s="16" t="n">
        <x:f>D36*Inputs!D14*'Cohort factors'!E6*Inputs!$B$5/1000</x:f>
        <x:v>38248.236522222214</x:v>
      </x:c>
      <x:c r="I36" s="16" t="n">
        <x:f>H36*Inputs!$B$10</x:f>
        <x:v>9549.528995740739</x:v>
      </x:c>
      <x:c r="J36" s="16" t="n">
        <x:f>D36*T36*Inputs!$B$8*U36</x:f>
        <x:v>37216.24279447816</x:v>
      </x:c>
      <x:c r="K36" s="16" t="n">
        <x:f>SUM(H36:J36)</x:f>
        <x:v>85014.00831244112</x:v>
      </x:c>
      <x:c r="L36" s="16" t="n">
        <x:f>H36-H35</x:f>
        <x:v>28072.20997777777</x:v>
      </x:c>
      <x:c r="M36" s="16" t="n">
        <x:f>K36-K35</x:f>
        <x:v>53689.18740427611</x:v>
      </x:c>
      <x:c r="N36" s="16" t="n">
        <x:f>H36*44/12/1000000</x:f>
        <x:v>0.14024353391481478</x:v>
      </x:c>
      <x:c r="O36" s="16" t="n">
        <x:f>K36*44/12/1000000</x:f>
        <x:v>0.31171803047895075</x:v>
      </x:c>
      <x:c r="P36" s="16" t="n">
        <x:f>L36*44/12/1000000</x:f>
        <x:v>0.10293143658518517</x:v>
      </x:c>
      <x:c r="Q36" s="16" t="n">
        <x:f>M36*44/12/1000000</x:f>
        <x:v>0.1968603538156791</x:v>
      </x:c>
      <x:c r="R36" s="16" t="n">
        <x:f>O36</x:f>
        <x:v>0.31171803047895075</x:v>
      </x:c>
      <x:c r="S36" s="16" t="n">
        <x:f>Q36</x:f>
        <x:v>0.1968603538156791</x:v>
      </x:c>
      <x:c r="T36" s="2" t="n">
        <x:f>Inputs!E14/Inputs!F14</x:f>
        <x:v>0.06666666666666667</x:v>
      </x:c>
      <x:c r="U36" s="2" t="n">
        <x:f>'Cohort factors'!F6</x:f>
        <x:v>2</x:v>
      </x:c>
      <x:c r="V36" s="2" t="n">
        <x:f>D36*Inputs!D14*'Cohort factors'!G6*Inputs!$B$5/1000*44/12/1000000</x:f>
        <x:v>0.07012176695740739</x:v>
      </x:c>
    </x:row>
    <x:row r="37" ht="22" customHeight="1">
      <x:c r="A37" s="2" t="str">
        <x:v>CB_FAST</x:v>
      </x:c>
      <x:c r="B37" s="2" t="str">
        <x:v>Croppable area</x:v>
      </x:c>
      <x:c r="C37" s="2" t="n">
        <x:v>2029</x:v>
      </x:c>
      <x:c r="D37" s="16" t="n">
        <x:f>Inputs!H14</x:f>
        <x:v>428750.00000000006</x:v>
      </x:c>
      <x:c r="E37" s="16" t="n">
        <x:f>D37*'Cohort factors'!C7</x:f>
        <x:v>0</x:v>
      </x:c>
      <x:c r="F37" s="16" t="n">
        <x:f>D37*'Cohort factors'!D7</x:f>
        <x:v>428750.00000000006</x:v>
      </x:c>
      <x:c r="G37" s="16" t="n">
        <x:f>F37*Inputs!D14</x:f>
        <x:v>20416666.66666667</x:v>
      </x:c>
      <x:c r="H37" s="16" t="n">
        <x:f>D37*Inputs!D14*'Cohort factors'!E7*Inputs!$B$5/1000</x:f>
        <x:v>115691.55888888886</x:v>
      </x:c>
      <x:c r="I37" s="16" t="n">
        <x:f>H37*Inputs!$B$10</x:f>
        <x:v>28884.98912962962</x:v>
      </x:c>
      <x:c r="J37" s="16" t="n">
        <x:f>D37*T37*Inputs!$B$8*U37</x:f>
        <x:v>55824.364191717235</x:v>
      </x:c>
      <x:c r="K37" s="16" t="n">
        <x:f>SUM(H37:J37)</x:f>
        <x:v>200400.91221023572</x:v>
      </x:c>
      <x:c r="L37" s="16" t="n">
        <x:f>H37-H36</x:f>
        <x:v>77443.32236666665</x:v>
      </x:c>
      <x:c r="M37" s="16" t="n">
        <x:f>K37-K36</x:f>
        <x:v>115386.9038977946</x:v>
      </x:c>
      <x:c r="N37" s="16" t="n">
        <x:f>H37*44/12/1000000</x:f>
        <x:v>0.42420238259259246</x:v>
      </x:c>
      <x:c r="O37" s="16" t="n">
        <x:f>K37*44/12/1000000</x:f>
        <x:v>0.7348033447708643</x:v>
      </x:c>
      <x:c r="P37" s="16" t="n">
        <x:f>L37*44/12/1000000</x:f>
        <x:v>0.2839588486777777</x:v>
      </x:c>
      <x:c r="Q37" s="16" t="n">
        <x:f>M37*44/12/1000000</x:f>
        <x:v>0.42308531429191354</x:v>
      </x:c>
      <x:c r="R37" s="16" t="n">
        <x:f>O37</x:f>
        <x:v>0.7348033447708643</x:v>
      </x:c>
      <x:c r="S37" s="16" t="n">
        <x:f>Q37</x:f>
        <x:v>0.42308531429191354</x:v>
      </x:c>
      <x:c r="T37" s="2" t="n">
        <x:f>Inputs!E14/Inputs!F14</x:f>
        <x:v>0.06666666666666667</x:v>
      </x:c>
      <x:c r="U37" s="2" t="n">
        <x:f>'Cohort factors'!F7</x:f>
        <x:v>3</x:v>
      </x:c>
      <x:c r="V37" s="2" t="n">
        <x:f>D37*Inputs!D14*'Cohort factors'!G7*Inputs!$B$5/1000*44/12/1000000</x:f>
        <x:v>0.14140079419753082</x:v>
      </x:c>
    </x:row>
    <x:row r="38" ht="22" customHeight="1">
      <x:c r="A38" s="2" t="str">
        <x:v>CB_FAST</x:v>
      </x:c>
      <x:c r="B38" s="2" t="str">
        <x:v>Croppable area</x:v>
      </x:c>
      <x:c r="C38" s="2" t="n">
        <x:v>2030</x:v>
      </x:c>
      <x:c r="D38" s="16" t="n">
        <x:f>Inputs!H14</x:f>
        <x:v>428750.00000000006</x:v>
      </x:c>
      <x:c r="E38" s="16" t="n">
        <x:f>D38*'Cohort factors'!C8</x:f>
        <x:v>0</x:v>
      </x:c>
      <x:c r="F38" s="16" t="n">
        <x:f>D38*'Cohort factors'!D8</x:f>
        <x:v>428750.00000000006</x:v>
      </x:c>
      <x:c r="G38" s="16" t="n">
        <x:f>F38*Inputs!D14</x:f>
        <x:v>20416666.66666667</x:v>
      </x:c>
      <x:c r="H38" s="16" t="n">
        <x:f>D38*Inputs!D14*'Cohort factors'!E8*Inputs!$B$5/1000</x:f>
        <x:v>228448.61612222213</x:v>
      </x:c>
      <x:c r="I38" s="16" t="n">
        <x:f>H38*Inputs!$B$10</x:f>
        <x:v>57037.314189074044</x:v>
      </x:c>
      <x:c r="J38" s="16" t="n">
        <x:f>D38*T38*Inputs!$B$8*U38</x:f>
        <x:v>74432.48558895632</x:v>
      </x:c>
      <x:c r="K38" s="16" t="n">
        <x:f>SUM(H38:J38)</x:f>
        <x:v>359918.4159002525</x:v>
      </x:c>
      <x:c r="L38" s="16" t="n">
        <x:f>H38-H37</x:f>
        <x:v>112757.05723333327</x:v>
      </x:c>
      <x:c r="M38" s="16" t="n">
        <x:f>K38-K37</x:f>
        <x:v>159517.5036900168</x:v>
      </x:c>
      <x:c r="N38" s="16" t="n">
        <x:f>H38*44/12/1000000</x:f>
        <x:v>0.8376449257814811</x:v>
      </x:c>
      <x:c r="O38" s="16" t="n">
        <x:f>K38*44/12/1000000</x:f>
        <x:v>1.319700858300926</x:v>
      </x:c>
      <x:c r="P38" s="16" t="n">
        <x:f>L38*44/12/1000000</x:f>
        <x:v>0.4134425431888886</x:v>
      </x:c>
      <x:c r="Q38" s="16" t="n">
        <x:f>M38*44/12/1000000</x:f>
        <x:v>0.5848975135300616</x:v>
      </x:c>
      <x:c r="R38" s="16" t="n">
        <x:f>O38</x:f>
        <x:v>1.319700858300926</x:v>
      </x:c>
      <x:c r="S38" s="16" t="n">
        <x:f>Q38</x:f>
        <x:v>0.5848975135300616</x:v>
      </x:c>
      <x:c r="T38" s="2" t="n">
        <x:f>Inputs!E14/Inputs!F14</x:f>
        <x:v>0.06666666666666667</x:v>
      </x:c>
      <x:c r="U38" s="2" t="n">
        <x:f>'Cohort factors'!F8</x:f>
        <x:v>4</x:v>
      </x:c>
      <x:c r="V38" s="2" t="n">
        <x:f>D38*Inputs!D14*'Cohort factors'!G8*Inputs!$B$5/1000*44/12/1000000</x:f>
        <x:v>0.20941123144537027</x:v>
      </x:c>
    </x:row>
    <x:row r="39" ht="22" customHeight="1">
      <x:c r="A39" s="2" t="str">
        <x:v>CB_FAST</x:v>
      </x:c>
      <x:c r="B39" s="2" t="str">
        <x:v>Croppable area</x:v>
      </x:c>
      <x:c r="C39" s="2" t="n">
        <x:v>2031</x:v>
      </x:c>
      <x:c r="D39" s="16" t="n">
        <x:f>Inputs!H14</x:f>
        <x:v>428750.00000000006</x:v>
      </x:c>
      <x:c r="E39" s="16" t="n">
        <x:f>D39*'Cohort factors'!C9</x:f>
        <x:v>0</x:v>
      </x:c>
      <x:c r="F39" s="16" t="n">
        <x:f>D39*'Cohort factors'!D9</x:f>
        <x:v>428750.00000000006</x:v>
      </x:c>
      <x:c r="G39" s="16" t="n">
        <x:f>F39*Inputs!D14</x:f>
        <x:v>20416666.66666667</x:v>
      </x:c>
      <x:c r="H39" s="16" t="n">
        <x:f>D39*Inputs!D14*'Cohort factors'!E9*Inputs!$B$5/1000</x:f>
        <x:v>437139.4805555559</x:v>
      </x:c>
      <x:c r="I39" s="16" t="n">
        <x:f>H39*Inputs!$B$10</x:f>
        <x:v>109141.66310185193</x:v>
      </x:c>
      <x:c r="J39" s="16" t="n">
        <x:f>D39*T39*Inputs!$B$8*U39</x:f>
        <x:v>93040.6069861954</x:v>
      </x:c>
      <x:c r="K39" s="16" t="n">
        <x:f>SUM(H39:J39)</x:f>
        <x:v>639321.7506436033</x:v>
      </x:c>
      <x:c r="L39" s="16" t="n">
        <x:f>H39-H38</x:f>
        <x:v>208690.86443333377</x:v>
      </x:c>
      <x:c r="M39" s="16" t="n">
        <x:f>K39-K38</x:f>
        <x:v>279403.33474335074</x:v>
      </x:c>
      <x:c r="N39" s="16" t="n">
        <x:f>H39*44/12/1000000</x:f>
        <x:v>1.602844762037038</x:v>
      </x:c>
      <x:c r="O39" s="16" t="n">
        <x:f>K39*44/12/1000000</x:f>
        <x:v>2.344179752359879</x:v>
      </x:c>
      <x:c r="P39" s="16" t="n">
        <x:f>L39*44/12/1000000</x:f>
        <x:v>0.7651998362555572</x:v>
      </x:c>
      <x:c r="Q39" s="16" t="n">
        <x:f>M39*44/12/1000000</x:f>
        <x:v>1.0244788940589526</x:v>
      </x:c>
      <x:c r="R39" s="16" t="n">
        <x:f>O39</x:f>
        <x:v>2.344179752359879</x:v>
      </x:c>
      <x:c r="S39" s="16" t="n">
        <x:f>Q39</x:f>
        <x:v>1.0244788940589526</x:v>
      </x:c>
      <x:c r="T39" s="2" t="n">
        <x:f>Inputs!E14/Inputs!F14</x:f>
        <x:v>0.06666666666666667</x:v>
      </x:c>
      <x:c r="U39" s="2" t="n">
        <x:f>'Cohort factors'!F9</x:f>
        <x:v>5</x:v>
      </x:c>
      <x:c r="V39" s="2" t="n">
        <x:f>D39*Inputs!D14*'Cohort factors'!G9*Inputs!$B$5/1000*44/12/1000000</x:f>
        <x:v>0.3205689524074077</x:v>
      </x:c>
    </x:row>
    <x:row r="40" ht="22" customHeight="1">
      <x:c r="A40" s="2" t="str">
        <x:v>CB_FAST</x:v>
      </x:c>
      <x:c r="B40" s="2" t="str">
        <x:v>Croppable area</x:v>
      </x:c>
      <x:c r="C40" s="2" t="n">
        <x:v>2032</x:v>
      </x:c>
      <x:c r="D40" s="16" t="n">
        <x:f>Inputs!H14</x:f>
        <x:v>428750.00000000006</x:v>
      </x:c>
      <x:c r="E40" s="16" t="n">
        <x:f>D40*'Cohort factors'!C10</x:f>
        <x:v>0</x:v>
      </x:c>
      <x:c r="F40" s="16" t="n">
        <x:f>D40*'Cohort factors'!D10</x:f>
        <x:v>428750.00000000006</x:v>
      </x:c>
      <x:c r="G40" s="16" t="n">
        <x:f>F40*Inputs!D14</x:f>
        <x:v>20416666.66666667</x:v>
      </x:c>
      <x:c r="H40" s="16" t="n">
        <x:f>D40*Inputs!D14*'Cohort factors'!E10*Inputs!$B$5/1000</x:f>
        <x:v>768144.9741777779</x:v>
      </x:c>
      <x:c r="I40" s="16" t="n">
        <x:f>H40*Inputs!$B$10</x:f>
        <x:v>191784.59899925927</x:v>
      </x:c>
      <x:c r="J40" s="16" t="n">
        <x:f>D40*T40*Inputs!$B$8*U40</x:f>
        <x:v>111648.72838343447</x:v>
      </x:c>
      <x:c r="K40" s="16" t="n">
        <x:f>SUM(H40:J40)</x:f>
        <x:v>1071578.3015604718</x:v>
      </x:c>
      <x:c r="L40" s="16" t="n">
        <x:f>H40-H39</x:f>
        <x:v>331005.493622222</x:v>
      </x:c>
      <x:c r="M40" s="16" t="n">
        <x:f>K40-K39</x:f>
        <x:v>432256.5509168685</x:v>
      </x:c>
      <x:c r="N40" s="16" t="n">
        <x:f>H40*44/12/1000000</x:f>
        <x:v>2.8165315719851858</x:v>
      </x:c>
      <x:c r="O40" s="16" t="n">
        <x:f>K40*44/12/1000000</x:f>
        <x:v>3.9291204390550627</x:v>
      </x:c>
      <x:c r="P40" s="16" t="n">
        <x:f>L40*44/12/1000000</x:f>
        <x:v>1.2136868099481473</x:v>
      </x:c>
      <x:c r="Q40" s="16" t="n">
        <x:f>M40*44/12/1000000</x:f>
        <x:v>1.5849406866951845</x:v>
      </x:c>
      <x:c r="R40" s="16" t="n">
        <x:f>O40</x:f>
        <x:v>3.9291204390550627</x:v>
      </x:c>
      <x:c r="S40" s="16" t="n">
        <x:f>Q40</x:f>
        <x:v>1.5849406866951845</x:v>
      </x:c>
      <x:c r="T40" s="2" t="n">
        <x:f>Inputs!E14/Inputs!F14</x:f>
        <x:v>0.06666666666666667</x:v>
      </x:c>
      <x:c r="U40" s="2" t="n">
        <x:f>'Cohort factors'!F10</x:f>
        <x:v>6</x:v>
      </x:c>
      <x:c r="V40" s="2" t="n">
        <x:f>D40*Inputs!D14*'Cohort factors'!G10*Inputs!$B$5/1000*44/12/1000000</x:f>
        <x:v>0.46942192866419763</x:v>
      </x:c>
    </x:row>
    <x:row r="41" ht="22" customHeight="1">
      <x:c r="A41" s="2" t="str">
        <x:v>CB_FAST</x:v>
      </x:c>
      <x:c r="B41" s="2" t="str">
        <x:v>Croppable area</x:v>
      </x:c>
      <x:c r="C41" s="2" t="n">
        <x:v>2033</x:v>
      </x:c>
      <x:c r="D41" s="16" t="n">
        <x:f>Inputs!H14</x:f>
        <x:v>428750.00000000006</x:v>
      </x:c>
      <x:c r="E41" s="16" t="n">
        <x:f>D41*'Cohort factors'!C11</x:f>
        <x:v>0</x:v>
      </x:c>
      <x:c r="F41" s="16" t="n">
        <x:f>D41*'Cohort factors'!D11</x:f>
        <x:v>428750.00000000006</x:v>
      </x:c>
      <x:c r="G41" s="16" t="n">
        <x:f>F41*Inputs!D14</x:f>
        <x:v>20416666.66666667</x:v>
      </x:c>
      <x:c r="H41" s="16" t="n">
        <x:f>D41*Inputs!D14*'Cohort factors'!E11*Inputs!$B$5/1000</x:f>
        <x:v>910449.506348148</x:v>
      </x:c>
      <x:c r="I41" s="16" t="n">
        <x:f>H41*Inputs!$B$10</x:f>
        <x:v>227314.11303049378</x:v>
      </x:c>
      <x:c r="J41" s="16" t="n">
        <x:f>D41*T41*Inputs!$B$8*U41</x:f>
        <x:v>130256.84978067355</x:v>
      </x:c>
      <x:c r="K41" s="16" t="n">
        <x:f>SUM(H41:J41)</x:f>
        <x:v>1268020.4691593153</x:v>
      </x:c>
      <x:c r="L41" s="16" t="n">
        <x:f>H41-H40</x:f>
        <x:v>142304.5321703701</x:v>
      </x:c>
      <x:c r="M41" s="16" t="n">
        <x:f>K41-K40</x:f>
        <x:v>196442.16759884357</x:v>
      </x:c>
      <x:c r="N41" s="16" t="n">
        <x:f>H41*44/12/1000000</x:f>
        <x:v>3.338314856609876</x:v>
      </x:c>
      <x:c r="O41" s="16" t="n">
        <x:f>K41*44/12/1000000</x:f>
        <x:v>4.649408386917489</x:v>
      </x:c>
      <x:c r="P41" s="16" t="n">
        <x:f>L41*44/12/1000000</x:f>
        <x:v>0.5217832846246904</x:v>
      </x:c>
      <x:c r="Q41" s="16" t="n">
        <x:f>M41*44/12/1000000</x:f>
        <x:v>0.7202879478624264</x:v>
      </x:c>
      <x:c r="R41" s="16" t="n">
        <x:f>O41</x:f>
        <x:v>4.649408386917489</x:v>
      </x:c>
      <x:c r="S41" s="16" t="n">
        <x:f>Q41</x:f>
        <x:v>0.7202879478624264</x:v>
      </x:c>
      <x:c r="T41" s="2" t="n">
        <x:f>Inputs!E14/Inputs!F14</x:f>
        <x:v>0.06666666666666667</x:v>
      </x:c>
      <x:c r="U41" s="2" t="n">
        <x:f>'Cohort factors'!F11</x:f>
        <x:v>7</x:v>
      </x:c>
      <x:c r="V41" s="2" t="n">
        <x:f>D41*Inputs!D14*'Cohort factors'!G11*Inputs!$B$5/1000*44/12/1000000</x:f>
        <x:v>0.4769021223728394</x:v>
      </x:c>
    </x:row>
    <x:row r="42" ht="22" customHeight="1">
      <x:c r="A42" s="2" t="str">
        <x:v>CB_FAST</x:v>
      </x:c>
      <x:c r="B42" s="2" t="str">
        <x:v>Croppable area</x:v>
      </x:c>
      <x:c r="C42" s="2" t="n">
        <x:v>2034</x:v>
      </x:c>
      <x:c r="D42" s="16" t="n">
        <x:f>Inputs!H14</x:f>
        <x:v>428750.00000000006</x:v>
      </x:c>
      <x:c r="E42" s="16" t="n">
        <x:f>D42*'Cohort factors'!C12</x:f>
        <x:v>0</x:v>
      </x:c>
      <x:c r="F42" s="16" t="n">
        <x:f>D42*'Cohort factors'!D12</x:f>
        <x:v>428750.00000000006</x:v>
      </x:c>
      <x:c r="G42" s="16" t="n">
        <x:f>F42*Inputs!D14</x:f>
        <x:v>20416666.66666667</x:v>
      </x:c>
      <x:c r="H42" s="16" t="n">
        <x:f>D42*Inputs!D14*'Cohort factors'!E12*Inputs!$B$5/1000</x:f>
        <x:v>1052754.0385185184</x:v>
      </x:c>
      <x:c r="I42" s="16" t="n">
        <x:f>H42*Inputs!$B$10</x:f>
        <x:v>262843.62706172833</x:v>
      </x:c>
      <x:c r="J42" s="16" t="n">
        <x:f>D42*T42*Inputs!$B$8*U42</x:f>
        <x:v>148864.97117791264</x:v>
      </x:c>
      <x:c r="K42" s="16" t="n">
        <x:f>SUM(H42:J42)</x:f>
        <x:v>1464462.6367581594</x:v>
      </x:c>
      <x:c r="L42" s="16" t="n">
        <x:f>H42-H41</x:f>
        <x:v>142304.53217037045</x:v>
      </x:c>
      <x:c r="M42" s="16" t="n">
        <x:f>K42-K41</x:f>
        <x:v>196442.16759884404</x:v>
      </x:c>
      <x:c r="N42" s="16" t="n">
        <x:f>H42*44/12/1000000</x:f>
        <x:v>3.8600981412345674</x:v>
      </x:c>
      <x:c r="O42" s="16" t="n">
        <x:f>K42*44/12/1000000</x:f>
        <x:v>5.369696334779917</x:v>
      </x:c>
      <x:c r="P42" s="16" t="n">
        <x:f>L42*44/12/1000000</x:f>
        <x:v>0.5217832846246916</x:v>
      </x:c>
      <x:c r="Q42" s="16" t="n">
        <x:f>M42*44/12/1000000</x:f>
        <x:v>0.7202879478624281</x:v>
      </x:c>
      <x:c r="R42" s="16" t="n">
        <x:f>O42</x:f>
        <x:v>5.369696334779917</x:v>
      </x:c>
      <x:c r="S42" s="16" t="n">
        <x:f>Q42</x:f>
        <x:v>0.7202879478624281</x:v>
      </x:c>
      <x:c r="T42" s="2" t="n">
        <x:f>Inputs!E14/Inputs!F14</x:f>
        <x:v>0.06666666666666667</x:v>
      </x:c>
      <x:c r="U42" s="2" t="n">
        <x:f>'Cohort factors'!F12</x:f>
        <x:v>8</x:v>
      </x:c>
      <x:c r="V42" s="2" t="n">
        <x:f>D42*Inputs!D14*'Cohort factors'!G12*Inputs!$B$5/1000*44/12/1000000</x:f>
        <x:v>0.4825122676543209</x:v>
      </x:c>
    </x:row>
    <x:row r="43" ht="22" customHeight="1">
      <x:c r="A43" s="2" t="str">
        <x:v>CB_FAST</x:v>
      </x:c>
      <x:c r="B43" s="2" t="str">
        <x:v>Croppable area</x:v>
      </x:c>
      <x:c r="C43" s="2" t="n">
        <x:v>2035</x:v>
      </x:c>
      <x:c r="D43" s="16" t="n">
        <x:f>Inputs!H14</x:f>
        <x:v>428750.00000000006</x:v>
      </x:c>
      <x:c r="E43" s="16" t="n">
        <x:f>D43*'Cohort factors'!C13</x:f>
        <x:v>0</x:v>
      </x:c>
      <x:c r="F43" s="16" t="n">
        <x:f>D43*'Cohort factors'!D13</x:f>
        <x:v>428750.00000000006</x:v>
      </x:c>
      <x:c r="G43" s="16" t="n">
        <x:f>F43*Inputs!D14</x:f>
        <x:v>20416666.66666667</x:v>
      </x:c>
      <x:c r="H43" s="16" t="n">
        <x:f>D43*Inputs!D14*'Cohort factors'!E13*Inputs!$B$5/1000</x:f>
        <x:v>1195058.5706888887</x:v>
      </x:c>
      <x:c r="I43" s="16" t="n">
        <x:f>H43*Inputs!$B$10</x:f>
        <x:v>298373.1410929629</x:v>
      </x:c>
      <x:c r="J43" s="16" t="n">
        <x:f>D43*T43*Inputs!$B$8*U43</x:f>
        <x:v>167473.0925751517</x:v>
      </x:c>
      <x:c r="K43" s="16" t="n">
        <x:f>SUM(H43:J43)</x:f>
        <x:v>1660904.8043570032</x:v>
      </x:c>
      <x:c r="L43" s="16" t="n">
        <x:f>H43-H42</x:f>
        <x:v>142304.53217037022</x:v>
      </x:c>
      <x:c r="M43" s="16" t="n">
        <x:f>K43-K42</x:f>
        <x:v>196442.1675988438</x:v>
      </x:c>
      <x:c r="N43" s="16" t="n">
        <x:f>H43*44/12/1000000</x:f>
        <x:v>4.381881425859259</x:v>
      </x:c>
      <x:c r="O43" s="16" t="n">
        <x:f>K43*44/12/1000000</x:f>
        <x:v>6.089984282642345</x:v>
      </x:c>
      <x:c r="P43" s="16" t="n">
        <x:f>L43*44/12/1000000</x:f>
        <x:v>0.5217832846246908</x:v>
      </x:c>
      <x:c r="Q43" s="16" t="n">
        <x:f>M43*44/12/1000000</x:f>
        <x:v>0.7202879478624273</x:v>
      </x:c>
      <x:c r="R43" s="16" t="n">
        <x:f>O43</x:f>
        <x:v>6.089984282642345</x:v>
      </x:c>
      <x:c r="S43" s="16" t="n">
        <x:f>Q43</x:f>
        <x:v>0.7202879478624273</x:v>
      </x:c>
      <x:c r="T43" s="2" t="n">
        <x:f>Inputs!E14/Inputs!F14</x:f>
        <x:v>0.06666666666666667</x:v>
      </x:c>
      <x:c r="U43" s="2" t="n">
        <x:f>'Cohort factors'!F13</x:f>
        <x:v>9</x:v>
      </x:c>
      <x:c r="V43" s="2" t="n">
        <x:f>D43*Inputs!D14*'Cohort factors'!G13*Inputs!$B$5/1000*44/12/1000000</x:f>
        <x:v>0.486875713984362</x:v>
      </x:c>
    </x:row>
    <x:row r="44" ht="22" customHeight="1">
      <x:c r="A44" s="2" t="str">
        <x:v>CB_FAST</x:v>
      </x:c>
      <x:c r="B44" s="2" t="str">
        <x:v>Croppable area</x:v>
      </x:c>
      <x:c r="C44" s="2" t="n">
        <x:v>2036</x:v>
      </x:c>
      <x:c r="D44" s="16" t="n">
        <x:f>Inputs!H14</x:f>
        <x:v>428750.00000000006</x:v>
      </x:c>
      <x:c r="E44" s="16" t="n">
        <x:f>D44*'Cohort factors'!C14</x:f>
        <x:v>0</x:v>
      </x:c>
      <x:c r="F44" s="16" t="n">
        <x:f>D44*'Cohort factors'!D14</x:f>
        <x:v>428750.00000000006</x:v>
      </x:c>
      <x:c r="G44" s="16" t="n">
        <x:f>F44*Inputs!D14</x:f>
        <x:v>20416666.66666667</x:v>
      </x:c>
      <x:c r="H44" s="16" t="n">
        <x:f>D44*Inputs!D14*'Cohort factors'!E14*Inputs!$B$5/1000</x:f>
        <x:v>1435773.9045222213</x:v>
      </x:c>
      <x:c r="I44" s="16" t="n">
        <x:f>H44*Inputs!$B$10</x:f>
        <x:v>358473.11612907384</x:v>
      </x:c>
      <x:c r="J44" s="16" t="n">
        <x:f>D44*T44*Inputs!$B$8*U44</x:f>
        <x:v>186081.2139723908</x:v>
      </x:c>
      <x:c r="K44" s="16" t="n">
        <x:f>SUM(H44:J44)</x:f>
        <x:v>1980328.234623686</x:v>
      </x:c>
      <x:c r="L44" s="16" t="n">
        <x:f>H44-H43</x:f>
        <x:v>240715.33383333264</x:v>
      </x:c>
      <x:c r="M44" s="16" t="n">
        <x:f>K44-K43</x:f>
        <x:v>319423.43026668276</x:v>
      </x:c>
      <x:c r="N44" s="16" t="n">
        <x:f>H44*44/12/1000000</x:f>
        <x:v>5.264504316581478</x:v>
      </x:c>
      <x:c r="O44" s="16" t="n">
        <x:f>K44*44/12/1000000</x:f>
        <x:v>7.261203526953515</x:v>
      </x:c>
      <x:c r="P44" s="16" t="n">
        <x:f>L44*44/12/1000000</x:f>
        <x:v>0.8826228907222197</x:v>
      </x:c>
      <x:c r="Q44" s="16" t="n">
        <x:f>M44*44/12/1000000</x:f>
        <x:v>1.17121924431117</x:v>
      </x:c>
      <x:c r="R44" s="16" t="n">
        <x:f>O44</x:f>
        <x:v>7.261203526953515</x:v>
      </x:c>
      <x:c r="S44" s="16" t="n">
        <x:f>Q44</x:f>
        <x:v>1.17121924431117</x:v>
      </x:c>
      <x:c r="T44" s="2" t="n">
        <x:f>Inputs!E14/Inputs!F14</x:f>
        <x:v>0.06666666666666667</x:v>
      </x:c>
      <x:c r="U44" s="2" t="n">
        <x:f>'Cohort factors'!F14</x:f>
        <x:v>10</x:v>
      </x:c>
      <x:c r="V44" s="2" t="n">
        <x:f>D44*Inputs!D14*'Cohort factors'!G14*Inputs!$B$5/1000*44/12/1000000</x:f>
        <x:v>0.5264504316581479</x:v>
      </x:c>
    </x:row>
    <x:row r="45" ht="22" customHeight="1">
      <x:c r="A45" s="2" t="str">
        <x:v>CB_FAST</x:v>
      </x:c>
      <x:c r="B45" s="2" t="str">
        <x:v>Croppable area</x:v>
      </x:c>
      <x:c r="C45" s="2" t="n">
        <x:v>2037</x:v>
      </x:c>
      <x:c r="D45" s="16" t="n">
        <x:f>Inputs!H14</x:f>
        <x:v>428750.00000000006</x:v>
      </x:c>
      <x:c r="E45" s="16" t="n">
        <x:f>D45*'Cohort factors'!C15</x:f>
        <x:v>0</x:v>
      </x:c>
      <x:c r="F45" s="16" t="n">
        <x:f>D45*'Cohort factors'!D15</x:f>
        <x:v>428750.00000000006</x:v>
      </x:c>
      <x:c r="G45" s="16" t="n">
        <x:f>F45*Inputs!D14</x:f>
        <x:v>20416666.66666667</x:v>
      </x:c>
      <x:c r="H45" s="16" t="n">
        <x:f>D45*Inputs!D14*'Cohort factors'!E15*Inputs!$B$5/1000</x:f>
        <x:v>1790091.4356111088</x:v>
      </x:c>
      <x:c r="I45" s="16" t="n">
        <x:f>H45*Inputs!$B$10</x:f>
        <x:v>446936.4243620364</x:v>
      </x:c>
      <x:c r="J45" s="16" t="n">
        <x:f>D45*T45*Inputs!$B$8*U45</x:f>
        <x:v>204689.33536962987</x:v>
      </x:c>
      <x:c r="K45" s="16" t="n">
        <x:f>SUM(H45:J45)</x:f>
        <x:v>2441717.195342775</x:v>
      </x:c>
      <x:c r="L45" s="16" t="n">
        <x:f>H45-H44</x:f>
        <x:v>354317.5310888875</x:v>
      </x:c>
      <x:c r="M45" s="16" t="n">
        <x:f>K45-K44</x:f>
        <x:v>461388.960719089</x:v>
      </x:c>
      <x:c r="N45" s="16" t="n">
        <x:f>H45*44/12/1000000</x:f>
        <x:v>6.563668597240732</x:v>
      </x:c>
      <x:c r="O45" s="16" t="n">
        <x:f>K45*44/12/1000000</x:f>
        <x:v>8.952963049590176</x:v>
      </x:c>
      <x:c r="P45" s="16" t="n">
        <x:f>L45*44/12/1000000</x:f>
        <x:v>1.299164280659254</x:v>
      </x:c>
      <x:c r="Q45" s="16" t="n">
        <x:f>M45*44/12/1000000</x:f>
        <x:v>1.6917595226366597</x:v>
      </x:c>
      <x:c r="R45" s="16" t="n">
        <x:f>O45</x:f>
        <x:v>8.952963049590176</x:v>
      </x:c>
      <x:c r="S45" s="16" t="n">
        <x:f>Q45</x:f>
        <x:v>1.6917595226366597</x:v>
      </x:c>
      <x:c r="T45" s="2" t="n">
        <x:f>Inputs!E14/Inputs!F14</x:f>
        <x:v>0.06666666666666667</x:v>
      </x:c>
      <x:c r="U45" s="2" t="n">
        <x:f>'Cohort factors'!F15</x:f>
        <x:v>11</x:v>
      </x:c>
      <x:c r="V45" s="2" t="n">
        <x:f>D45*Inputs!D14*'Cohort factors'!G15*Inputs!$B$5/1000*44/12/1000000</x:f>
        <x:v>0.596697145203703</x:v>
      </x:c>
    </x:row>
    <x:row r="46" ht="22" customHeight="1">
      <x:c r="A46" s="2" t="str">
        <x:v>CB_FAST</x:v>
      </x:c>
      <x:c r="B46" s="2" t="str">
        <x:v>Croppable area</x:v>
      </x:c>
      <x:c r="C46" s="2" t="n">
        <x:v>2038</x:v>
      </x:c>
      <x:c r="D46" s="16" t="n">
        <x:f>Inputs!H14</x:f>
        <x:v>428750.00000000006</x:v>
      </x:c>
      <x:c r="E46" s="16" t="n">
        <x:f>D46*'Cohort factors'!C16</x:f>
        <x:v>0</x:v>
      </x:c>
      <x:c r="F46" s="16" t="n">
        <x:f>D46*'Cohort factors'!D16</x:f>
        <x:v>428750.00000000006</x:v>
      </x:c>
      <x:c r="G46" s="16" t="n">
        <x:f>F46*Inputs!D14</x:f>
        <x:v>20416666.66666667</x:v>
      </x:c>
      <x:c r="H46" s="16" t="n">
        <x:f>D46*Inputs!D14*'Cohort factors'!E16*Inputs!$B$5/1000</x:f>
        <x:v>2144408.9666999965</x:v>
      </x:c>
      <x:c r="I46" s="16" t="n">
        <x:f>H46*Inputs!$B$10</x:f>
        <x:v>535399.7325949991</x:v>
      </x:c>
      <x:c r="J46" s="16" t="n">
        <x:f>D46*T46*Inputs!$B$8*U46</x:f>
        <x:v>223297.45676686894</x:v>
      </x:c>
      <x:c r="K46" s="16" t="n">
        <x:f>SUM(H46:J46)</x:f>
        <x:v>2903106.1560618645</x:v>
      </x:c>
      <x:c r="L46" s="16" t="n">
        <x:f>H46-H45</x:f>
        <x:v>354317.5310888877</x:v>
      </x:c>
      <x:c r="M46" s="16" t="n">
        <x:f>K46-K45</x:f>
        <x:v>461388.9607190895</x:v>
      </x:c>
      <x:c r="N46" s="16" t="n">
        <x:f>H46*44/12/1000000</x:f>
        <x:v>7.8628328778999865</x:v>
      </x:c>
      <x:c r="O46" s="16" t="n">
        <x:f>K46*44/12/1000000</x:f>
        <x:v>10.644722572226835</x:v>
      </x:c>
      <x:c r="P46" s="16" t="n">
        <x:f>L46*44/12/1000000</x:f>
        <x:v>1.299164280659255</x:v>
      </x:c>
      <x:c r="Q46" s="16" t="n">
        <x:f>M46*44/12/1000000</x:f>
        <x:v>1.6917595226366613</x:v>
      </x:c>
      <x:c r="R46" s="16" t="n">
        <x:f>O46</x:f>
        <x:v>10.644722572226835</x:v>
      </x:c>
      <x:c r="S46" s="16" t="n">
        <x:f>Q46</x:f>
        <x:v>1.6917595226366613</x:v>
      </x:c>
      <x:c r="T46" s="2" t="n">
        <x:f>Inputs!E14/Inputs!F14</x:f>
        <x:v>0.06666666666666667</x:v>
      </x:c>
      <x:c r="U46" s="2" t="n">
        <x:f>'Cohort factors'!F16</x:f>
        <x:v>12</x:v>
      </x:c>
      <x:c r="V46" s="2" t="n">
        <x:f>D46*Inputs!D14*'Cohort factors'!G16*Inputs!$B$5/1000*44/12/1000000</x:f>
        <x:v>0.6552360731583322</x:v>
      </x:c>
    </x:row>
    <x:row r="47" ht="22" customHeight="1">
      <x:c r="A47" s="2" t="str">
        <x:v>CB_FAST</x:v>
      </x:c>
      <x:c r="B47" s="2" t="str">
        <x:v>Croppable area</x:v>
      </x:c>
      <x:c r="C47" s="2" t="n">
        <x:v>2039</x:v>
      </x:c>
      <x:c r="D47" s="16" t="n">
        <x:f>Inputs!H14</x:f>
        <x:v>428750.00000000006</x:v>
      </x:c>
      <x:c r="E47" s="16" t="n">
        <x:f>D47*'Cohort factors'!C17</x:f>
        <x:v>0</x:v>
      </x:c>
      <x:c r="F47" s="16" t="n">
        <x:f>D47*'Cohort factors'!D17</x:f>
        <x:v>428750.00000000006</x:v>
      </x:c>
      <x:c r="G47" s="16" t="n">
        <x:f>F47*Inputs!D14</x:f>
        <x:v>20416666.66666667</x:v>
      </x:c>
      <x:c r="H47" s="16" t="n">
        <x:f>D47*Inputs!D14*'Cohort factors'!E17*Inputs!$B$5/1000</x:f>
        <x:v>2498726.4977888837</x:v>
      </x:c>
      <x:c r="I47" s="16" t="n">
        <x:f>H47*Inputs!$B$10</x:f>
        <x:v>623863.0408279616</x:v>
      </x:c>
      <x:c r="J47" s="16" t="n">
        <x:f>D47*T47*Inputs!$B$8*U47</x:f>
        <x:v>241905.57816410804</x:v>
      </x:c>
      <x:c r="K47" s="16" t="n">
        <x:f>SUM(H47:J47)</x:f>
        <x:v>3364495.1167809535</x:v>
      </x:c>
      <x:c r="L47" s="16" t="n">
        <x:f>H47-H46</x:f>
        <x:v>354317.53108888725</x:v>
      </x:c>
      <x:c r="M47" s="16" t="n">
        <x:f>K47-K46</x:f>
        <x:v>461388.960719089</x:v>
      </x:c>
      <x:c r="N47" s="16" t="n">
        <x:f>H47*44/12/1000000</x:f>
        <x:v>9.16199715855924</x:v>
      </x:c>
      <x:c r="O47" s="16" t="n">
        <x:f>K47*44/12/1000000</x:f>
        <x:v>12.336482094863497</x:v>
      </x:c>
      <x:c r="P47" s="16" t="n">
        <x:f>L47*44/12/1000000</x:f>
        <x:v>1.2991642806592532</x:v>
      </x:c>
      <x:c r="Q47" s="16" t="n">
        <x:f>M47*44/12/1000000</x:f>
        <x:v>1.6917595226366597</x:v>
      </x:c>
      <x:c r="R47" s="16" t="n">
        <x:f>O47</x:f>
        <x:v>12.336482094863497</x:v>
      </x:c>
      <x:c r="S47" s="16" t="n">
        <x:f>Q47</x:f>
        <x:v>1.6917595226366597</x:v>
      </x:c>
      <x:c r="T47" s="2" t="n">
        <x:f>Inputs!E14/Inputs!F14</x:f>
        <x:v>0.06666666666666667</x:v>
      </x:c>
      <x:c r="U47" s="2" t="n">
        <x:f>'Cohort factors'!F17</x:f>
        <x:v>13</x:v>
      </x:c>
      <x:c r="V47" s="2" t="n">
        <x:f>D47*Inputs!D14*'Cohort factors'!G17*Inputs!$B$5/1000*44/12/1000000</x:f>
        <x:v>0.7047690121968646</x:v>
      </x:c>
    </x:row>
    <x:row r="48" ht="22" customHeight="1">
      <x:c r="A48" s="2" t="str">
        <x:v>CB_FAST</x:v>
      </x:c>
      <x:c r="B48" s="2" t="str">
        <x:v>Croppable area</x:v>
      </x:c>
      <x:c r="C48" s="2" t="n">
        <x:v>2040</x:v>
      </x:c>
      <x:c r="D48" s="16" t="n">
        <x:f>Inputs!H14</x:f>
        <x:v>428750.00000000006</x:v>
      </x:c>
      <x:c r="E48" s="16" t="n">
        <x:f>D48*'Cohort factors'!C18</x:f>
        <x:v>0</x:v>
      </x:c>
      <x:c r="F48" s="16" t="n">
        <x:f>D48*'Cohort factors'!D18</x:f>
        <x:v>428750.00000000006</x:v>
      </x:c>
      <x:c r="G48" s="16" t="n">
        <x:f>F48*Inputs!D14</x:f>
        <x:v>20416666.66666667</x:v>
      </x:c>
      <x:c r="H48" s="16" t="n">
        <x:f>D48*Inputs!D14*'Cohort factors'!E18*Inputs!$B$5/1000</x:f>
        <x:v>2724708.6079888837</x:v>
      </x:c>
      <x:c r="I48" s="16" t="n">
        <x:f>H48*Inputs!$B$10</x:f>
        <x:v>680284.5365646282</x:v>
      </x:c>
      <x:c r="J48" s="16" t="n">
        <x:f>D48*T48*Inputs!$B$8*U48</x:f>
        <x:v>260513.6995613471</x:v>
      </x:c>
      <x:c r="K48" s="16" t="n">
        <x:f>SUM(H48:J48)</x:f>
        <x:v>3665506.844114859</x:v>
      </x:c>
      <x:c r="L48" s="16" t="n">
        <x:f>H48-H47</x:f>
        <x:v>225982.1102</x:v>
      </x:c>
      <x:c r="M48" s="16" t="n">
        <x:f>K48-K47</x:f>
        <x:v>301011.72733390564</x:v>
      </x:c>
      <x:c r="N48" s="16" t="n">
        <x:f>H48*44/12/1000000</x:f>
        <x:v>9.990598229292573</x:v>
      </x:c>
      <x:c r="O48" s="16" t="n">
        <x:f>K48*44/12/1000000</x:f>
        <x:v>13.440191761754482</x:v>
      </x:c>
      <x:c r="P48" s="16" t="n">
        <x:f>L48*44/12/1000000</x:f>
        <x:v>0.8286010707333333</x:v>
      </x:c>
      <x:c r="Q48" s="16" t="n">
        <x:f>M48*44/12/1000000</x:f>
        <x:v>1.1037096668909874</x:v>
      </x:c>
      <x:c r="R48" s="16" t="n">
        <x:f>O48</x:f>
        <x:v>13.440191761754482</x:v>
      </x:c>
      <x:c r="S48" s="16" t="n">
        <x:f>Q48</x:f>
        <x:v>1.1037096668909874</x:v>
      </x:c>
      <x:c r="T48" s="2" t="n">
        <x:f>Inputs!E14/Inputs!F14</x:f>
        <x:v>0.06666666666666667</x:v>
      </x:c>
      <x:c r="U48" s="2" t="n">
        <x:f>'Cohort factors'!F18</x:f>
        <x:v>14</x:v>
      </x:c>
      <x:c r="V48" s="2" t="n">
        <x:f>D48*Inputs!D14*'Cohort factors'!G18*Inputs!$B$5/1000*44/12/1000000</x:f>
        <x:v>0.713614159235184</x:v>
      </x:c>
    </x:row>
    <x:row r="49" ht="22" customHeight="1">
      <x:c r="A49" s="2" t="str">
        <x:v>CB_FAST</x:v>
      </x:c>
      <x:c r="B49" s="2" t="str">
        <x:v>Croppable area</x:v>
      </x:c>
      <x:c r="C49" s="2" t="n">
        <x:v>2041</x:v>
      </x:c>
      <x:c r="D49" s="16" t="n">
        <x:f>Inputs!H14</x:f>
        <x:v>428750.00000000006</x:v>
      </x:c>
      <x:c r="E49" s="16" t="n">
        <x:f>D49*'Cohort factors'!C19</x:f>
        <x:v>0</x:v>
      </x:c>
      <x:c r="F49" s="16" t="n">
        <x:f>D49*'Cohort factors'!D19</x:f>
        <x:v>428750.00000000006</x:v>
      </x:c>
      <x:c r="G49" s="16" t="n">
        <x:f>F49*Inputs!D14</x:f>
        <x:v>20416666.66666667</x:v>
      </x:c>
      <x:c r="H49" s="16" t="n">
        <x:f>D49*Inputs!D14*'Cohort factors'!E19*Inputs!$B$5/1000</x:f>
        <x:v>3086120.3073555585</x:v>
      </x:c>
      <x:c r="I49" s="16" t="n">
        <x:f>H49*Inputs!$B$10</x:f>
        <x:v>770519.0628151859</x:v>
      </x:c>
      <x:c r="J49" s="16" t="n">
        <x:f>D49*T49*Inputs!$B$8*U49</x:f>
        <x:v>279121.8209585862</x:v>
      </x:c>
      <x:c r="K49" s="16" t="n">
        <x:f>SUM(H49:J49)</x:f>
        <x:v>4135761.1911293305</x:v>
      </x:c>
      <x:c r="L49" s="16" t="n">
        <x:f>H49-H48</x:f>
        <x:v>361411.69936667476</x:v>
      </x:c>
      <x:c r="M49" s="16" t="n">
        <x:f>K49-K48</x:f>
        <x:v>470254.3470144714</x:v>
      </x:c>
      <x:c r="N49" s="16" t="n">
        <x:f>H49*44/12/1000000</x:f>
        <x:v>11.315774460303714</x:v>
      </x:c>
      <x:c r="O49" s="16" t="n">
        <x:f>K49*44/12/1000000</x:f>
        <x:v>15.164457700807548</x:v>
      </x:c>
      <x:c r="P49" s="16" t="n">
        <x:f>L49*44/12/1000000</x:f>
        <x:v>1.3251762310111408</x:v>
      </x:c>
      <x:c r="Q49" s="16" t="n">
        <x:f>M49*44/12/1000000</x:f>
        <x:v>1.7242659390530617</x:v>
      </x:c>
      <x:c r="R49" s="16" t="n">
        <x:f>O49</x:f>
        <x:v>15.164457700807548</x:v>
      </x:c>
      <x:c r="S49" s="16" t="n">
        <x:f>Q49</x:f>
        <x:v>1.7242659390530617</x:v>
      </x:c>
      <x:c r="T49" s="2" t="n">
        <x:f>Inputs!E14/Inputs!F14</x:f>
        <x:v>0.06666666666666667</x:v>
      </x:c>
      <x:c r="U49" s="2" t="n">
        <x:f>'Cohort factors'!F19</x:f>
        <x:v>15</x:v>
      </x:c>
      <x:c r="V49" s="2" t="n">
        <x:f>D49*Inputs!D14*'Cohort factors'!G19*Inputs!$B$5/1000*44/12/1000000</x:f>
        <x:v>0.7543849640202477</x:v>
      </x:c>
    </x:row>
    <x:row r="50" ht="22" customHeight="1">
      <x:c r="A50" s="2" t="str">
        <x:v>CB_FAST</x:v>
      </x:c>
      <x:c r="B50" s="2" t="str">
        <x:v>Croppable area</x:v>
      </x:c>
      <x:c r="C50" s="2" t="n">
        <x:v>2042</x:v>
      </x:c>
      <x:c r="D50" s="16" t="n">
        <x:f>Inputs!H14</x:f>
        <x:v>428750.00000000006</x:v>
      </x:c>
      <x:c r="E50" s="16" t="n">
        <x:f>D50*'Cohort factors'!C20</x:f>
        <x:v>0</x:v>
      </x:c>
      <x:c r="F50" s="16" t="n">
        <x:f>D50*'Cohort factors'!D20</x:f>
        <x:v>428750.00000000006</x:v>
      </x:c>
      <x:c r="G50" s="16" t="n">
        <x:f>F50*Inputs!D14</x:f>
        <x:v>20416666.66666667</x:v>
      </x:c>
      <x:c r="H50" s="16" t="n">
        <x:f>D50*Inputs!D14*'Cohort factors'!E20*Inputs!$B$5/1000</x:f>
        <x:v>3477948.6271444424</x:v>
      </x:c>
      <x:c r="I50" s="16" t="n">
        <x:f>H50*Inputs!$B$10</x:f>
        <x:v>868347.7796764809</x:v>
      </x:c>
      <x:c r="J50" s="16" t="n">
        <x:f>D50*T50*Inputs!$B$8*U50</x:f>
        <x:v>297729.9423558253</x:v>
      </x:c>
      <x:c r="K50" s="16" t="n">
        <x:f>SUM(H50:J50)</x:f>
        <x:v>4644026.349176749</x:v>
      </x:c>
      <x:c r="L50" s="16" t="n">
        <x:f>H50-H49</x:f>
        <x:v>391828.3197888839</x:v>
      </x:c>
      <x:c r="M50" s="16" t="n">
        <x:f>K50-K49</x:f>
        <x:v>508265.1580474181</x:v>
      </x:c>
      <x:c r="N50" s="16" t="n">
        <x:f>H50*44/12/1000000</x:f>
        <x:v>12.75247829952962</x:v>
      </x:c>
      <x:c r="O50" s="16" t="n">
        <x:f>K50*44/12/1000000</x:f>
        <x:v>17.028096613648078</x:v>
      </x:c>
      <x:c r="P50" s="16" t="n">
        <x:f>L50*44/12/1000000</x:f>
        <x:v>1.4367038392259075</x:v>
      </x:c>
      <x:c r="Q50" s="16" t="n">
        <x:f>M50*44/12/1000000</x:f>
        <x:v>1.863638912840533</x:v>
      </x:c>
      <x:c r="R50" s="16" t="n">
        <x:f>O50</x:f>
        <x:v>17.028096613648078</x:v>
      </x:c>
      <x:c r="S50" s="16" t="n">
        <x:f>Q50</x:f>
        <x:v>1.863638912840533</x:v>
      </x:c>
      <x:c r="T50" s="2" t="n">
        <x:f>Inputs!E14/Inputs!F14</x:f>
        <x:v>0.06666666666666667</x:v>
      </x:c>
      <x:c r="U50" s="2" t="n">
        <x:f>'Cohort factors'!F20</x:f>
        <x:v>16</x:v>
      </x:c>
      <x:c r="V50" s="2" t="n">
        <x:f>D50*Inputs!D14*'Cohort factors'!G20*Inputs!$B$5/1000*44/12/1000000</x:f>
        <x:v>0.7970298937206013</x:v>
      </x:c>
    </x:row>
    <x:row r="51" ht="22" customHeight="1">
      <x:c r="A51" s="2" t="str">
        <x:v>CB_FAST</x:v>
      </x:c>
      <x:c r="B51" s="2" t="str">
        <x:v>Croppable area</x:v>
      </x:c>
      <x:c r="C51" s="2" t="n">
        <x:v>2043</x:v>
      </x:c>
      <x:c r="D51" s="16" t="n">
        <x:f>Inputs!H14</x:f>
        <x:v>428750.00000000006</x:v>
      </x:c>
      <x:c r="E51" s="16" t="n">
        <x:f>D51*'Cohort factors'!C21</x:f>
        <x:v>0</x:v>
      </x:c>
      <x:c r="F51" s="16" t="n">
        <x:f>D51*'Cohort factors'!D21</x:f>
        <x:v>428750.00000000006</x:v>
      </x:c>
      <x:c r="G51" s="16" t="n">
        <x:f>F51*Inputs!D14</x:f>
        <x:v>20416666.66666667</x:v>
      </x:c>
      <x:c r="H51" s="16" t="n">
        <x:f>D51*Inputs!D14*'Cohort factors'!E21*Inputs!$B$5/1000</x:f>
        <x:v>3843146.1726777796</x:v>
      </x:c>
      <x:c r="I51" s="16" t="n">
        <x:f>H51*Inputs!$B$10</x:f>
        <x:v>959527.5272242597</x:v>
      </x:c>
      <x:c r="J51" s="16" t="n">
        <x:f>D51*T51*Inputs!$B$8*U51</x:f>
        <x:v>316338.0637530644</x:v>
      </x:c>
      <x:c r="K51" s="16" t="n">
        <x:f>SUM(H51:J51)</x:f>
        <x:v>5119011.763655104</x:v>
      </x:c>
      <x:c r="L51" s="16" t="n">
        <x:f>H51-H50</x:f>
        <x:v>365197.54553333716</x:v>
      </x:c>
      <x:c r="M51" s="16" t="n">
        <x:f>K51-K50</x:f>
        <x:v>474985.4144783551</x:v>
      </x:c>
      <x:c r="N51" s="16" t="n">
        <x:f>H51*44/12/1000000</x:f>
        <x:v>14.091535966485193</x:v>
      </x:c>
      <x:c r="O51" s="16" t="n">
        <x:f>K51*44/12/1000000</x:f>
        <x:v>18.769709800068714</x:v>
      </x:c>
      <x:c r="P51" s="16" t="n">
        <x:f>L51*44/12/1000000</x:f>
        <x:v>1.3390576669555696</x:v>
      </x:c>
      <x:c r="Q51" s="16" t="n">
        <x:f>M51*44/12/1000000</x:f>
        <x:v>1.7416131864206352</x:v>
      </x:c>
      <x:c r="R51" s="16" t="n">
        <x:f>O51</x:f>
        <x:v>18.769709800068714</x:v>
      </x:c>
      <x:c r="S51" s="16" t="n">
        <x:f>Q51</x:f>
        <x:v>1.7416131864206352</x:v>
      </x:c>
      <x:c r="T51" s="2" t="n">
        <x:f>Inputs!E14/Inputs!F14</x:f>
        <x:v>0.06666666666666667</x:v>
      </x:c>
      <x:c r="U51" s="2" t="n">
        <x:f>'Cohort factors'!F21</x:f>
        <x:v>17</x:v>
      </x:c>
      <x:c r="V51" s="2" t="n">
        <x:f>D51*Inputs!D14*'Cohort factors'!G21*Inputs!$B$5/1000*44/12/1000000</x:f>
        <x:v>0.8289138803814817</x:v>
      </x:c>
    </x:row>
    <x:row r="52" ht="22" customHeight="1">
      <x:c r="A52" s="2" t="str">
        <x:v>CB_FAST</x:v>
      </x:c>
      <x:c r="B52" s="2" t="str">
        <x:v>Croppable area</x:v>
      </x:c>
      <x:c r="C52" s="2" t="n">
        <x:v>2044</x:v>
      </x:c>
      <x:c r="D52" s="16" t="n">
        <x:f>Inputs!H14</x:f>
        <x:v>428750.00000000006</x:v>
      </x:c>
      <x:c r="E52" s="16" t="n">
        <x:f>D52*'Cohort factors'!C22</x:f>
        <x:v>0</x:v>
      </x:c>
      <x:c r="F52" s="16" t="n">
        <x:f>D52*'Cohort factors'!D22</x:f>
        <x:v>428750.00000000006</x:v>
      </x:c>
      <x:c r="G52" s="16" t="n">
        <x:f>F52*Inputs!D14</x:f>
        <x:v>20416666.66666667</x:v>
      </x:c>
      <x:c r="H52" s="16" t="n">
        <x:f>D52*Inputs!D14*'Cohort factors'!E22*Inputs!$B$5/1000</x:f>
        <x:v>4244236.90802222</x:v>
      </x:c>
      <x:c r="I52" s="16" t="n">
        <x:f>H52*Inputs!$B$10</x:f>
        <x:v>1059668.8136040736</x:v>
      </x:c>
      <x:c r="J52" s="16" t="n">
        <x:f>D52*T52*Inputs!$B$8*U52</x:f>
        <x:v>334946.1851503034</x:v>
      </x:c>
      <x:c r="K52" s="16" t="n">
        <x:f>SUM(H52:J52)</x:f>
        <x:v>5638851.906776598</x:v>
      </x:c>
      <x:c r="L52" s="16" t="n">
        <x:f>H52-H51</x:f>
        <x:v>401090.7353444407</x:v>
      </x:c>
      <x:c r="M52" s="16" t="n">
        <x:f>K52-K51</x:f>
        <x:v>519840.143121494</x:v>
      </x:c>
      <x:c r="N52" s="16" t="n">
        <x:f>H52*44/12/1000000</x:f>
        <x:v>15.562201996081473</x:v>
      </x:c>
      <x:c r="O52" s="16" t="n">
        <x:f>K52*44/12/1000000</x:f>
        <x:v>20.675790324847522</x:v>
      </x:c>
      <x:c r="P52" s="16" t="n">
        <x:f>L52*44/12/1000000</x:f>
        <x:v>1.4706660295962823</x:v>
      </x:c>
      <x:c r="Q52" s="16" t="n">
        <x:f>M52*44/12/1000000</x:f>
        <x:v>1.9060805247788113</x:v>
      </x:c>
      <x:c r="R52" s="16" t="n">
        <x:f>O52</x:f>
        <x:v>20.675790324847522</x:v>
      </x:c>
      <x:c r="S52" s="16" t="n">
        <x:f>Q52</x:f>
        <x:v>1.9060805247788113</x:v>
      </x:c>
      <x:c r="T52" s="2" t="n">
        <x:f>Inputs!E14/Inputs!F14</x:f>
        <x:v>0.06666666666666667</x:v>
      </x:c>
      <x:c r="U52" s="2" t="n">
        <x:f>'Cohort factors'!F22</x:f>
        <x:v>18</x:v>
      </x:c>
      <x:c r="V52" s="2" t="n">
        <x:f>D52*Inputs!D14*'Cohort factors'!G22*Inputs!$B$5/1000*44/12/1000000</x:f>
        <x:v>0.8645667775600822</x:v>
      </x:c>
    </x:row>
    <x:row r="53" ht="22" customHeight="1">
      <x:c r="A53" s="2" t="str">
        <x:v>CB_FAST</x:v>
      </x:c>
      <x:c r="B53" s="2" t="str">
        <x:v>Croppable area</x:v>
      </x:c>
      <x:c r="C53" s="2" t="n">
        <x:v>2045</x:v>
      </x:c>
      <x:c r="D53" s="16" t="n">
        <x:f>Inputs!H14</x:f>
        <x:v>428750.00000000006</x:v>
      </x:c>
      <x:c r="E53" s="16" t="n">
        <x:f>D53*'Cohort factors'!C23</x:f>
        <x:v>0</x:v>
      </x:c>
      <x:c r="F53" s="16" t="n">
        <x:f>D53*'Cohort factors'!D23</x:f>
        <x:v>428750.00000000006</x:v>
      </x:c>
      <x:c r="G53" s="16" t="n">
        <x:f>F53*Inputs!D14</x:f>
        <x:v>20416666.66666667</x:v>
      </x:c>
      <x:c r="H53" s="16" t="n">
        <x:f>D53*Inputs!D14*'Cohort factors'!E23*Inputs!$B$5/1000</x:f>
        <x:v>4528706.7406777805</x:v>
      </x:c>
      <x:c r="I53" s="16" t="n">
        <x:f>H53*Inputs!$B$10</x:f>
        <x:v>1130693.079357593</x:v>
      </x:c>
      <x:c r="J53" s="16" t="n">
        <x:f>D53*T53*Inputs!$B$8*U53</x:f>
        <x:v>353554.3065475425</x:v>
      </x:c>
      <x:c r="K53" s="16" t="n">
        <x:f>SUM(H53:J53)</x:f>
        <x:v>6012954.126582916</x:v>
      </x:c>
      <x:c r="L53" s="16" t="n">
        <x:f>H53-H52</x:f>
        <x:v>284469.8326555602</x:v>
      </x:c>
      <x:c r="M53" s="16" t="n">
        <x:f>K53-K52</x:f>
        <x:v>374102.2198063182</x:v>
      </x:c>
      <x:c r="N53" s="16" t="n">
        <x:f>H53*44/12/1000000</x:f>
        <x:v>16.60525804915186</x:v>
      </x:c>
      <x:c r="O53" s="16" t="n">
        <x:f>K53*44/12/1000000</x:f>
        <x:v>22.047498464137355</x:v>
      </x:c>
      <x:c r="P53" s="16" t="n">
        <x:f>L53*44/12/1000000</x:f>
        <x:v>1.0430560530703874</x:v>
      </x:c>
      <x:c r="Q53" s="16" t="n">
        <x:f>M53*44/12/1000000</x:f>
        <x:v>1.3717081392898334</x:v>
      </x:c>
      <x:c r="R53" s="16" t="n">
        <x:f>O53</x:f>
        <x:v>22.047498464137355</x:v>
      </x:c>
      <x:c r="S53" s="16" t="n">
        <x:f>Q53</x:f>
        <x:v>1.3717081392898334</x:v>
      </x:c>
      <x:c r="T53" s="2" t="n">
        <x:f>Inputs!E14/Inputs!F14</x:f>
        <x:v>0.06666666666666667</x:v>
      </x:c>
      <x:c r="U53" s="2" t="n">
        <x:f>'Cohort factors'!F23</x:f>
        <x:v>19</x:v>
      </x:c>
      <x:c r="V53" s="2" t="n">
        <x:f>D53*Inputs!D14*'Cohort factors'!G23*Inputs!$B$5/1000*44/12/1000000</x:f>
        <x:v>0.8739609499553613</x:v>
      </x:c>
    </x:row>
    <x:row r="54" ht="22" customHeight="1">
      <x:c r="A54" s="2" t="str">
        <x:v>CB_FAST</x:v>
      </x:c>
      <x:c r="B54" s="2" t="str">
        <x:v>Croppable area</x:v>
      </x:c>
      <x:c r="C54" s="2" t="n">
        <x:v>2046</x:v>
      </x:c>
      <x:c r="D54" s="16" t="n">
        <x:f>Inputs!H14</x:f>
        <x:v>428750.00000000006</x:v>
      </x:c>
      <x:c r="E54" s="16" t="n">
        <x:f>D54*'Cohort factors'!C24</x:f>
        <x:v>0</x:v>
      </x:c>
      <x:c r="F54" s="16" t="n">
        <x:f>D54*'Cohort factors'!D24</x:f>
        <x:v>428750.00000000006</x:v>
      </x:c>
      <x:c r="G54" s="16" t="n">
        <x:f>F54*Inputs!D14</x:f>
        <x:v>20416666.66666667</x:v>
      </x:c>
      <x:c r="H54" s="16" t="n">
        <x:f>D54*Inputs!D14*'Cohort factors'!E24*Inputs!$B$5/1000</x:f>
        <x:v>4696195.810288884</x:v>
      </x:c>
      <x:c r="I54" s="16" t="n">
        <x:f>H54*Inputs!$B$10</x:f>
        <x:v>1172510.477286295</x:v>
      </x:c>
      <x:c r="J54" s="16" t="n">
        <x:f>D54*T54*Inputs!$B$8*U54</x:f>
        <x:v>372162.4279447816</x:v>
      </x:c>
      <x:c r="K54" s="16" t="n">
        <x:f>SUM(H54:J54)</x:f>
        <x:v>6240868.71551996</x:v>
      </x:c>
      <x:c r="L54" s="16" t="n">
        <x:f>H54-H53</x:f>
        <x:v>167489.06961110327</x:v>
      </x:c>
      <x:c r="M54" s="16" t="n">
        <x:f>K54-K53</x:f>
        <x:v>227914.58893704414</x:v>
      </x:c>
      <x:c r="N54" s="16" t="n">
        <x:f>H54*44/12/1000000</x:f>
        <x:v>17.21938463772591</x:v>
      </x:c>
      <x:c r="O54" s="16" t="n">
        <x:f>K54*44/12/1000000</x:f>
        <x:v>22.883185290239854</x:v>
      </x:c>
      <x:c r="P54" s="16" t="n">
        <x:f>L54*44/12/1000000</x:f>
        <x:v>0.6141265885740453</x:v>
      </x:c>
      <x:c r="Q54" s="16" t="n">
        <x:f>M54*44/12/1000000</x:f>
        <x:v>0.8356868261024952</x:v>
      </x:c>
      <x:c r="R54" s="16" t="n">
        <x:f>O54</x:f>
        <x:v>22.883185290239854</x:v>
      </x:c>
      <x:c r="S54" s="16" t="n">
        <x:f>Q54</x:f>
        <x:v>0.8356868261024952</x:v>
      </x:c>
      <x:c r="T54" s="2" t="n">
        <x:f>Inputs!E14/Inputs!F14</x:f>
        <x:v>0.06666666666666667</x:v>
      </x:c>
      <x:c r="U54" s="2" t="n">
        <x:f>'Cohort factors'!F24</x:f>
        <x:v>20</x:v>
      </x:c>
      <x:c r="V54" s="2" t="n">
        <x:f>D54*Inputs!D14*'Cohort factors'!G24*Inputs!$B$5/1000*44/12/1000000</x:f>
        <x:v>0.8609692318862956</x:v>
      </x:c>
    </x:row>
    <x:row r="55" ht="22" customHeight="1">
      <x:c r="A55" s="2" t="str">
        <x:v>CB_FAST</x:v>
      </x:c>
      <x:c r="B55" s="2" t="str">
        <x:v>Croppable area</x:v>
      </x:c>
      <x:c r="C55" s="2" t="n">
        <x:v>2047</x:v>
      </x:c>
      <x:c r="D55" s="16" t="n">
        <x:f>Inputs!H14</x:f>
        <x:v>428750.00000000006</x:v>
      </x:c>
      <x:c r="E55" s="16" t="n">
        <x:f>D55*'Cohort factors'!C25</x:f>
        <x:v>0</x:v>
      </x:c>
      <x:c r="F55" s="16" t="n">
        <x:f>D55*'Cohort factors'!D25</x:f>
        <x:v>428750.00000000006</x:v>
      </x:c>
      <x:c r="G55" s="16" t="n">
        <x:f>F55*Inputs!D14</x:f>
        <x:v>20416666.66666667</x:v>
      </x:c>
      <x:c r="H55" s="16" t="n">
        <x:f>D55*Inputs!D14*'Cohort factors'!E25*Inputs!$B$5/1000</x:f>
        <x:v>4966332.165666663</x:v>
      </x:c>
      <x:c r="I55" s="16" t="n">
        <x:f>H55*Inputs!$B$10</x:f>
        <x:v>1239956.0693722211</x:v>
      </x:c>
      <x:c r="J55" s="16" t="n">
        <x:f>D55*T55*Inputs!$B$8*U55</x:f>
        <x:v>390770.54934202065</x:v>
      </x:c>
      <x:c r="K55" s="16" t="n">
        <x:f>SUM(H55:J55)</x:f>
        <x:v>6597058.784380904</x:v>
      </x:c>
      <x:c r="L55" s="16" t="n">
        <x:f>H55-H54</x:f>
        <x:v>270136.35537777934</x:v>
      </x:c>
      <x:c r="M55" s="16" t="n">
        <x:f>K55-K54</x:f>
        <x:v>356190.06886094436</x:v>
      </x:c>
      <x:c r="N55" s="16" t="n">
        <x:f>H55*44/12/1000000</x:f>
        <x:v>18.209884607444433</x:v>
      </x:c>
      <x:c r="O55" s="16" t="n">
        <x:f>K55*44/12/1000000</x:f>
        <x:v>24.189215542729986</x:v>
      </x:c>
      <x:c r="P55" s="16" t="n">
        <x:f>L55*44/12/1000000</x:f>
        <x:v>0.9904999697185243</x:v>
      </x:c>
      <x:c r="Q55" s="16" t="n">
        <x:f>M55*44/12/1000000</x:f>
        <x:v>1.3060302524901293</x:v>
      </x:c>
      <x:c r="R55" s="16" t="n">
        <x:f>O55</x:f>
        <x:v>24.189215542729986</x:v>
      </x:c>
      <x:c r="S55" s="16" t="n">
        <x:f>Q55</x:f>
        <x:v>1.3060302524901293</x:v>
      </x:c>
      <x:c r="T55" s="2" t="n">
        <x:f>Inputs!E14/Inputs!F14</x:f>
        <x:v>0.06666666666666667</x:v>
      </x:c>
      <x:c r="U55" s="2" t="n">
        <x:f>'Cohort factors'!F25</x:f>
        <x:v>21</x:v>
      </x:c>
      <x:c r="V55" s="2" t="n">
        <x:f>D55*Inputs!D14*'Cohort factors'!G25*Inputs!$B$5/1000*44/12/1000000</x:f>
        <x:v>0.8671373622592585</x:v>
      </x:c>
    </x:row>
    <x:row r="56" ht="22" customHeight="1">
      <x:c r="A56" s="2" t="str">
        <x:v>CB_FAST</x:v>
      </x:c>
      <x:c r="B56" s="2" t="str">
        <x:v>Croppable area</x:v>
      </x:c>
      <x:c r="C56" s="2" t="n">
        <x:v>2048</x:v>
      </x:c>
      <x:c r="D56" s="16" t="n">
        <x:f>Inputs!H14</x:f>
        <x:v>428750.00000000006</x:v>
      </x:c>
      <x:c r="E56" s="16" t="n">
        <x:f>D56*'Cohort factors'!C26</x:f>
        <x:v>0</x:v>
      </x:c>
      <x:c r="F56" s="16" t="n">
        <x:f>D56*'Cohort factors'!D26</x:f>
        <x:v>428750.00000000006</x:v>
      </x:c>
      <x:c r="G56" s="16" t="n">
        <x:f>F56*Inputs!D14</x:f>
        <x:v>20416666.66666667</x:v>
      </x:c>
      <x:c r="H56" s="16" t="n">
        <x:f>D56*Inputs!D14*'Cohort factors'!E26*Inputs!$B$5/1000</x:f>
        <x:v>5269766.461788885</x:v>
      </x:c>
      <x:c r="I56" s="16" t="n">
        <x:f>H56*Inputs!$B$10</x:f>
        <x:v>1315715.238227962</x:v>
      </x:c>
      <x:c r="J56" s="16" t="n">
        <x:f>D56*T56*Inputs!$B$8*U56</x:f>
        <x:v>409378.67073925975</x:v>
      </x:c>
      <x:c r="K56" s="16" t="n">
        <x:f>SUM(H56:J56)</x:f>
        <x:v>6994860.370756106</x:v>
      </x:c>
      <x:c r="L56" s="16" t="n">
        <x:f>H56-H55</x:f>
        <x:v>303434.2961222222</x:v>
      </x:c>
      <x:c r="M56" s="16" t="n">
        <x:f>K56-K55</x:f>
        <x:v>397801.58637520205</x:v>
      </x:c>
      <x:c r="N56" s="16" t="n">
        <x:f>H56*44/12/1000000</x:f>
        <x:v>19.322477026559245</x:v>
      </x:c>
      <x:c r="O56" s="16" t="n">
        <x:f>K56*44/12/1000000</x:f>
        <x:v>25.647821359439057</x:v>
      </x:c>
      <x:c r="P56" s="16" t="n">
        <x:f>L56*44/12/1000000</x:f>
        <x:v>1.1125924191148149</x:v>
      </x:c>
      <x:c r="Q56" s="16" t="n">
        <x:f>M56*44/12/1000000</x:f>
        <x:v>1.4586058167090743</x:v>
      </x:c>
      <x:c r="R56" s="16" t="n">
        <x:f>O56</x:f>
        <x:v>25.647821359439057</x:v>
      </x:c>
      <x:c r="S56" s="16" t="n">
        <x:f>Q56</x:f>
        <x:v>1.4586058167090743</x:v>
      </x:c>
      <x:c r="T56" s="2" t="n">
        <x:f>Inputs!E14/Inputs!F14</x:f>
        <x:v>0.06666666666666667</x:v>
      </x:c>
      <x:c r="U56" s="2" t="n">
        <x:f>'Cohort factors'!F26</x:f>
        <x:v>22</x:v>
      </x:c>
      <x:c r="V56" s="2" t="n">
        <x:f>D56*Inputs!D14*'Cohort factors'!G26*Inputs!$B$5/1000*44/12/1000000</x:f>
        <x:v>0.8782944102981476</x:v>
      </x:c>
    </x:row>
    <x:row r="57" ht="22" customHeight="1">
      <x:c r="A57" s="2" t="str">
        <x:v>CB_FAST</x:v>
      </x:c>
      <x:c r="B57" s="2" t="str">
        <x:v>Croppable area</x:v>
      </x:c>
      <x:c r="C57" s="2" t="n">
        <x:v>2049</x:v>
      </x:c>
      <x:c r="D57" s="16" t="n">
        <x:f>Inputs!H14</x:f>
        <x:v>428750.00000000006</x:v>
      </x:c>
      <x:c r="E57" s="16" t="n">
        <x:f>D57*'Cohort factors'!C27</x:f>
        <x:v>0</x:v>
      </x:c>
      <x:c r="F57" s="16" t="n">
        <x:f>D57*'Cohort factors'!D27</x:f>
        <x:v>428750.00000000006</x:v>
      </x:c>
      <x:c r="G57" s="16" t="n">
        <x:f>F57*Inputs!D14</x:f>
        <x:v>20416666.66666667</x:v>
      </x:c>
      <x:c r="H57" s="16" t="n">
        <x:f>D57*Inputs!D14*'Cohort factors'!E27*Inputs!$B$5/1000</x:f>
        <x:v>5598556.288111118</x:v>
      </x:c>
      <x:c r="I57" s="16" t="n">
        <x:f>H57*Inputs!$B$10</x:f>
        <x:v>1397804.9831537053</x:v>
      </x:c>
      <x:c r="J57" s="16" t="n">
        <x:f>D57*T57*Inputs!$B$8*U57</x:f>
        <x:v>427986.79213649884</x:v>
      </x:c>
      <x:c r="K57" s="16" t="n">
        <x:f>SUM(H57:J57)</x:f>
        <x:v>7424348.063401322</x:v>
      </x:c>
      <x:c r="L57" s="16" t="n">
        <x:f>H57-H56</x:f>
        <x:v>328789.8263222324</x:v>
      </x:c>
      <x:c r="M57" s="16" t="n">
        <x:f>K57-K56</x:f>
        <x:v>429487.69264521543</x:v>
      </x:c>
      <x:c r="N57" s="16" t="n">
        <x:f>H57*44/12/1000000</x:f>
        <x:v>20.528039723074098</x:v>
      </x:c>
      <x:c r="O57" s="16" t="n">
        <x:f>K57*44/12/1000000</x:f>
        <x:v>27.22260956580485</x:v>
      </x:c>
      <x:c r="P57" s="16" t="n">
        <x:f>L57*44/12/1000000</x:f>
        <x:v>1.205562696514852</x:v>
      </x:c>
      <x:c r="Q57" s="16" t="n">
        <x:f>M57*44/12/1000000</x:f>
        <x:v>1.57478820636579</x:v>
      </x:c>
      <x:c r="R57" s="16" t="n">
        <x:f>O57</x:f>
        <x:v>27.22260956580485</x:v>
      </x:c>
      <x:c r="S57" s="16" t="n">
        <x:f>Q57</x:f>
        <x:v>1.57478820636579</x:v>
      </x:c>
      <x:c r="T57" s="2" t="n">
        <x:f>Inputs!E14/Inputs!F14</x:f>
        <x:v>0.06666666666666667</x:v>
      </x:c>
      <x:c r="U57" s="2" t="n">
        <x:f>'Cohort factors'!F27</x:f>
        <x:v>23</x:v>
      </x:c>
      <x:c r="V57" s="2" t="n">
        <x:f>D57*Inputs!D14*'Cohort factors'!G27*Inputs!$B$5/1000*44/12/1000000</x:f>
        <x:v>0.892523466220613</x:v>
      </x:c>
    </x:row>
    <x:row r="58" ht="22" customHeight="1">
      <x:c r="A58" s="2" t="str">
        <x:v>CB_FAST</x:v>
      </x:c>
      <x:c r="B58" s="2" t="str">
        <x:v>Croppable area</x:v>
      </x:c>
      <x:c r="C58" s="2" t="n">
        <x:v>2050</x:v>
      </x:c>
      <x:c r="D58" s="16" t="n">
        <x:f>Inputs!H14</x:f>
        <x:v>428750.00000000006</x:v>
      </x:c>
      <x:c r="E58" s="16" t="n">
        <x:f>D58*'Cohort factors'!C28</x:f>
        <x:v>0</x:v>
      </x:c>
      <x:c r="F58" s="16" t="n">
        <x:f>D58*'Cohort factors'!D28</x:f>
        <x:v>428750.00000000006</x:v>
      </x:c>
      <x:c r="G58" s="16" t="n">
        <x:f>F58*Inputs!D14</x:f>
        <x:v>20416666.66666667</x:v>
      </x:c>
      <x:c r="H58" s="16" t="n">
        <x:f>D58*Inputs!D14*'Cohort factors'!E28*Inputs!$B$5/1000</x:f>
        <x:v>5870970.134088884</x:v>
      </x:c>
      <x:c r="I58" s="16" t="n">
        <x:f>H58*Inputs!$B$10</x:f>
        <x:v>1465819.2017829616</x:v>
      </x:c>
      <x:c r="J58" s="16" t="n">
        <x:f>D58*T58*Inputs!$B$8*U58</x:f>
        <x:v>446594.9135337379</x:v>
      </x:c>
      <x:c r="K58" s="16" t="n">
        <x:f>SUM(H58:J58)</x:f>
        <x:v>7783384.249405583</x:v>
      </x:c>
      <x:c r="L58" s="16" t="n">
        <x:f>H58-H57</x:f>
        <x:v>272413.84597776644</x:v>
      </x:c>
      <x:c r="M58" s="16" t="n">
        <x:f>K58-K57</x:f>
        <x:v>359036.1860042615</x:v>
      </x:c>
      <x:c r="N58" s="16" t="n">
        <x:f>H58*44/12/1000000</x:f>
        <x:v>21.52689049165924</x:v>
      </x:c>
      <x:c r="O58" s="16" t="n">
        <x:f>K58*44/12/1000000</x:f>
        <x:v>28.539075581153806</x:v>
      </x:c>
      <x:c r="P58" s="16" t="n">
        <x:f>L58*44/12/1000000</x:f>
        <x:v>0.9988507685851437</x:v>
      </x:c>
      <x:c r="Q58" s="16" t="n">
        <x:f>M58*44/12/1000000</x:f>
        <x:v>1.3164660153489587</x:v>
      </x:c>
      <x:c r="R58" s="16" t="n">
        <x:f>O58</x:f>
        <x:v>28.539075581153806</x:v>
      </x:c>
      <x:c r="S58" s="16" t="n">
        <x:f>Q58</x:f>
        <x:v>1.3164660153489587</x:v>
      </x:c>
      <x:c r="T58" s="2" t="n">
        <x:f>Inputs!E14/Inputs!F14</x:f>
        <x:v>0.06666666666666667</x:v>
      </x:c>
      <x:c r="U58" s="2" t="n">
        <x:f>'Cohort factors'!F28</x:f>
        <x:v>24</x:v>
      </x:c>
      <x:c r="V58" s="2" t="n">
        <x:f>D58*Inputs!D14*'Cohort factors'!G28*Inputs!$B$5/1000*44/12/1000000</x:f>
        <x:v>0.8969537704858017</x:v>
      </x:c>
    </x:row>
    <x:row r="59" ht="22" customHeight="1">
      <x:c r="A59" s="2" t="str">
        <x:v>CB_FAST</x:v>
      </x:c>
      <x:c r="B59" s="2" t="str">
        <x:v>Croppable area</x:v>
      </x:c>
      <x:c r="C59" s="2" t="n">
        <x:v>2051</x:v>
      </x:c>
      <x:c r="D59" s="16" t="n">
        <x:f>Inputs!H14</x:f>
        <x:v>428750.00000000006</x:v>
      </x:c>
      <x:c r="E59" s="16" t="n">
        <x:f>D59*'Cohort factors'!C29</x:f>
        <x:v>0</x:v>
      </x:c>
      <x:c r="F59" s="16" t="n">
        <x:f>D59*'Cohort factors'!D29</x:f>
        <x:v>428750.00000000006</x:v>
      </x:c>
      <x:c r="G59" s="16" t="n">
        <x:f>F59*Inputs!D14</x:f>
        <x:v>20416666.66666667</x:v>
      </x:c>
      <x:c r="H59" s="16" t="n">
        <x:f>D59*Inputs!D14*'Cohort factors'!E29*Inputs!$B$5/1000</x:f>
        <x:v>6125879.78737778</x:v>
      </x:c>
      <x:c r="I59" s="16" t="n">
        <x:f>H59*Inputs!$B$10</x:f>
        <x:v>1529463.1066192598</x:v>
      </x:c>
      <x:c r="J59" s="16" t="n">
        <x:f>D59*T59*Inputs!$B$8*U59</x:f>
        <x:v>465203.034930977</x:v>
      </x:c>
      <x:c r="K59" s="16" t="n">
        <x:f>SUM(H59:J59)</x:f>
        <x:v>8120545.928928017</x:v>
      </x:c>
      <x:c r="L59" s="16" t="n">
        <x:f>H59-H58</x:f>
        <x:v>254909.6532888962</x:v>
      </x:c>
      <x:c r="M59" s="16" t="n">
        <x:f>K59-K58</x:f>
        <x:v>337161.6795224333</x:v>
      </x:c>
      <x:c r="N59" s="16" t="n">
        <x:f>H59*44/12/1000000</x:f>
        <x:v>22.461559220385194</x:v>
      </x:c>
      <x:c r="O59" s="16" t="n">
        <x:f>K59*44/12/1000000</x:f>
        <x:v>29.77533507273606</x:v>
      </x:c>
      <x:c r="P59" s="16" t="n">
        <x:f>L59*44/12/1000000</x:f>
        <x:v>0.9346687287259526</x:v>
      </x:c>
      <x:c r="Q59" s="16" t="n">
        <x:f>M59*44/12/1000000</x:f>
        <x:v>1.2362594915822556</x:v>
      </x:c>
      <x:c r="R59" s="16" t="n">
        <x:f>O59</x:f>
        <x:v>29.77533507273606</x:v>
      </x:c>
      <x:c r="S59" s="16" t="n">
        <x:f>Q59</x:f>
        <x:v>1.2362594915822556</x:v>
      </x:c>
      <x:c r="T59" s="2" t="n">
        <x:f>Inputs!E14/Inputs!F14</x:f>
        <x:v>0.06666666666666667</x:v>
      </x:c>
      <x:c r="U59" s="2" t="n">
        <x:f>'Cohort factors'!F29</x:f>
        <x:v>25</x:v>
      </x:c>
      <x:c r="V59" s="2" t="n">
        <x:f>D59*Inputs!D14*'Cohort factors'!G29*Inputs!$B$5/1000*44/12/1000000</x:f>
        <x:v>0.8984623688154076</x:v>
      </x:c>
    </x:row>
    <x:row r="60" ht="22" customHeight="1">
      <x:c r="A60" s="2" t="str">
        <x:v>CB_FAST</x:v>
      </x:c>
      <x:c r="B60" s="2" t="str">
        <x:v>Croppable area</x:v>
      </x:c>
      <x:c r="C60" s="2" t="n">
        <x:v>2052</x:v>
      </x:c>
      <x:c r="D60" s="16" t="n">
        <x:f>Inputs!H14</x:f>
        <x:v>428750.00000000006</x:v>
      </x:c>
      <x:c r="E60" s="16" t="n">
        <x:f>D60*'Cohort factors'!C30</x:f>
        <x:v>0</x:v>
      </x:c>
      <x:c r="F60" s="16" t="n">
        <x:f>D60*'Cohort factors'!D30</x:f>
        <x:v>428750.00000000006</x:v>
      </x:c>
      <x:c r="G60" s="16" t="n">
        <x:f>F60*Inputs!D14</x:f>
        <x:v>20416666.66666667</x:v>
      </x:c>
      <x:c r="H60" s="16" t="n">
        <x:f>D60*Inputs!D14*'Cohort factors'!E30*Inputs!$B$5/1000</x:f>
        <x:v>6455230.2335888855</x:v>
      </x:c>
      <x:c r="I60" s="16" t="n">
        <x:f>H60*Inputs!$B$10</x:f>
        <x:v>1611692.822857962</x:v>
      </x:c>
      <x:c r="J60" s="16" t="n">
        <x:f>D60*T60*Inputs!$B$8*U60</x:f>
        <x:v>483811.1563282161</x:v>
      </x:c>
      <x:c r="K60" s="16" t="n">
        <x:f>SUM(H60:J60)</x:f>
        <x:v>8550734.212775063</x:v>
      </x:c>
      <x:c r="L60" s="16" t="n">
        <x:f>H60-H59</x:f>
        <x:v>329350.4462111052</x:v>
      </x:c>
      <x:c r="M60" s="16" t="n">
        <x:f>K60-K59</x:f>
        <x:v>430188.2838470461</x:v>
      </x:c>
      <x:c r="N60" s="16" t="n">
        <x:f>H60*44/12/1000000</x:f>
        <x:v>23.669177523159245</x:v>
      </x:c>
      <x:c r="O60" s="16" t="n">
        <x:f>K60*44/12/1000000</x:f>
        <x:v>31.352692113508564</x:v>
      </x:c>
      <x:c r="P60" s="16" t="n">
        <x:f>L60*44/12/1000000</x:f>
        <x:v>1.2076183027740524</x:v>
      </x:c>
      <x:c r="Q60" s="16" t="n">
        <x:f>M60*44/12/1000000</x:f>
        <x:v>1.5773570407725024</x:v>
      </x:c>
      <x:c r="R60" s="16" t="n">
        <x:f>O60</x:f>
        <x:v>31.352692113508564</x:v>
      </x:c>
      <x:c r="S60" s="16" t="n">
        <x:f>Q60</x:f>
        <x:v>1.5773570407725024</x:v>
      </x:c>
      <x:c r="T60" s="2" t="n">
        <x:f>Inputs!E14/Inputs!F14</x:f>
        <x:v>0.06666666666666667</x:v>
      </x:c>
      <x:c r="U60" s="2" t="n">
        <x:f>'Cohort factors'!F30</x:f>
        <x:v>26</x:v>
      </x:c>
      <x:c r="V60" s="2" t="n">
        <x:f>D60*Inputs!D14*'Cohort factors'!G30*Inputs!$B$5/1000*44/12/1000000</x:f>
        <x:v>0.910352981659971</x:v>
      </x:c>
    </x:row>
    <x:row r="61" ht="22" customHeight="1">
      <x:c r="A61" s="2" t="str">
        <x:v>CB_FAST</x:v>
      </x:c>
      <x:c r="B61" s="2" t="str">
        <x:v>Croppable area</x:v>
      </x:c>
      <x:c r="C61" s="2" t="n">
        <x:v>2053</x:v>
      </x:c>
      <x:c r="D61" s="16" t="n">
        <x:f>Inputs!H14</x:f>
        <x:v>428750.00000000006</x:v>
      </x:c>
      <x:c r="E61" s="16" t="n">
        <x:f>D61*'Cohort factors'!C31</x:f>
        <x:v>0</x:v>
      </x:c>
      <x:c r="F61" s="16" t="n">
        <x:f>D61*'Cohort factors'!D31</x:f>
        <x:v>428750.00000000006</x:v>
      </x:c>
      <x:c r="G61" s="16" t="n">
        <x:f>F61*Inputs!D14</x:f>
        <x:v>20416666.66666667</x:v>
      </x:c>
      <x:c r="H61" s="16" t="n">
        <x:f>D61*Inputs!D14*'Cohort factors'!E31*Inputs!$B$5/1000</x:f>
        <x:v>6670766.643566664</x:v>
      </x:c>
      <x:c r="I61" s="16" t="n">
        <x:f>H61*Inputs!$B$10</x:f>
        <x:v>1665506.3155538882</x:v>
      </x:c>
      <x:c r="J61" s="16" t="n">
        <x:f>D61*T61*Inputs!$B$8*U61</x:f>
        <x:v>502419.2777254552</x:v>
      </x:c>
      <x:c r="K61" s="16" t="n">
        <x:f>SUM(H61:J61)</x:f>
        <x:v>8838692.236846007</x:v>
      </x:c>
      <x:c r="L61" s="16" t="n">
        <x:f>H61-H60</x:f>
        <x:v>215536.4099777788</x:v>
      </x:c>
      <x:c r="M61" s="16" t="n">
        <x:f>K61-K60</x:f>
        <x:v>287958.02407094464</x:v>
      </x:c>
      <x:c r="N61" s="16" t="n">
        <x:f>H61*44/12/1000000</x:f>
        <x:v>24.45947769307777</x:v>
      </x:c>
      <x:c r="O61" s="16" t="n">
        <x:f>K61*44/12/1000000</x:f>
        <x:v>32.4085382017687</x:v>
      </x:c>
      <x:c r="P61" s="16" t="n">
        <x:f>L61*44/12/1000000</x:f>
        <x:v>0.7903001699185223</x:v>
      </x:c>
      <x:c r="Q61" s="16" t="n">
        <x:f>M61*44/12/1000000</x:f>
        <x:v>1.0558460882601302</x:v>
      </x:c>
      <x:c r="R61" s="16" t="n">
        <x:f>O61</x:f>
        <x:v>32.4085382017687</x:v>
      </x:c>
      <x:c r="S61" s="16" t="n">
        <x:f>Q61</x:f>
        <x:v>1.0558460882601302</x:v>
      </x:c>
      <x:c r="T61" s="2" t="n">
        <x:f>Inputs!E14/Inputs!F14</x:f>
        <x:v>0.06666666666666667</x:v>
      </x:c>
      <x:c r="U61" s="2" t="n">
        <x:f>'Cohort factors'!F31</x:f>
        <x:v>27</x:v>
      </x:c>
      <x:c r="V61" s="2" t="n">
        <x:f>D61*Inputs!D14*'Cohort factors'!G31*Inputs!$B$5/1000*44/12/1000000</x:f>
        <x:v>0.9059065812251024</x:v>
      </x:c>
    </x:row>
    <x:row r="62" ht="22" customHeight="1">
      <x:c r="A62" s="2" t="str">
        <x:v>CB_FAST</x:v>
      </x:c>
      <x:c r="B62" s="2" t="str">
        <x:v>Croppable area</x:v>
      </x:c>
      <x:c r="C62" s="2" t="n">
        <x:v>2054</x:v>
      </x:c>
      <x:c r="D62" s="16" t="n">
        <x:f>Inputs!H14</x:f>
        <x:v>428750.00000000006</x:v>
      </x:c>
      <x:c r="E62" s="16" t="n">
        <x:f>D62*'Cohort factors'!C32</x:f>
        <x:v>0</x:v>
      </x:c>
      <x:c r="F62" s="16" t="n">
        <x:f>D62*'Cohort factors'!D32</x:f>
        <x:v>428750.00000000006</x:v>
      </x:c>
      <x:c r="G62" s="16" t="n">
        <x:f>F62*Inputs!D14</x:f>
        <x:v>20416666.66666667</x:v>
      </x:c>
      <x:c r="H62" s="16" t="n">
        <x:f>D62*Inputs!D14*'Cohort factors'!E32*Inputs!$B$5/1000</x:f>
        <x:v>6900416.936233339</x:v>
      </x:c>
      <x:c r="I62" s="16" t="n">
        <x:f>H62*Inputs!$B$10</x:f>
        <x:v>1722843.6552094456</x:v>
      </x:c>
      <x:c r="J62" s="16" t="n">
        <x:f>D62*T62*Inputs!$B$8*U62</x:f>
        <x:v>521027.3991226942</x:v>
      </x:c>
      <x:c r="K62" s="16" t="n">
        <x:f>SUM(H62:J62)</x:f>
        <x:v>9144287.990565479</x:v>
      </x:c>
      <x:c r="L62" s="16" t="n">
        <x:f>H62-H61</x:f>
        <x:v>229650.2926666746</x:v>
      </x:c>
      <x:c r="M62" s="16" t="n">
        <x:f>K62-K61</x:f>
        <x:v>305595.7537194714</x:v>
      </x:c>
      <x:c r="N62" s="16" t="n">
        <x:f>H62*44/12/1000000</x:f>
        <x:v>25.30152876618891</x:v>
      </x:c>
      <x:c r="O62" s="16" t="n">
        <x:f>K62*44/12/1000000</x:f>
        <x:v>33.529055965406755</x:v>
      </x:c>
      <x:c r="P62" s="16" t="n">
        <x:f>L62*44/12/1000000</x:f>
        <x:v>0.8420510731111401</x:v>
      </x:c>
      <x:c r="Q62" s="16" t="n">
        <x:f>M62*44/12/1000000</x:f>
        <x:v>1.1205177636380617</x:v>
      </x:c>
      <x:c r="R62" s="16" t="n">
        <x:f>O62</x:f>
        <x:v>33.529055965406755</x:v>
      </x:c>
      <x:c r="S62" s="16" t="n">
        <x:f>Q62</x:f>
        <x:v>1.1205177636380617</x:v>
      </x:c>
      <x:c r="T62" s="2" t="n">
        <x:f>Inputs!E14/Inputs!F14</x:f>
        <x:v>0.06666666666666667</x:v>
      </x:c>
      <x:c r="U62" s="2" t="n">
        <x:f>'Cohort factors'!F32</x:f>
        <x:v>28</x:v>
      </x:c>
      <x:c r="V62" s="2" t="n">
        <x:f>D62*Inputs!D14*'Cohort factors'!G32*Inputs!$B$5/1000*44/12/1000000</x:f>
        <x:v>0.9036260273638899</x:v>
      </x:c>
    </x:row>
    <x:row r="63" ht="22" customHeight="1">
      <x:c r="A63" s="2" t="str">
        <x:v>CB_FAST</x:v>
      </x:c>
      <x:c r="B63" s="2" t="str">
        <x:v>Croppable area</x:v>
      </x:c>
      <x:c r="C63" s="2" t="n">
        <x:v>2055</x:v>
      </x:c>
      <x:c r="D63" s="16" t="n">
        <x:f>Inputs!H14</x:f>
        <x:v>428750.00000000006</x:v>
      </x:c>
      <x:c r="E63" s="16" t="n">
        <x:f>D63*'Cohort factors'!C33</x:f>
        <x:v>0</x:v>
      </x:c>
      <x:c r="F63" s="16" t="n">
        <x:f>D63*'Cohort factors'!D33</x:f>
        <x:v>428750.00000000006</x:v>
      </x:c>
      <x:c r="G63" s="16" t="n">
        <x:f>F63*Inputs!D14</x:f>
        <x:v>20416666.66666667</x:v>
      </x:c>
      <x:c r="H63" s="16" t="n">
        <x:f>D63*Inputs!D14*'Cohort factors'!E33*Inputs!$B$5/1000</x:f>
        <x:v>7356420.500488885</x:v>
      </x:c>
      <x:c r="I63" s="16" t="n">
        <x:f>H63*Inputs!$B$10</x:f>
        <x:v>1836695.1593562951</x:v>
      </x:c>
      <x:c r="J63" s="16" t="n">
        <x:f>D63*T63*Inputs!$B$8*U63</x:f>
        <x:v>539635.5205199333</x:v>
      </x:c>
      <x:c r="K63" s="16" t="n">
        <x:f>SUM(H63:J63)</x:f>
        <x:v>9732751.180365114</x:v>
      </x:c>
      <x:c r="L63" s="16" t="n">
        <x:f>H63-H62</x:f>
        <x:v>456003.56425554585</x:v>
      </x:c>
      <x:c r="M63" s="16" t="n">
        <x:f>K63-K62</x:f>
        <x:v>588463.1897996347</x:v>
      </x:c>
      <x:c r="N63" s="16" t="n">
        <x:f>H63*44/12/1000000</x:f>
        <x:v>26.97354183512591</x:v>
      </x:c>
      <x:c r="O63" s="16" t="n">
        <x:f>K63*44/12/1000000</x:f>
        <x:v>35.68675432800542</x:v>
      </x:c>
      <x:c r="P63" s="16" t="n">
        <x:f>L63*44/12/1000000</x:f>
        <x:v>1.6720130689370014</x:v>
      </x:c>
      <x:c r="Q63" s="16" t="n">
        <x:f>M63*44/12/1000000</x:f>
        <x:v>2.1576983625986608</x:v>
      </x:c>
      <x:c r="R63" s="16" t="n">
        <x:f>O63</x:f>
        <x:v>35.68675432800542</x:v>
      </x:c>
      <x:c r="S63" s="16" t="n">
        <x:f>Q63</x:f>
        <x:v>2.1576983625986608</x:v>
      </x:c>
      <x:c r="T63" s="2" t="n">
        <x:f>Inputs!E14/Inputs!F14</x:f>
        <x:v>0.06666666666666667</x:v>
      </x:c>
      <x:c r="U63" s="2" t="n">
        <x:f>'Cohort factors'!F33</x:f>
        <x:v>29</x:v>
      </x:c>
      <x:c r="V63" s="2" t="n">
        <x:f>D63*Inputs!D14*'Cohort factors'!G33*Inputs!$B$5/1000*44/12/1000000</x:f>
        <x:v>0.9301221322457212</x:v>
      </x:c>
    </x:row>
    <x:row r="64" ht="22" customHeight="1">
      <x:c r="A64" s="2" t="str">
        <x:v>CB_FAST</x:v>
      </x:c>
      <x:c r="B64" s="2" t="str">
        <x:v>Croppable area</x:v>
      </x:c>
      <x:c r="C64" s="2" t="n">
        <x:v>2056</x:v>
      </x:c>
      <x:c r="D64" s="16" t="n">
        <x:f>Inputs!H14</x:f>
        <x:v>428750.00000000006</x:v>
      </x:c>
      <x:c r="E64" s="16" t="n">
        <x:f>D64*'Cohort factors'!C34</x:f>
        <x:v>0</x:v>
      </x:c>
      <x:c r="F64" s="16" t="n">
        <x:f>D64*'Cohort factors'!D34</x:f>
        <x:v>428750.00000000006</x:v>
      </x:c>
      <x:c r="G64" s="16" t="n">
        <x:f>F64*Inputs!D14</x:f>
        <x:v>20416666.66666667</x:v>
      </x:c>
      <x:c r="H64" s="16" t="n">
        <x:f>D64*Inputs!D14*'Cohort factors'!E34*Inputs!$B$5/1000</x:f>
        <x:v>7622178.924188888</x:v>
      </x:c>
      <x:c r="I64" s="16" t="n">
        <x:f>H64*Inputs!$B$10</x:f>
        <x:v>1903047.7027346292</x:v>
      </x:c>
      <x:c r="J64" s="16" t="n">
        <x:f>D64*T64*Inputs!$B$8*U64</x:f>
        <x:v>558243.6419171724</x:v>
      </x:c>
      <x:c r="K64" s="16" t="n">
        <x:f>SUM(H64:J64)</x:f>
        <x:v>10083470.26884069</x:v>
      </x:c>
      <x:c r="L64" s="16" t="n">
        <x:f>H64-H63</x:f>
        <x:v>265758.42370000295</x:v>
      </x:c>
      <x:c r="M64" s="16" t="n">
        <x:f>K64-K63</x:f>
        <x:v>350719.08847557567</x:v>
      </x:c>
      <x:c r="N64" s="16" t="n">
        <x:f>H64*44/12/1000000</x:f>
        <x:v>27.947989388692587</x:v>
      </x:c>
      <x:c r="O64" s="16" t="n">
        <x:f>K64*44/12/1000000</x:f>
        <x:v>36.97272431908253</x:v>
      </x:c>
      <x:c r="P64" s="16" t="n">
        <x:f>L64*44/12/1000000</x:f>
        <x:v>0.9744475535666774</x:v>
      </x:c>
      <x:c r="Q64" s="16" t="n">
        <x:f>M64*44/12/1000000</x:f>
        <x:v>1.285969991077111</x:v>
      </x:c>
      <x:c r="R64" s="16" t="n">
        <x:f>O64</x:f>
        <x:v>36.97272431908253</x:v>
      </x:c>
      <x:c r="S64" s="16" t="n">
        <x:f>Q64</x:f>
        <x:v>1.285969991077111</x:v>
      </x:c>
      <x:c r="T64" s="2" t="n">
        <x:f>Inputs!E14/Inputs!F14</x:f>
        <x:v>0.06666666666666667</x:v>
      </x:c>
      <x:c r="U64" s="2" t="n">
        <x:f>'Cohort factors'!F34</x:f>
        <x:v>30</x:v>
      </x:c>
      <x:c r="V64" s="2" t="n">
        <x:f>D64*Inputs!D14*'Cohort factors'!G34*Inputs!$B$5/1000*44/12/1000000</x:f>
        <x:v>0.9315996462897528</x:v>
      </x:c>
    </x:row>
    <x:row r="65" ht="22" customHeight="1">
      <x:c r="A65" s="2" t="str">
        <x:v>CB_FAST</x:v>
      </x:c>
      <x:c r="B65" s="2" t="str">
        <x:v>UK total</x:v>
      </x:c>
      <x:c r="C65" s="2" t="n">
        <x:v>2027</x:v>
      </x:c>
      <x:c r="D65" s="16" t="n">
        <x:f>D5+D35</x:f>
        <x:v>1266650.0000000002</x:v>
      </x:c>
      <x:c r="E65" s="16" t="n">
        <x:f>E5+E35</x:f>
        <x:v>1266650.0000000002</x:v>
      </x:c>
      <x:c r="F65" s="16" t="n">
        <x:f>F5+F35</x:f>
        <x:v>1266650.0000000002</x:v>
      </x:c>
      <x:c r="G65" s="16" t="n">
        <x:f>G5+G35</x:f>
        <x:v>159508066.6666667</x:v>
      </x:c>
      <x:c r="H65" s="16" t="n">
        <x:f>H5+H35</x:f>
        <x:v>79501.63202218842</x:v>
      </x:c>
      <x:c r="I65" s="16" t="n">
        <x:f>I5+I35</x:f>
        <x:v>19849.363244851877</x:v>
      </x:c>
      <x:c r="J65" s="16" t="n">
        <x:f>J5+J35</x:f>
        <x:v>18608.12139723908</x:v>
      </x:c>
      <x:c r="K65" s="16" t="n">
        <x:f>K5+K35</x:f>
        <x:v>117959.1166642794</x:v>
      </x:c>
      <x:c r="L65" s="16" t="n">
        <x:f>L5+L35</x:f>
        <x:v>79501.63202218842</x:v>
      </x:c>
      <x:c r="M65" s="16" t="n">
        <x:f>M5+M35</x:f>
        <x:v>117959.1166642794</x:v>
      </x:c>
      <x:c r="N65" s="16" t="n">
        <x:f>N5+N35</x:f>
        <x:v>0.2915059840813576</x:v>
      </x:c>
      <x:c r="O65" s="16" t="n">
        <x:f>O5+O35</x:f>
        <x:v>0.43251676110235776</x:v>
      </x:c>
      <x:c r="P65" s="16" t="n">
        <x:f>P5+P35</x:f>
        <x:v>0.2915059840813576</x:v>
      </x:c>
      <x:c r="Q65" s="16" t="n">
        <x:f>Q5+Q35</x:f>
        <x:v>0.43251676110235776</x:v>
      </x:c>
      <x:c r="R65" s="16" t="n">
        <x:f>R5+R35</x:f>
        <x:v>0.43251676110235776</x:v>
      </x:c>
      <x:c r="S65" s="16" t="n">
        <x:f>S5+S35</x:f>
        <x:v>0.43251676110235776</x:v>
      </x:c>
      <x:c r="T65" s="2"/>
      <x:c r="U65" s="2"/>
      <x:c r="V65" s="2" t="n">
        <x:f>V5+V35</x:f>
        <x:v>0.2915059840813576</x:v>
      </x:c>
    </x:row>
    <x:row r="66" ht="22" customHeight="1">
      <x:c r="A66" s="2" t="str">
        <x:v>CB_FAST</x:v>
      </x:c>
      <x:c r="B66" s="2" t="str">
        <x:v>UK total</x:v>
      </x:c>
      <x:c r="C66" s="2" t="n">
        <x:v>2028</x:v>
      </x:c>
      <x:c r="D66" s="16" t="n">
        <x:f>D6+D36</x:f>
        <x:v>1266650.0000000002</x:v>
      </x:c>
      <x:c r="E66" s="16" t="n">
        <x:f>E6+E36</x:f>
        <x:v>0</x:v>
      </x:c>
      <x:c r="F66" s="16" t="n">
        <x:f>F6+F36</x:f>
        <x:v>1266650.0000000002</x:v>
      </x:c>
      <x:c r="G66" s="16" t="n">
        <x:f>G6+G36</x:f>
        <x:v>159508066.6666667</x:v>
      </x:c>
      <x:c r="H66" s="16" t="n">
        <x:f>H6+H36</x:f>
        <x:v>298819.70258297416</x:v>
      </x:c>
      <x:c r="I66" s="16" t="n">
        <x:f>I6+I36</x:f>
        <x:v>74607.03221328392</x:v>
      </x:c>
      <x:c r="J66" s="16" t="n">
        <x:f>J6+J36</x:f>
        <x:v>37216.24279447816</x:v>
      </x:c>
      <x:c r="K66" s="16" t="n">
        <x:f>K6+K36</x:f>
        <x:v>410642.97759073623</x:v>
      </x:c>
      <x:c r="L66" s="16" t="n">
        <x:f>L6+L36</x:f>
        <x:v>219318.0705607857</x:v>
      </x:c>
      <x:c r="M66" s="16" t="n">
        <x:f>M6+M36</x:f>
        <x:v>292683.86092645687</x:v>
      </x:c>
      <x:c r="N66" s="16" t="n">
        <x:f>N6+N36</x:f>
        <x:v>1.0956722428042385</x:v>
      </x:c>
      <x:c r="O66" s="16" t="n">
        <x:f>O6+O36</x:f>
        <x:v>1.5056909178326996</x:v>
      </x:c>
      <x:c r="P66" s="16" t="n">
        <x:f>P6+P36</x:f>
        <x:v>0.8041662587228808</x:v>
      </x:c>
      <x:c r="Q66" s="16" t="n">
        <x:f>Q6+Q36</x:f>
        <x:v>1.0731741567303419</x:v>
      </x:c>
      <x:c r="R66" s="16" t="n">
        <x:f>R6+R36</x:f>
        <x:v>1.5056909178326996</x:v>
      </x:c>
      <x:c r="S66" s="16" t="n">
        <x:f>S6+S36</x:f>
        <x:v>1.0731741567303417</x:v>
      </x:c>
      <x:c r="T66" s="2"/>
      <x:c r="U66" s="2"/>
      <x:c r="V66" s="2" t="n">
        <x:f>V6+V36</x:f>
        <x:v>0.5478361214021192</x:v>
      </x:c>
    </x:row>
    <x:row r="67" ht="22" customHeight="1">
      <x:c r="A67" s="2" t="str">
        <x:v>CB_FAST</x:v>
      </x:c>
      <x:c r="B67" s="2" t="str">
        <x:v>UK total</x:v>
      </x:c>
      <x:c r="C67" s="2" t="n">
        <x:v>2029</x:v>
      </x:c>
      <x:c r="D67" s="16" t="n">
        <x:f>D7+D37</x:f>
        <x:v>1266650.0000000002</x:v>
      </x:c>
      <x:c r="E67" s="16" t="n">
        <x:f>E7+E37</x:f>
        <x:v>0</x:v>
      </x:c>
      <x:c r="F67" s="16" t="n">
        <x:f>F7+F37</x:f>
        <x:v>1266650.0000000002</x:v>
      </x:c>
      <x:c r="G67" s="16" t="n">
        <x:f>G7+G37</x:f>
        <x:v>159508066.6666667</x:v>
      </x:c>
      <x:c r="H67" s="16" t="n">
        <x:f>H7+H37</x:f>
        <x:v>903856.5006376887</x:v>
      </x:c>
      <x:c r="I67" s="16" t="n">
        <x:f>I7+I37</x:f>
        <x:v>225668.02147370955</x:v>
      </x:c>
      <x:c r="J67" s="16" t="n">
        <x:f>J7+J37</x:f>
        <x:v>55824.364191717235</x:v>
      </x:c>
      <x:c r="K67" s="16" t="n">
        <x:f>K7+K37</x:f>
        <x:v>1185348.8863031154</x:v>
      </x:c>
      <x:c r="L67" s="16" t="n">
        <x:f>L7+L37</x:f>
        <x:v>605036.7980547145</x:v>
      </x:c>
      <x:c r="M67" s="16" t="n">
        <x:f>M7+M37</x:f>
        <x:v>774705.9087123792</x:v>
      </x:c>
      <x:c r="N67" s="16" t="n">
        <x:f>N7+N37</x:f>
        <x:v>3.3141405023381916</x:v>
      </x:c>
      <x:c r="O67" s="16" t="n">
        <x:f>O7+O37</x:f>
        <x:v>4.346279249778091</x:v>
      </x:c>
      <x:c r="P67" s="16" t="n">
        <x:f>P7+P37</x:f>
        <x:v>2.218468259533953</x:v>
      </x:c>
      <x:c r="Q67" s="16" t="n">
        <x:f>Q7+Q37</x:f>
        <x:v>2.8405883319453897</x:v>
      </x:c>
      <x:c r="R67" s="16" t="n">
        <x:f>R7+R37</x:f>
        <x:v>4.346279249778091</x:v>
      </x:c>
      <x:c r="S67" s="16" t="n">
        <x:f>S7+S37</x:f>
        <x:v>2.8405883319453906</x:v>
      </x:c>
      <x:c r="T67" s="2"/>
      <x:c r="U67" s="2"/>
      <x:c r="V67" s="2" t="n">
        <x:f>V7+V37</x:f>
        <x:v>1.1047135007793973</x:v>
      </x:c>
    </x:row>
    <x:row r="68" ht="22" customHeight="1">
      <x:c r="A68" s="2" t="str">
        <x:v>CB_FAST</x:v>
      </x:c>
      <x:c r="B68" s="2" t="str">
        <x:v>UK total</x:v>
      </x:c>
      <x:c r="C68" s="2" t="n">
        <x:v>2030</x:v>
      </x:c>
      <x:c r="D68" s="16" t="n">
        <x:f>D8+D38</x:f>
        <x:v>1266650.0000000002</x:v>
      </x:c>
      <x:c r="E68" s="16" t="n">
        <x:f>E8+E38</x:f>
        <x:v>0</x:v>
      </x:c>
      <x:c r="F68" s="16" t="n">
        <x:f>F8+F38</x:f>
        <x:v>1266650.0000000002</x:v>
      </x:c>
      <x:c r="G68" s="16" t="n">
        <x:f>G8+G38</x:f>
        <x:v>159508066.6666667</x:v>
      </x:c>
      <x:c r="H68" s="16" t="n">
        <x:f>H8+H38</x:f>
        <x:v>1784786.7962611173</x:v>
      </x:c>
      <x:c r="I68" s="16" t="n">
        <x:f>I8+I38</x:f>
        <x:v>445612.00232612743</x:v>
      </x:c>
      <x:c r="J68" s="16" t="n">
        <x:f>J8+J38</x:f>
        <x:v>74432.48558895632</x:v>
      </x:c>
      <x:c r="K68" s="16" t="n">
        <x:f>K8+K38</x:f>
        <x:v>2304831.2841762016</x:v>
      </x:c>
      <x:c r="L68" s="16" t="n">
        <x:f>L8+L38</x:f>
        <x:v>880930.2956234288</x:v>
      </x:c>
      <x:c r="M68" s="16" t="n">
        <x:f>M8+M38</x:f>
        <x:v>1119482.397873086</x:v>
      </x:c>
      <x:c r="N68" s="16" t="n">
        <x:f>N8+N38</x:f>
        <x:v>6.544218252957431</x:v>
      </x:c>
      <x:c r="O68" s="16" t="n">
        <x:f>O8+O38</x:f>
        <x:v>8.451048041979405</x:v>
      </x:c>
      <x:c r="P68" s="16" t="n">
        <x:f>P8+P38</x:f>
        <x:v>3.2300777506192384</x:v>
      </x:c>
      <x:c r="Q68" s="16" t="n">
        <x:f>Q8+Q38</x:f>
        <x:v>4.104768792201315</x:v>
      </x:c>
      <x:c r="R68" s="16" t="n">
        <x:f>R8+R38</x:f>
        <x:v>8.451048041979405</x:v>
      </x:c>
      <x:c r="S68" s="16" t="n">
        <x:f>S8+S38</x:f>
        <x:v>4.104768792201314</x:v>
      </x:c>
      <x:c r="T68" s="2"/>
      <x:c r="U68" s="2"/>
      <x:c r="V68" s="2" t="n">
        <x:f>V8+V38</x:f>
        <x:v>1.6360545632393577</x:v>
      </x:c>
    </x:row>
    <x:row r="69" ht="22" customHeight="1">
      <x:c r="A69" s="2" t="str">
        <x:v>CB_FAST</x:v>
      </x:c>
      <x:c r="B69" s="2" t="str">
        <x:v>UK total</x:v>
      </x:c>
      <x:c r="C69" s="2" t="n">
        <x:v>2031</x:v>
      </x:c>
      <x:c r="D69" s="16" t="n">
        <x:f>D9+D39</x:f>
        <x:v>1266650.0000000002</x:v>
      </x:c>
      <x:c r="E69" s="16" t="n">
        <x:f>E9+E39</x:f>
        <x:v>0</x:v>
      </x:c>
      <x:c r="F69" s="16" t="n">
        <x:f>F9+F39</x:f>
        <x:v>1266650.0000000002</x:v>
      </x:c>
      <x:c r="G69" s="16" t="n">
        <x:f>G9+G39</x:f>
        <x:v>159508066.6666667</x:v>
      </x:c>
      <x:c r="H69" s="16" t="n">
        <x:f>H9+H39</x:f>
        <x:v>3415213.3913675575</x:v>
      </x:c>
      <x:c r="I69" s="16" t="n">
        <x:f>I9+I39</x:f>
        <x:v>852684.5228160523</x:v>
      </x:c>
      <x:c r="J69" s="16" t="n">
        <x:f>J9+J39</x:f>
        <x:v>93040.6069861954</x:v>
      </x:c>
      <x:c r="K69" s="16" t="n">
        <x:f>K9+K39</x:f>
        <x:v>4360938.521169805</x:v>
      </x:c>
      <x:c r="L69" s="16" t="n">
        <x:f>L9+L39</x:f>
        <x:v>1630426.5951064401</x:v>
      </x:c>
      <x:c r="M69" s="16" t="n">
        <x:f>M9+M39</x:f>
        <x:v>2056107.2369936039</x:v>
      </x:c>
      <x:c r="N69" s="16" t="n">
        <x:f>N9+N39</x:f>
        <x:v>12.522449101681044</x:v>
      </x:c>
      <x:c r="O69" s="16" t="n">
        <x:f>O9+O39</x:f>
        <x:v>15.990107910955953</x:v>
      </x:c>
      <x:c r="P69" s="16" t="n">
        <x:f>P9+P39</x:f>
        <x:v>5.978230848723614</x:v>
      </x:c>
      <x:c r="Q69" s="16" t="n">
        <x:f>Q9+Q39</x:f>
        <x:v>7.539059868976547</x:v>
      </x:c>
      <x:c r="R69" s="16" t="n">
        <x:f>R9+R39</x:f>
        <x:v>15.990107910955953</x:v>
      </x:c>
      <x:c r="S69" s="16" t="n">
        <x:f>S9+S39</x:f>
        <x:v>7.5390598689765485</x:v>
      </x:c>
      <x:c r="T69" s="2"/>
      <x:c r="U69" s="2"/>
      <x:c r="V69" s="2" t="n">
        <x:f>V9+V39</x:f>
        <x:v>2.504489820336209</x:v>
      </x:c>
    </x:row>
    <x:row r="70" ht="22" customHeight="1">
      <x:c r="A70" s="2" t="str">
        <x:v>CB_FAST</x:v>
      </x:c>
      <x:c r="B70" s="2" t="str">
        <x:v>UK total</x:v>
      </x:c>
      <x:c r="C70" s="2" t="n">
        <x:v>2032</x:v>
      </x:c>
      <x:c r="D70" s="16" t="n">
        <x:f>D10+D40</x:f>
        <x:v>1266650.0000000002</x:v>
      </x:c>
      <x:c r="E70" s="16" t="n">
        <x:f>E10+E40</x:f>
        <x:v>0</x:v>
      </x:c>
      <x:c r="F70" s="16" t="n">
        <x:f>F10+F40</x:f>
        <x:v>1266650.0000000002</x:v>
      </x:c>
      <x:c r="G70" s="16" t="n">
        <x:f>G10+G40</x:f>
        <x:v>159508066.6666667</x:v>
      </x:c>
      <x:c r="H70" s="16" t="n">
        <x:f>H10+H40</x:f>
        <x:v>6001240.151060274</x:v>
      </x:c>
      <x:c r="I70" s="16" t="n">
        <x:f>I10+I40</x:f>
        <x:v>1498344.029525573</x:v>
      </x:c>
      <x:c r="J70" s="16" t="n">
        <x:f>J10+J40</x:f>
        <x:v>111648.72838343447</x:v>
      </x:c>
      <x:c r="K70" s="16" t="n">
        <x:f>K10+K40</x:f>
        <x:v>7611232.908969281</x:v>
      </x:c>
      <x:c r="L70" s="16" t="n">
        <x:f>L10+L40</x:f>
        <x:v>2586026.7596927164</x:v>
      </x:c>
      <x:c r="M70" s="16" t="n">
        <x:f>M10+M40</x:f>
        <x:v>3250294.3877994763</x:v>
      </x:c>
      <x:c r="N70" s="16" t="n">
        <x:f>N10+N40</x:f>
        <x:v>22.004547220554336</x:v>
      </x:c>
      <x:c r="O70" s="16" t="n">
        <x:f>O10+O40</x:f>
        <x:v>27.90785399955403</x:v>
      </x:c>
      <x:c r="P70" s="16" t="n">
        <x:f>P10+P40</x:f>
        <x:v>9.482098118873294</x:v>
      </x:c>
      <x:c r="Q70" s="16" t="n">
        <x:f>Q10+Q40</x:f>
        <x:v>11.917746088598077</x:v>
      </x:c>
      <x:c r="R70" s="16" t="n">
        <x:f>R10+R40</x:f>
        <x:v>27.90785399955403</x:v>
      </x:c>
      <x:c r="S70" s="16" t="n">
        <x:f>S10+S40</x:f>
        <x:v>11.917746088598076</x:v>
      </x:c>
      <x:c r="T70" s="2"/>
      <x:c r="U70" s="2"/>
      <x:c r="V70" s="2" t="n">
        <x:f>V10+V40</x:f>
        <x:v>3.667424536759057</x:v>
      </x:c>
    </x:row>
    <x:row r="71" ht="22" customHeight="1">
      <x:c r="A71" s="2" t="str">
        <x:v>CB_FAST</x:v>
      </x:c>
      <x:c r="B71" s="2" t="str">
        <x:v>UK total</x:v>
      </x:c>
      <x:c r="C71" s="2" t="n">
        <x:v>2033</x:v>
      </x:c>
      <x:c r="D71" s="16" t="n">
        <x:f>D11+D41</x:f>
        <x:v>1266650.0000000002</x:v>
      </x:c>
      <x:c r="E71" s="16" t="n">
        <x:f>E11+E41</x:f>
        <x:v>0</x:v>
      </x:c>
      <x:c r="F71" s="16" t="n">
        <x:f>F11+F41</x:f>
        <x:v>1266650.0000000002</x:v>
      </x:c>
      <x:c r="G71" s="16" t="n">
        <x:f>G11+G41</x:f>
        <x:v>159508066.6666667</x:v>
      </x:c>
      <x:c r="H71" s="16" t="n">
        <x:f>H11+H41</x:f>
        <x:v>7113014.231275795</x:v>
      </x:c>
      <x:c r="I71" s="16" t="n">
        <x:f>I11+I41</x:f>
        <x:v>1775923.3320265568</x:v>
      </x:c>
      <x:c r="J71" s="16" t="n">
        <x:f>J11+J41</x:f>
        <x:v>130256.84978067355</x:v>
      </x:c>
      <x:c r="K71" s="16" t="n">
        <x:f>K11+K41</x:f>
        <x:v>9019194.413083024</x:v>
      </x:c>
      <x:c r="L71" s="16" t="n">
        <x:f>L11+L41</x:f>
        <x:v>1111774.0802155212</x:v>
      </x:c>
      <x:c r="M71" s="16" t="n">
        <x:f>M11+M41</x:f>
        <x:v>1407961.504113744</x:v>
      </x:c>
      <x:c r="N71" s="16" t="n">
        <x:f>N11+N41</x:f>
        <x:v>26.08105218134458</x:v>
      </x:c>
      <x:c r="O71" s="16" t="n">
        <x:f>O11+O41</x:f>
        <x:v>33.070379514637764</x:v>
      </x:c>
      <x:c r="P71" s="16" t="n">
        <x:f>P11+P41</x:f>
        <x:v>4.076504960790244</x:v>
      </x:c>
      <x:c r="Q71" s="16" t="n">
        <x:f>Q11+Q41</x:f>
        <x:v>5.162525515083728</x:v>
      </x:c>
      <x:c r="R71" s="16" t="n">
        <x:f>R11+R41</x:f>
        <x:v>33.070379514637764</x:v>
      </x:c>
      <x:c r="S71" s="16" t="n">
        <x:f>S11+S41</x:f>
        <x:v>5.162525515083732</x:v>
      </x:c>
      <x:c r="T71" s="2"/>
      <x:c r="U71" s="2"/>
      <x:c r="V71" s="2" t="n">
        <x:f>V11+V41</x:f>
        <x:v>3.7258645973349402</x:v>
      </x:c>
    </x:row>
    <x:row r="72" ht="22" customHeight="1">
      <x:c r="A72" s="2" t="str">
        <x:v>CB_FAST</x:v>
      </x:c>
      <x:c r="B72" s="2" t="str">
        <x:v>UK total</x:v>
      </x:c>
      <x:c r="C72" s="2" t="n">
        <x:v>2034</x:v>
      </x:c>
      <x:c r="D72" s="16" t="n">
        <x:f>D12+D42</x:f>
        <x:v>1266650.0000000002</x:v>
      </x:c>
      <x:c r="E72" s="16" t="n">
        <x:f>E12+E42</x:f>
        <x:v>0</x:v>
      </x:c>
      <x:c r="F72" s="16" t="n">
        <x:f>F12+F42</x:f>
        <x:v>1266650.0000000002</x:v>
      </x:c>
      <x:c r="G72" s="16" t="n">
        <x:f>G12+G42</x:f>
        <x:v>159508066.6666667</x:v>
      </x:c>
      <x:c r="H72" s="16" t="n">
        <x:f>H12+H42</x:f>
        <x:v>8224788.311491317</x:v>
      </x:c>
      <x:c r="I72" s="16" t="n">
        <x:f>I12+I42</x:f>
        <x:v>2053502.6345275412</x:v>
      </x:c>
      <x:c r="J72" s="16" t="n">
        <x:f>J12+J42</x:f>
        <x:v>148864.97117791264</x:v>
      </x:c>
      <x:c r="K72" s="16" t="n">
        <x:f>K12+K42</x:f>
        <x:v>10427155.917196771</x:v>
      </x:c>
      <x:c r="L72" s="16" t="n">
        <x:f>L12+L42</x:f>
        <x:v>1111774.0802155223</x:v>
      </x:c>
      <x:c r="M72" s="16" t="n">
        <x:f>M12+M42</x:f>
        <x:v>1407961.5041137454</x:v>
      </x:c>
      <x:c r="N72" s="16" t="n">
        <x:f>N12+N42</x:f>
        <x:v>30.15755714213483</x:v>
      </x:c>
      <x:c r="O72" s="16" t="n">
        <x:f>O12+O42</x:f>
        <x:v>38.23290502972149</x:v>
      </x:c>
      <x:c r="P72" s="16" t="n">
        <x:f>P12+P42</x:f>
        <x:v>4.076504960790249</x:v>
      </x:c>
      <x:c r="Q72" s="16" t="n">
        <x:f>Q12+Q42</x:f>
        <x:v>5.1625255150837335</x:v>
      </x:c>
      <x:c r="R72" s="16" t="n">
        <x:f>R12+R42</x:f>
        <x:v>38.23290502972149</x:v>
      </x:c>
      <x:c r="S72" s="16" t="n">
        <x:f>S12+S42</x:f>
        <x:v>5.1625255150837335</x:v>
      </x:c>
      <x:c r="T72" s="2"/>
      <x:c r="U72" s="2"/>
      <x:c r="V72" s="2" t="n">
        <x:f>V12+V42</x:f>
        <x:v>3.769694642766854</x:v>
      </x:c>
    </x:row>
    <x:row r="73" ht="22" customHeight="1">
      <x:c r="A73" s="2" t="str">
        <x:v>CB_FAST</x:v>
      </x:c>
      <x:c r="B73" s="2" t="str">
        <x:v>UK total</x:v>
      </x:c>
      <x:c r="C73" s="2" t="n">
        <x:v>2035</x:v>
      </x:c>
      <x:c r="D73" s="16" t="n">
        <x:f>D13+D43</x:f>
        <x:v>1266650.0000000002</x:v>
      </x:c>
      <x:c r="E73" s="16" t="n">
        <x:f>E13+E43</x:f>
        <x:v>0</x:v>
      </x:c>
      <x:c r="F73" s="16" t="n">
        <x:f>F13+F43</x:f>
        <x:v>1266650.0000000002</x:v>
      </x:c>
      <x:c r="G73" s="16" t="n">
        <x:f>G13+G43</x:f>
        <x:v>159508066.6666667</x:v>
      </x:c>
      <x:c r="H73" s="16" t="n">
        <x:f>H13+H43</x:f>
        <x:v>9336562.391706837</x:v>
      </x:c>
      <x:c r="I73" s="16" t="n">
        <x:f>I13+I43</x:f>
        <x:v>2331081.937028525</x:v>
      </x:c>
      <x:c r="J73" s="16" t="n">
        <x:f>J13+J43</x:f>
        <x:v>167473.0925751517</x:v>
      </x:c>
      <x:c r="K73" s="16" t="n">
        <x:f>K13+K43</x:f>
        <x:v>11835117.421310514</x:v>
      </x:c>
      <x:c r="L73" s="16" t="n">
        <x:f>L13+L43</x:f>
        <x:v>1111774.0802155193</x:v>
      </x:c>
      <x:c r="M73" s="16" t="n">
        <x:f>M13+M43</x:f>
        <x:v>1407961.5041137433</x:v>
      </x:c>
      <x:c r="N73" s="16" t="n">
        <x:f>N13+N43</x:f>
        <x:v>34.234062102925066</x:v>
      </x:c>
      <x:c r="O73" s="16" t="n">
        <x:f>O13+O43</x:f>
        <x:v>43.39543054480522</x:v>
      </x:c>
      <x:c r="P73" s="16" t="n">
        <x:f>P13+P43</x:f>
        <x:v>4.0765049607902375</x:v>
      </x:c>
      <x:c r="Q73" s="16" t="n">
        <x:f>Q13+Q43</x:f>
        <x:v>5.1625255150837255</x:v>
      </x:c>
      <x:c r="R73" s="16" t="n">
        <x:f>R13+R43</x:f>
        <x:v>43.39543054480522</x:v>
      </x:c>
      <x:c r="S73" s="16" t="n">
        <x:f>S13+S43</x:f>
        <x:v>5.1625255150837255</x:v>
      </x:c>
      <x:c r="T73" s="2"/>
      <x:c r="U73" s="2"/>
      <x:c r="V73" s="2" t="n">
        <x:f>V13+V43</x:f>
        <x:v>3.8037846781027858</x:v>
      </x:c>
    </x:row>
    <x:row r="74" ht="22" customHeight="1">
      <x:c r="A74" s="2" t="str">
        <x:v>CB_FAST</x:v>
      </x:c>
      <x:c r="B74" s="2" t="str">
        <x:v>UK total</x:v>
      </x:c>
      <x:c r="C74" s="2" t="n">
        <x:v>2036</x:v>
      </x:c>
      <x:c r="D74" s="16" t="n">
        <x:f>D14+D44</x:f>
        <x:v>1266650.0000000002</x:v>
      </x:c>
      <x:c r="E74" s="16" t="n">
        <x:f>E14+E44</x:f>
        <x:v>0</x:v>
      </x:c>
      <x:c r="F74" s="16" t="n">
        <x:f>F14+F44</x:f>
        <x:v>1266650.0000000002</x:v>
      </x:c>
      <x:c r="G74" s="16" t="n">
        <x:f>G14+G44</x:f>
        <x:v>159508066.6666667</x:v>
      </x:c>
      <x:c r="H74" s="16" t="n">
        <x:f>H14+H44</x:f>
        <x:v>11217184.637426488</x:v>
      </x:c>
      <x:c r="I74" s="16" t="n">
        <x:f>I14+I44</x:f>
        <x:v>2800621.4059946476</x:v>
      </x:c>
      <x:c r="J74" s="16" t="n">
        <x:f>J14+J44</x:f>
        <x:v>186081.2139723908</x:v>
      </x:c>
      <x:c r="K74" s="16" t="n">
        <x:f>K14+K44</x:f>
        <x:v>14203887.257393526</x:v>
      </x:c>
      <x:c r="L74" s="16" t="n">
        <x:f>L14+L44</x:f>
        <x:v>1880622.2457196512</x:v>
      </x:c>
      <x:c r="M74" s="16" t="n">
        <x:f>M14+M44</x:f>
        <x:v>2368769.8360830126</x:v>
      </x:c>
      <x:c r="N74" s="16" t="n">
        <x:f>N14+N44</x:f>
        <x:v>41.12967700389712</x:v>
      </x:c>
      <x:c r="O74" s="16" t="n">
        <x:f>O14+O44</x:f>
        <x:v>52.08091994377627</x:v>
      </x:c>
      <x:c r="P74" s="16" t="n">
        <x:f>P14+P44</x:f>
        <x:v>6.895614900972054</x:v>
      </x:c>
      <x:c r="Q74" s="16" t="n">
        <x:f>Q14+Q44</x:f>
        <x:v>8.685489398971045</x:v>
      </x:c>
      <x:c r="R74" s="16" t="n">
        <x:f>R14+R44</x:f>
        <x:v>52.08091994377627</x:v>
      </x:c>
      <x:c r="S74" s="16" t="n">
        <x:f>S14+S44</x:f>
        <x:v>8.685489398971052</x:v>
      </x:c>
      <x:c r="T74" s="2"/>
      <x:c r="U74" s="2"/>
      <x:c r="V74" s="2" t="n">
        <x:f>V14+V44</x:f>
        <x:v>4.112967700389712</x:v>
      </x:c>
    </x:row>
    <x:row r="75" ht="22" customHeight="1">
      <x:c r="A75" s="2" t="str">
        <x:v>CB_FAST</x:v>
      </x:c>
      <x:c r="B75" s="2" t="str">
        <x:v>UK total</x:v>
      </x:c>
      <x:c r="C75" s="2" t="n">
        <x:v>2037</x:v>
      </x:c>
      <x:c r="D75" s="16" t="n">
        <x:f>D15+D45</x:f>
        <x:v>1266650.0000000002</x:v>
      </x:c>
      <x:c r="E75" s="16" t="n">
        <x:f>E15+E45</x:f>
        <x:v>0</x:v>
      </x:c>
      <x:c r="F75" s="16" t="n">
        <x:f>F15+F45</x:f>
        <x:v>1266650.0000000002</x:v>
      </x:c>
      <x:c r="G75" s="16" t="n">
        <x:f>G15+G45</x:f>
        <x:v>159508066.6666667</x:v>
      </x:c>
      <x:c r="H75" s="16" t="n">
        <x:f>H15+H45</x:f>
        <x:v>13985339.953512771</x:v>
      </x:c>
      <x:c r="I75" s="16" t="n">
        <x:f>I15+I45</x:f>
        <x:v>3491753.3864278197</x:v>
      </x:c>
      <x:c r="J75" s="16" t="n">
        <x:f>J15+J45</x:f>
        <x:v>204689.33536962987</x:v>
      </x:c>
      <x:c r="K75" s="16" t="n">
        <x:f>K15+K45</x:f>
        <x:v>17681782.67531022</x:v>
      </x:c>
      <x:c r="L75" s="16" t="n">
        <x:f>L15+L45</x:f>
        <x:v>2768155.316086284</x:v>
      </x:c>
      <x:c r="M75" s="16" t="n">
        <x:f>M15+M45</x:f>
        <x:v>3477895.4179166937</x:v>
      </x:c>
      <x:c r="N75" s="16" t="n">
        <x:f>N15+N45</x:f>
        <x:v>51.27957982954683</x:v>
      </x:c>
      <x:c r="O75" s="16" t="n">
        <x:f>O15+O45</x:f>
        <x:v>64.83320314280415</x:v>
      </x:c>
      <x:c r="P75" s="16" t="n">
        <x:f>P15+P45</x:f>
        <x:v>10.149902825649706</x:v>
      </x:c>
      <x:c r="Q75" s="16" t="n">
        <x:f>Q15+Q45</x:f>
        <x:v>12.752283199027877</x:v>
      </x:c>
      <x:c r="R75" s="16" t="n">
        <x:f>R15+R45</x:f>
        <x:v>64.83320314280415</x:v>
      </x:c>
      <x:c r="S75" s="16" t="n">
        <x:f>S15+S45</x:f>
        <x:v>12.752283199027874</x:v>
      </x:c>
      <x:c r="T75" s="2"/>
      <x:c r="U75" s="2"/>
      <x:c r="V75" s="2" t="n">
        <x:f>V15+V45</x:f>
        <x:v>4.661779984504259</x:v>
      </x:c>
    </x:row>
    <x:row r="76" ht="22" customHeight="1">
      <x:c r="A76" s="2" t="str">
        <x:v>CB_FAST</x:v>
      </x:c>
      <x:c r="B76" s="2" t="str">
        <x:v>UK total</x:v>
      </x:c>
      <x:c r="C76" s="2" t="n">
        <x:v>2038</x:v>
      </x:c>
      <x:c r="D76" s="16" t="n">
        <x:f>D16+D46</x:f>
        <x:v>1266650.0000000002</x:v>
      </x:c>
      <x:c r="E76" s="16" t="n">
        <x:f>E16+E46</x:f>
        <x:v>0</x:v>
      </x:c>
      <x:c r="F76" s="16" t="n">
        <x:f>F16+F46</x:f>
        <x:v>1266650.0000000002</x:v>
      </x:c>
      <x:c r="G76" s="16" t="n">
        <x:f>G16+G46</x:f>
        <x:v>159508066.6666667</x:v>
      </x:c>
      <x:c r="H76" s="16" t="n">
        <x:f>H16+H46</x:f>
        <x:v>16753495.26959906</x:v>
      </x:c>
      <x:c r="I76" s="16" t="n">
        <x:f>I16+I46</x:f>
        <x:v>4182885.366860993</x:v>
      </x:c>
      <x:c r="J76" s="16" t="n">
        <x:f>J16+J46</x:f>
        <x:v>223297.45676686894</x:v>
      </x:c>
      <x:c r="K76" s="16" t="n">
        <x:f>K16+K46</x:f>
        <x:v>21159678.09322692</x:v>
      </x:c>
      <x:c r="L76" s="16" t="n">
        <x:f>L16+L46</x:f>
        <x:v>2768155.3160862876</x:v>
      </x:c>
      <x:c r="M76" s="16" t="n">
        <x:f>M16+M46</x:f>
        <x:v>3477895.4179167</x:v>
      </x:c>
      <x:c r="N76" s="16" t="n">
        <x:f>N16+N46</x:f>
        <x:v>61.42948265519655</x:v>
      </x:c>
      <x:c r="O76" s="16" t="n">
        <x:f>O16+O46</x:f>
        <x:v>77.58548634183204</x:v>
      </x:c>
      <x:c r="P76" s="16" t="n">
        <x:f>P16+P46</x:f>
        <x:v>10.149902825649722</x:v>
      </x:c>
      <x:c r="Q76" s="16" t="n">
        <x:f>Q16+Q46</x:f>
        <x:v>12.7522831990279</x:v>
      </x:c>
      <x:c r="R76" s="16" t="n">
        <x:f>R16+R46</x:f>
        <x:v>77.58548634183204</x:v>
      </x:c>
      <x:c r="S76" s="16" t="n">
        <x:f>S16+S46</x:f>
        <x:v>12.75228319902789</x:v>
      </x:c>
      <x:c r="T76" s="2"/>
      <x:c r="U76" s="2"/>
      <x:c r="V76" s="2" t="n">
        <x:f>V16+V46</x:f>
        <x:v>5.119123554599714</x:v>
      </x:c>
    </x:row>
    <x:row r="77" ht="22" customHeight="1">
      <x:c r="A77" s="2" t="str">
        <x:v>CB_FAST</x:v>
      </x:c>
      <x:c r="B77" s="2" t="str">
        <x:v>UK total</x:v>
      </x:c>
      <x:c r="C77" s="2" t="n">
        <x:v>2039</x:v>
      </x:c>
      <x:c r="D77" s="16" t="n">
        <x:f>D17+D47</x:f>
        <x:v>1266650.0000000002</x:v>
      </x:c>
      <x:c r="E77" s="16" t="n">
        <x:f>E17+E47</x:f>
        <x:v>0</x:v>
      </x:c>
      <x:c r="F77" s="16" t="n">
        <x:f>F17+F47</x:f>
        <x:v>1266650.0000000002</x:v>
      </x:c>
      <x:c r="G77" s="16" t="n">
        <x:f>G17+G47</x:f>
        <x:v>159508066.6666667</x:v>
      </x:c>
      <x:c r="H77" s="16" t="n">
        <x:f>H17+H47</x:f>
        <x:v>19521650.585685343</x:v>
      </x:c>
      <x:c r="I77" s="16" t="n">
        <x:f>I17+I47</x:f>
        <x:v>4874017.347294166</x:v>
      </x:c>
      <x:c r="J77" s="16" t="n">
        <x:f>J17+J47</x:f>
        <x:v>241905.57816410804</x:v>
      </x:c>
      <x:c r="K77" s="16" t="n">
        <x:f>K17+K47</x:f>
        <x:v>24637573.511143617</x:v>
      </x:c>
      <x:c r="L77" s="16" t="n">
        <x:f>L17+L47</x:f>
        <x:v>2768155.3160862834</x:v>
      </x:c>
      <x:c r="M77" s="16" t="n">
        <x:f>M17+M47</x:f>
        <x:v>3477895.4179166956</x:v>
      </x:c>
      <x:c r="N77" s="16" t="n">
        <x:f>N17+N47</x:f>
        <x:v>71.57938548084626</x:v>
      </x:c>
      <x:c r="O77" s="16" t="n">
        <x:f>O17+O47</x:f>
        <x:v>90.33776954085992</x:v>
      </x:c>
      <x:c r="P77" s="16" t="n">
        <x:f>P17+P47</x:f>
        <x:v>10.149902825649706</x:v>
      </x:c>
      <x:c r="Q77" s="16" t="n">
        <x:f>Q17+Q47</x:f>
        <x:v>12.752283199027884</x:v>
      </x:c>
      <x:c r="R77" s="16" t="n">
        <x:f>R17+R47</x:f>
        <x:v>90.33776954085992</x:v>
      </x:c>
      <x:c r="S77" s="16" t="n">
        <x:f>S17+S47</x:f>
        <x:v>12.752283199027888</x:v>
      </x:c>
      <x:c r="T77" s="2"/>
      <x:c r="U77" s="2"/>
      <x:c r="V77" s="2" t="n">
        <x:f>V17+V47</x:f>
        <x:v>5.506106575449712</x:v>
      </x:c>
    </x:row>
    <x:row r="78" ht="22" customHeight="1">
      <x:c r="A78" s="2" t="str">
        <x:v>CB_FAST</x:v>
      </x:c>
      <x:c r="B78" s="2" t="str">
        <x:v>UK total</x:v>
      </x:c>
      <x:c r="C78" s="2" t="n">
        <x:v>2040</x:v>
      </x:c>
      <x:c r="D78" s="16" t="n">
        <x:f>D18+D48</x:f>
        <x:v>1266650.0000000002</x:v>
      </x:c>
      <x:c r="E78" s="16" t="n">
        <x:f>E18+E48</x:f>
        <x:v>0</x:v>
      </x:c>
      <x:c r="F78" s="16" t="n">
        <x:f>F18+F48</x:f>
        <x:v>1266650.0000000002</x:v>
      </x:c>
      <x:c r="G78" s="16" t="n">
        <x:f>G18+G48</x:f>
        <x:v>159508066.6666667</x:v>
      </x:c>
      <x:c r="H78" s="16" t="n">
        <x:f>H18+H48</x:f>
        <x:v>21287167.459118273</x:v>
      </x:c>
      <x:c r="I78" s="16" t="n">
        <x:f>I18+I48</x:f>
        <x:v>5314818.181746278</x:v>
      </x:c>
      <x:c r="J78" s="16" t="n">
        <x:f>J18+J48</x:f>
        <x:v>260513.6995613471</x:v>
      </x:c>
      <x:c r="K78" s="16" t="n">
        <x:f>K18+K48</x:f>
        <x:v>26862499.340425897</x:v>
      </x:c>
      <x:c r="L78" s="16" t="n">
        <x:f>L18+L48</x:f>
        <x:v>1765516.8734329315</x:v>
      </x:c>
      <x:c r="M78" s="16" t="n">
        <x:f>M18+M48</x:f>
        <x:v>2224925.8292822824</x:v>
      </x:c>
      <x:c r="N78" s="16" t="n">
        <x:f>N18+N48</x:f>
        <x:v>78.05294735010034</x:v>
      </x:c>
      <x:c r="O78" s="16" t="n">
        <x:f>O18+O48</x:f>
        <x:v>98.49583091489495</x:v>
      </x:c>
      <x:c r="P78" s="16" t="n">
        <x:f>P18+P48</x:f>
        <x:v>6.473561869254082</x:v>
      </x:c>
      <x:c r="Q78" s="16" t="n">
        <x:f>Q18+Q48</x:f>
        <x:v>8.158061374035036</x:v>
      </x:c>
      <x:c r="R78" s="16" t="n">
        <x:f>R18+R48</x:f>
        <x:v>98.49583091489495</x:v>
      </x:c>
      <x:c r="S78" s="16" t="n">
        <x:f>S18+S48</x:f>
        <x:v>8.158061374035038</x:v>
      </x:c>
      <x:c r="T78" s="2"/>
      <x:c r="U78" s="2"/>
      <x:c r="V78" s="2" t="n">
        <x:f>V18+V48</x:f>
        <x:v>5.575210525007167</x:v>
      </x:c>
    </x:row>
    <x:row r="79" ht="22" customHeight="1">
      <x:c r="A79" s="2" t="str">
        <x:v>CB_FAST</x:v>
      </x:c>
      <x:c r="B79" s="2" t="str">
        <x:v>UK total</x:v>
      </x:c>
      <x:c r="C79" s="2" t="n">
        <x:v>2041</x:v>
      </x:c>
      <x:c r="D79" s="16" t="n">
        <x:f>D19+D49</x:f>
        <x:v>1266650.0000000002</x:v>
      </x:c>
      <x:c r="E79" s="16" t="n">
        <x:f>E19+E49</x:f>
        <x:v>0</x:v>
      </x:c>
      <x:c r="F79" s="16" t="n">
        <x:f>F19+F49</x:f>
        <x:v>1266650.0000000002</x:v>
      </x:c>
      <x:c r="G79" s="16" t="n">
        <x:f>G19+G49</x:f>
        <x:v>159508066.6666667</x:v>
      </x:c>
      <x:c r="H79" s="16" t="n">
        <x:f>H19+H49</x:f>
        <x:v>24110746.958058327</x:v>
      </x:c>
      <x:c r="I79" s="16" t="n">
        <x:f>I19+I49</x:f>
        <x:v>6019788.050912433</x:v>
      </x:c>
      <x:c r="J79" s="16" t="n">
        <x:f>J19+J49</x:f>
        <x:v>279121.8209585862</x:v>
      </x:c>
      <x:c r="K79" s="16" t="n">
        <x:f>K19+K49</x:f>
        <x:v>30409656.829929348</x:v>
      </x:c>
      <x:c r="L79" s="16" t="n">
        <x:f>L19+L49</x:f>
        <x:v>2823579.4989400553</x:v>
      </x:c>
      <x:c r="M79" s="16" t="n">
        <x:f>M19+M49</x:f>
        <x:v>3547157.48950345</x:v>
      </x:c>
      <x:c r="N79" s="16" t="n">
        <x:f>N19+N49</x:f>
        <x:v>88.40607217954721</x:v>
      </x:c>
      <x:c r="O79" s="16" t="n">
        <x:f>O19+O49</x:f>
        <x:v>111.50207504307429</x:v>
      </x:c>
      <x:c r="P79" s="16" t="n">
        <x:f>P19+P49</x:f>
        <x:v>10.35312482944687</x:v>
      </x:c>
      <x:c r="Q79" s="16" t="n">
        <x:f>Q19+Q49</x:f>
        <x:v>13.006244128179317</x:v>
      </x:c>
      <x:c r="R79" s="16" t="n">
        <x:f>R19+R49</x:f>
        <x:v>111.50207504307429</x:v>
      </x:c>
      <x:c r="S79" s="16" t="n">
        <x:f>S19+S49</x:f>
        <x:v>13.006244128179326</x:v>
      </x:c>
      <x:c r="T79" s="2"/>
      <x:c r="U79" s="2"/>
      <x:c r="V79" s="2" t="n">
        <x:f>V19+V49</x:f>
        <x:v>5.893738145303148</x:v>
      </x:c>
    </x:row>
    <x:row r="80" ht="22" customHeight="1">
      <x:c r="A80" s="2" t="str">
        <x:v>CB_FAST</x:v>
      </x:c>
      <x:c r="B80" s="2" t="str">
        <x:v>UK total</x:v>
      </x:c>
      <x:c r="C80" s="2" t="n">
        <x:v>2042</x:v>
      </x:c>
      <x:c r="D80" s="16" t="n">
        <x:f>D20+D50</x:f>
        <x:v>1266650.0000000002</x:v>
      </x:c>
      <x:c r="E80" s="16" t="n">
        <x:f>E20+E50</x:f>
        <x:v>0</x:v>
      </x:c>
      <x:c r="F80" s="16" t="n">
        <x:f>F20+F50</x:f>
        <x:v>1266650.0000000002</x:v>
      </x:c>
      <x:c r="G80" s="16" t="n">
        <x:f>G20+G50</x:f>
        <x:v>159508066.6666667</x:v>
      </x:c>
      <x:c r="H80" s="16" t="n">
        <x:f>H20+H50</x:f>
        <x:v>27171960.562373757</x:v>
      </x:c>
      <x:c r="I80" s="16" t="n">
        <x:f>I20+I50</x:f>
        <x:v>6784088.597411662</x:v>
      </x:c>
      <x:c r="J80" s="16" t="n">
        <x:f>J20+J50</x:f>
        <x:v>297729.9423558253</x:v>
      </x:c>
      <x:c r="K80" s="16" t="n">
        <x:f>K20+K50</x:f>
        <x:v>34253779.102141246</x:v>
      </x:c>
      <x:c r="L80" s="16" t="n">
        <x:f>L20+L50</x:f>
        <x:v>3061213.6043154295</x:v>
      </x:c>
      <x:c r="M80" s="16" t="n">
        <x:f>M20+M50</x:f>
        <x:v>3844122.272211897</x:v>
      </x:c>
      <x:c r="N80" s="16" t="n">
        <x:f>N20+N50</x:f>
        <x:v>99.63052206203713</x:v>
      </x:c>
      <x:c r="O80" s="16" t="n">
        <x:f>O20+O50</x:f>
        <x:v>125.59719004118456</x:v>
      </x:c>
      <x:c r="P80" s="16" t="n">
        <x:f>P20+P50</x:f>
        <x:v>11.224449882489907</x:v>
      </x:c>
      <x:c r="Q80" s="16" t="n">
        <x:f>Q20+Q50</x:f>
        <x:v>14.09511499811029</x:v>
      </x:c>
      <x:c r="R80" s="16" t="n">
        <x:f>R20+R50</x:f>
        <x:v>125.59719004118456</x:v>
      </x:c>
      <x:c r="S80" s="16" t="n">
        <x:f>S20+S50</x:f>
        <x:v>14.095114998110281</x:v>
      </x:c>
      <x:c r="T80" s="2"/>
      <x:c r="U80" s="2"/>
      <x:c r="V80" s="2" t="n">
        <x:f>V20+V50</x:f>
        <x:v>6.226907628877321</x:v>
      </x:c>
    </x:row>
    <x:row r="81" ht="22" customHeight="1">
      <x:c r="A81" s="2" t="str">
        <x:v>CB_FAST</x:v>
      </x:c>
      <x:c r="B81" s="2" t="str">
        <x:v>UK total</x:v>
      </x:c>
      <x:c r="C81" s="2" t="n">
        <x:v>2043</x:v>
      </x:c>
      <x:c r="D81" s="16" t="n">
        <x:f>D21+D51</x:f>
        <x:v>1266650.0000000002</x:v>
      </x:c>
      <x:c r="E81" s="16" t="n">
        <x:f>E21+E51</x:f>
        <x:v>0</x:v>
      </x:c>
      <x:c r="F81" s="16" t="n">
        <x:f>F21+F51</x:f>
        <x:v>1266650.0000000002</x:v>
      </x:c>
      <x:c r="G81" s="16" t="n">
        <x:f>G21+G51</x:f>
        <x:v>159508066.6666667</x:v>
      </x:c>
      <x:c r="H81" s="16" t="n">
        <x:f>H21+H51</x:f>
        <x:v>30025117.514509328</x:v>
      </x:c>
      <x:c r="I81" s="16" t="n">
        <x:f>I21+I51</x:f>
        <x:v>7496443.140293339</x:v>
      </x:c>
      <x:c r="J81" s="16" t="n">
        <x:f>J21+J51</x:f>
        <x:v>316338.0637530644</x:v>
      </x:c>
      <x:c r="K81" s="16" t="n">
        <x:f>K21+K51</x:f>
        <x:v>37837898.71855573</x:v>
      </x:c>
      <x:c r="L81" s="16" t="n">
        <x:f>L21+L51</x:f>
        <x:v>2853156.952135567</x:v>
      </x:c>
      <x:c r="M81" s="16" t="n">
        <x:f>M21+M51</x:f>
        <x:v>3584119.6164144846</x:v>
      </x:c>
      <x:c r="N81" s="16" t="n">
        <x:f>N21+N51</x:f>
        <x:v>110.09209755320087</x:v>
      </x:c>
      <x:c r="O81" s="16" t="n">
        <x:f>O21+O51</x:f>
        <x:v>138.7389619680377</x:v>
      </x:c>
      <x:c r="P81" s="16" t="n">
        <x:f>P21+P51</x:f>
        <x:v>10.461575491163746</x:v>
      </x:c>
      <x:c r="Q81" s="16" t="n">
        <x:f>Q21+Q51</x:f>
        <x:v>13.141771926853112</x:v>
      </x:c>
      <x:c r="R81" s="16" t="n">
        <x:f>R21+R51</x:f>
        <x:v>138.7389619680377</x:v>
      </x:c>
      <x:c r="S81" s="16" t="n">
        <x:f>S21+S51</x:f>
        <x:v>13.141771926853123</x:v>
      </x:c>
      <x:c r="T81" s="2"/>
      <x:c r="U81" s="2"/>
      <x:c r="V81" s="2" t="n">
        <x:f>V21+V51</x:f>
        <x:v>6.47600573842358</x:v>
      </x:c>
    </x:row>
    <x:row r="82" ht="22" customHeight="1">
      <x:c r="A82" s="2" t="str">
        <x:v>CB_FAST</x:v>
      </x:c>
      <x:c r="B82" s="2" t="str">
        <x:v>UK total</x:v>
      </x:c>
      <x:c r="C82" s="2" t="n">
        <x:v>2044</x:v>
      </x:c>
      <x:c r="D82" s="16" t="n">
        <x:f>D22+D52</x:f>
        <x:v>1266650.0000000002</x:v>
      </x:c>
      <x:c r="E82" s="16" t="n">
        <x:f>E22+E52</x:f>
        <x:v>0</x:v>
      </x:c>
      <x:c r="F82" s="16" t="n">
        <x:f>F22+F52</x:f>
        <x:v>1266650.0000000002</x:v>
      </x:c>
      <x:c r="G82" s="16" t="n">
        <x:f>G22+G52</x:f>
        <x:v>159508066.6666667</x:v>
      </x:c>
      <x:c r="H82" s="16" t="n">
        <x:f>H22+H52</x:f>
        <x:v>33158695.037090726</x:v>
      </x:c>
      <x:c r="I82" s="16" t="n">
        <x:f>I22+I52</x:f>
        <x:v>8278810.95991573</x:v>
      </x:c>
      <x:c r="J82" s="16" t="n">
        <x:f>J22+J52</x:f>
        <x:v>334946.1851503034</x:v>
      </x:c>
      <x:c r="K82" s="16" t="n">
        <x:f>K22+K52</x:f>
        <x:v>41772452.182156764</x:v>
      </x:c>
      <x:c r="L82" s="16" t="n">
        <x:f>L22+L52</x:f>
        <x:v>3133577.5225813994</x:v>
      </x:c>
      <x:c r="M82" s="16" t="n">
        <x:f>M22+M52</x:f>
        <x:v>3934553.4636010323</x:v>
      </x:c>
      <x:c r="N82" s="16" t="n">
        <x:f>N22+N52</x:f>
        <x:v>121.58188180266599</x:v>
      </x:c>
      <x:c r="O82" s="16" t="n">
        <x:f>O22+O52</x:f>
        <x:v>153.16565800124147</x:v>
      </x:c>
      <x:c r="P82" s="16" t="n">
        <x:f>P22+P52</x:f>
        <x:v>11.48978424946513</x:v>
      </x:c>
      <x:c r="Q82" s="16" t="n">
        <x:f>Q22+Q52</x:f>
        <x:v>14.426696033203784</x:v>
      </x:c>
      <x:c r="R82" s="16" t="n">
        <x:f>R22+R52</x:f>
        <x:v>153.16565800124147</x:v>
      </x:c>
      <x:c r="S82" s="16" t="n">
        <x:f>S22+S52</x:f>
        <x:v>14.426696033203779</x:v>
      </x:c>
      <x:c r="T82" s="2"/>
      <x:c r="U82" s="2"/>
      <x:c r="V82" s="2" t="n">
        <x:f>V22+V52</x:f>
        <x:v>6.754548989037</x:v>
      </x:c>
    </x:row>
    <x:row r="83" ht="22" customHeight="1">
      <x:c r="A83" s="2" t="str">
        <x:v>CB_FAST</x:v>
      </x:c>
      <x:c r="B83" s="2" t="str">
        <x:v>UK total</x:v>
      </x:c>
      <x:c r="C83" s="2" t="n">
        <x:v>2045</x:v>
      </x:c>
      <x:c r="D83" s="16" t="n">
        <x:f>D23+D53</x:f>
        <x:v>1266650.0000000002</x:v>
      </x:c>
      <x:c r="E83" s="16" t="n">
        <x:f>E23+E53</x:f>
        <x:v>0</x:v>
      </x:c>
      <x:c r="F83" s="16" t="n">
        <x:f>F23+F53</x:f>
        <x:v>1266650.0000000002</x:v>
      </x:c>
      <x:c r="G83" s="16" t="n">
        <x:f>G23+G53</x:f>
        <x:v>159508066.6666667</x:v>
      </x:c>
      <x:c r="H83" s="16" t="n">
        <x:f>H23+H53</x:f>
        <x:v>35381155.430488855</x:v>
      </x:c>
      <x:c r="I83" s="16" t="n">
        <x:f>I23+I53</x:f>
        <x:v>8833697.979512306</x:v>
      </x:c>
      <x:c r="J83" s="16" t="n">
        <x:f>J23+J53</x:f>
        <x:v>353554.3065475425</x:v>
      </x:c>
      <x:c r="K83" s="16" t="n">
        <x:f>K23+K53</x:f>
        <x:v>44568407.7165487</x:v>
      </x:c>
      <x:c r="L83" s="16" t="n">
        <x:f>L23+L53</x:f>
        <x:v>2222460.3933981284</x:v>
      </x:c>
      <x:c r="M83" s="16" t="n">
        <x:f>M23+M53</x:f>
        <x:v>2795955.5343919443</x:v>
      </x:c>
      <x:c r="N83" s="16" t="n">
        <x:f>N23+N53</x:f>
        <x:v>129.7309032451258</x:v>
      </x:c>
      <x:c r="O83" s="16" t="n">
        <x:f>O23+O53</x:f>
        <x:v>163.4174949606786</x:v>
      </x:c>
      <x:c r="P83" s="16" t="n">
        <x:f>P23+P53</x:f>
        <x:v>8.149021442459805</x:v>
      </x:c>
      <x:c r="Q83" s="16" t="n">
        <x:f>Q23+Q53</x:f>
        <x:v>10.25183695943713</x:v>
      </x:c>
      <x:c r="R83" s="16" t="n">
        <x:f>R23+R53</x:f>
        <x:v>163.4174949606786</x:v>
      </x:c>
      <x:c r="S83" s="16" t="n">
        <x:f>S23+S53</x:f>
        <x:v>10.251836959437124</x:v>
      </x:c>
      <x:c r="T83" s="2"/>
      <x:c r="U83" s="2"/>
      <x:c r="V83" s="2" t="n">
        <x:f>V23+V53</x:f>
        <x:v>6.827942276059252</x:v>
      </x:c>
    </x:row>
    <x:row r="84" ht="22" customHeight="1">
      <x:c r="A84" s="2" t="str">
        <x:v>CB_FAST</x:v>
      </x:c>
      <x:c r="B84" s="2" t="str">
        <x:v>UK total</x:v>
      </x:c>
      <x:c r="C84" s="2" t="n">
        <x:v>2046</x:v>
      </x:c>
      <x:c r="D84" s="16" t="n">
        <x:f>D24+D54</x:f>
        <x:v>1266650.0000000002</x:v>
      </x:c>
      <x:c r="E84" s="16" t="n">
        <x:f>E24+E54</x:f>
        <x:v>0</x:v>
      </x:c>
      <x:c r="F84" s="16" t="n">
        <x:f>F24+F54</x:f>
        <x:v>1266650.0000000002</x:v>
      </x:c>
      <x:c r="G84" s="16" t="n">
        <x:f>G24+G54</x:f>
        <x:v>159508066.6666667</x:v>
      </x:c>
      <x:c r="H84" s="16" t="n">
        <x:f>H24+H54</x:f>
        <x:v>36689687.23529534</x:v>
      </x:c>
      <x:c r="I84" s="16" t="n">
        <x:f>I24+I54</x:f>
        <x:v>9160402.255266</x:v>
      </x:c>
      <x:c r="J84" s="16" t="n">
        <x:f>J24+J54</x:f>
        <x:v>372162.4279447816</x:v>
      </x:c>
      <x:c r="K84" s="16" t="n">
        <x:f>K24+K54</x:f>
        <x:v>46222251.91850612</x:v>
      </x:c>
      <x:c r="L84" s="16" t="n">
        <x:f>L24+L54</x:f>
        <x:v>1308531.8048064904</x:v>
      </x:c>
      <x:c r="M84" s="16" t="n">
        <x:f>M24+M54</x:f>
        <x:v>1653844.2019574195</x:v>
      </x:c>
      <x:c r="N84" s="16" t="n">
        <x:f>N24+N54</x:f>
        <x:v>134.52885319608293</x:v>
      </x:c>
      <x:c r="O84" s="16" t="n">
        <x:f>O24+O54</x:f>
        <x:v>169.4815903678558</x:v>
      </x:c>
      <x:c r="P84" s="16" t="n">
        <x:f>P24+P54</x:f>
        <x:v>4.797949950957132</x:v>
      </x:c>
      <x:c r="Q84" s="16" t="n">
        <x:f>Q24+Q54</x:f>
        <x:v>6.064095407177206</x:v>
      </x:c>
      <x:c r="R84" s="16" t="n">
        <x:f>R24+R54</x:f>
        <x:v>169.4815903678558</x:v>
      </x:c>
      <x:c r="S84" s="16" t="n">
        <x:f>S24+S54</x:f>
        <x:v>6.064095407177213</x:v>
      </x:c>
      <x:c r="T84" s="2"/>
      <x:c r="U84" s="2"/>
      <x:c r="V84" s="2" t="n">
        <x:f>V24+V54</x:f>
        <x:v>6.726442659804148</x:v>
      </x:c>
    </x:row>
    <x:row r="85" ht="22" customHeight="1">
      <x:c r="A85" s="2" t="str">
        <x:v>CB_FAST</x:v>
      </x:c>
      <x:c r="B85" s="2" t="str">
        <x:v>UK total</x:v>
      </x:c>
      <x:c r="C85" s="2" t="n">
        <x:v>2047</x:v>
      </x:c>
      <x:c r="D85" s="16" t="n">
        <x:f>D25+D55</x:f>
        <x:v>1266650.0000000002</x:v>
      </x:c>
      <x:c r="E85" s="16" t="n">
        <x:f>E25+E55</x:f>
        <x:v>0</x:v>
      </x:c>
      <x:c r="F85" s="16" t="n">
        <x:f>F25+F55</x:f>
        <x:v>1266650.0000000002</x:v>
      </x:c>
      <x:c r="G85" s="16" t="n">
        <x:f>G25+G55</x:f>
        <x:v>159508066.6666667</x:v>
      </x:c>
      <x:c r="H85" s="16" t="n">
        <x:f>H25+H55</x:f>
        <x:v>38800165.330774</x:v>
      </x:c>
      <x:c r="I85" s="16" t="n">
        <x:f>I25+I55</x:f>
        <x:v>9687330.385820191</x:v>
      </x:c>
      <x:c r="J85" s="16" t="n">
        <x:f>J25+J55</x:f>
        <x:v>390770.54934202065</x:v>
      </x:c>
      <x:c r="K85" s="16" t="n">
        <x:f>K25+K55</x:f>
        <x:v>48878266.26593622</x:v>
      </x:c>
      <x:c r="L85" s="16" t="n">
        <x:f>L25+L55</x:f>
        <x:v>2110478.0954786586</x:v>
      </x:c>
      <x:c r="M85" s="16" t="n">
        <x:f>M25+M55</x:f>
        <x:v>2656014.3474300914</x:v>
      </x:c>
      <x:c r="N85" s="16" t="n">
        <x:f>N25+N55</x:f>
        <x:v>142.26727287950467</x:v>
      </x:c>
      <x:c r="O85" s="16" t="n">
        <x:f>O25+O55</x:f>
        <x:v>179.2203096417661</x:v>
      </x:c>
      <x:c r="P85" s="16" t="n">
        <x:f>P25+P55</x:f>
        <x:v>7.738419683421747</x:v>
      </x:c>
      <x:c r="Q85" s="16" t="n">
        <x:f>Q25+Q55</x:f>
        <x:v>9.738719273910334</x:v>
      </x:c>
      <x:c r="R85" s="16" t="n">
        <x:f>R25+R55</x:f>
        <x:v>179.2203096417661</x:v>
      </x:c>
      <x:c r="S85" s="16" t="n">
        <x:f>S25+S55</x:f>
        <x:v>9.738719273910304</x:v>
      </x:c>
      <x:c r="T85" s="2"/>
      <x:c r="U85" s="2"/>
      <x:c r="V85" s="2" t="n">
        <x:f>V25+V55</x:f>
        <x:v>6.7746320418811745</x:v>
      </x:c>
    </x:row>
    <x:row r="86" ht="22" customHeight="1">
      <x:c r="A86" s="2" t="str">
        <x:v>CB_FAST</x:v>
      </x:c>
      <x:c r="B86" s="2" t="str">
        <x:v>UK total</x:v>
      </x:c>
      <x:c r="C86" s="2" t="n">
        <x:v>2048</x:v>
      </x:c>
      <x:c r="D86" s="16" t="n">
        <x:f>D26+D56</x:f>
        <x:v>1266650.0000000002</x:v>
      </x:c>
      <x:c r="E86" s="16" t="n">
        <x:f>E26+E56</x:f>
        <x:v>0</x:v>
      </x:c>
      <x:c r="F86" s="16" t="n">
        <x:f>F26+F56</x:f>
        <x:v>1266650.0000000002</x:v>
      </x:c>
      <x:c r="G86" s="16" t="n">
        <x:f>G26+G56</x:f>
        <x:v>159508066.6666667</x:v>
      </x:c>
      <x:c r="H86" s="16" t="n">
        <x:f>H26+H56</x:f>
        <x:v>41170788.25003032</x:v>
      </x:c>
      <x:c r="I86" s="16" t="n">
        <x:f>I26+I56</x:f>
        <x:v>10279209.498789305</x:v>
      </x:c>
      <x:c r="J86" s="16" t="n">
        <x:f>J26+J56</x:f>
        <x:v>409378.67073925975</x:v>
      </x:c>
      <x:c r="K86" s="16" t="n">
        <x:f>K26+K56</x:f>
        <x:v>51859376.41955888</x:v>
      </x:c>
      <x:c r="L86" s="16" t="n">
        <x:f>L26+L56</x:f>
        <x:v>2370622.9192563137</x:v>
      </x:c>
      <x:c r="M86" s="16" t="n">
        <x:f>M26+M56</x:f>
        <x:v>2981110.1536226673</x:v>
      </x:c>
      <x:c r="N86" s="16" t="n">
        <x:f>N26+N56</x:f>
        <x:v>150.9595569167778</x:v>
      </x:c>
      <x:c r="O86" s="16" t="n">
        <x:f>O26+O56</x:f>
        <x:v>190.15104687171592</x:v>
      </x:c>
      <x:c r="P86" s="16" t="n">
        <x:f>P26+P56</x:f>
        <x:v>8.69228403727315</x:v>
      </x:c>
      <x:c r="Q86" s="16" t="n">
        <x:f>Q26+Q56</x:f>
        <x:v>10.93073722994978</x:v>
      </x:c>
      <x:c r="R86" s="16" t="n">
        <x:f>R26+R56</x:f>
        <x:v>190.15104687171592</x:v>
      </x:c>
      <x:c r="S86" s="16" t="n">
        <x:f>S26+S56</x:f>
        <x:v>10.930737229949806</x:v>
      </x:c>
      <x:c r="T86" s="2"/>
      <x:c r="U86" s="2"/>
      <x:c r="V86" s="2" t="n">
        <x:f>V26+V56</x:f>
        <x:v>6.86179804167172</x:v>
      </x:c>
    </x:row>
    <x:row r="87" ht="22" customHeight="1">
      <x:c r="A87" s="2" t="str">
        <x:v>CB_FAST</x:v>
      </x:c>
      <x:c r="B87" s="2" t="str">
        <x:v>UK total</x:v>
      </x:c>
      <x:c r="C87" s="2" t="n">
        <x:v>2049</x:v>
      </x:c>
      <x:c r="D87" s="16" t="n">
        <x:f>D27+D57</x:f>
        <x:v>1266650.0000000002</x:v>
      </x:c>
      <x:c r="E87" s="16" t="n">
        <x:f>E27+E57</x:f>
        <x:v>0</x:v>
      </x:c>
      <x:c r="F87" s="16" t="n">
        <x:f>F27+F57</x:f>
        <x:v>1266650.0000000002</x:v>
      </x:c>
      <x:c r="G87" s="16" t="n">
        <x:f>G27+G57</x:f>
        <x:v>159508066.6666667</x:v>
      </x:c>
      <x:c r="H87" s="16" t="n">
        <x:f>H27+H57</x:f>
        <x:v>43739504.79874844</x:v>
      </x:c>
      <x:c r="I87" s="16" t="n">
        <x:f>I27+I57</x:f>
        <x:v>10920547.123585962</x:v>
      </x:c>
      <x:c r="J87" s="16" t="n">
        <x:f>J27+J57</x:f>
        <x:v>427986.79213649884</x:v>
      </x:c>
      <x:c r="K87" s="16" t="n">
        <x:f>K27+K57</x:f>
        <x:v>55088038.7144709</x:v>
      </x:c>
      <x:c r="L87" s="16" t="n">
        <x:f>L27+L57</x:f>
        <x:v>2568716.548718122</x:v>
      </x:c>
      <x:c r="M87" s="16" t="n">
        <x:f>M27+M57</x:f>
        <x:v>3228662.294912019</x:v>
      </x:c>
      <x:c r="N87" s="16" t="n">
        <x:f>N27+N57</x:f>
        <x:v>160.3781842620776</x:v>
      </x:c>
      <x:c r="O87" s="16" t="n">
        <x:f>O27+O57</x:f>
        <x:v>201.98947528639331</x:v>
      </x:c>
      <x:c r="P87" s="16" t="n">
        <x:f>P27+P57</x:f>
        <x:v>9.418627345299779</x:v>
      </x:c>
      <x:c r="Q87" s="16" t="n">
        <x:f>Q27+Q57</x:f>
        <x:v>11.838428414677402</x:v>
      </x:c>
      <x:c r="R87" s="16" t="n">
        <x:f>R27+R57</x:f>
        <x:v>201.98947528639331</x:v>
      </x:c>
      <x:c r="S87" s="16" t="n">
        <x:f>S27+S57</x:f>
        <x:v>11.838428414677404</x:v>
      </x:c>
      <x:c r="T87" s="2"/>
      <x:c r="U87" s="2"/>
      <x:c r="V87" s="2" t="n">
        <x:f>V27+V57</x:f>
        <x:v>6.972964533133809</x:v>
      </x:c>
    </x:row>
    <x:row r="88" ht="22" customHeight="1">
      <x:c r="A88" s="2" t="str">
        <x:v>CB_FAST</x:v>
      </x:c>
      <x:c r="B88" s="2" t="str">
        <x:v>UK total</x:v>
      </x:c>
      <x:c r="C88" s="2" t="n">
        <x:v>2050</x:v>
      </x:c>
      <x:c r="D88" s="16" t="n">
        <x:f>D28+D58</x:f>
        <x:v>1266650.0000000002</x:v>
      </x:c>
      <x:c r="E88" s="16" t="n">
        <x:f>E28+E58</x:f>
        <x:v>0</x:v>
      </x:c>
      <x:c r="F88" s="16" t="n">
        <x:f>F28+F58</x:f>
        <x:v>1266650.0000000002</x:v>
      </x:c>
      <x:c r="G88" s="16" t="n">
        <x:f>G28+G58</x:f>
        <x:v>159508066.6666667</x:v>
      </x:c>
      <x:c r="H88" s="16" t="n">
        <x:f>H28+H58</x:f>
        <x:v>45867776.108388186</x:v>
      </x:c>
      <x:c r="I88" s="16" t="n">
        <x:f>I28+I58</x:f>
        <x:v>11451917.72861764</x:v>
      </x:c>
      <x:c r="J88" s="16" t="n">
        <x:f>J28+J58</x:f>
        <x:v>446594.9135337379</x:v>
      </x:c>
      <x:c r="K88" s="16" t="n">
        <x:f>K28+K58</x:f>
        <x:v>57766288.75053956</x:v>
      </x:c>
      <x:c r="L88" s="16" t="n">
        <x:f>L28+L58</x:f>
        <x:v>2128271.30963975</x:v>
      </x:c>
      <x:c r="M88" s="16" t="n">
        <x:f>M28+M58</x:f>
        <x:v>2678250.0360686583</x:v>
      </x:c>
      <x:c r="N88" s="16" t="n">
        <x:f>N28+N58</x:f>
        <x:v>168.18184573075666</x:v>
      </x:c>
      <x:c r="O88" s="16" t="n">
        <x:f>O28+O58</x:f>
        <x:v>211.8097254186451</x:v>
      </x:c>
      <x:c r="P88" s="16" t="n">
        <x:f>P28+P58</x:f>
        <x:v>7.803661468679084</x:v>
      </x:c>
      <x:c r="Q88" s="16" t="n">
        <x:f>Q28+Q58</x:f>
        <x:v>9.820250132251747</x:v>
      </x:c>
      <x:c r="R88" s="16" t="n">
        <x:f>R28+R58</x:f>
        <x:v>211.8097254186451</x:v>
      </x:c>
      <x:c r="S88" s="16" t="n">
        <x:f>S28+S58</x:f>
        <x:v>9.820250132251765</x:v>
      </x:c>
      <x:c r="T88" s="2"/>
      <x:c r="U88" s="2"/>
      <x:c r="V88" s="2" t="n">
        <x:f>V28+V58</x:f>
        <x:v>7.007576905448193</x:v>
      </x:c>
    </x:row>
    <x:row r="89" ht="22" customHeight="1">
      <x:c r="A89" s="2" t="str">
        <x:v>CB_FAST</x:v>
      </x:c>
      <x:c r="B89" s="2" t="str">
        <x:v>UK total</x:v>
      </x:c>
      <x:c r="C89" s="2" t="n">
        <x:v>2051</x:v>
      </x:c>
      <x:c r="D89" s="16" t="n">
        <x:f>D29+D59</x:f>
        <x:v>1266650.0000000002</x:v>
      </x:c>
      <x:c r="E89" s="16" t="n">
        <x:f>E29+E59</x:f>
        <x:v>0</x:v>
      </x:c>
      <x:c r="F89" s="16" t="n">
        <x:f>F29+F59</x:f>
        <x:v>1266650.0000000002</x:v>
      </x:c>
      <x:c r="G89" s="16" t="n">
        <x:f>G29+G59</x:f>
        <x:v>159508066.6666667</x:v>
      </x:c>
      <x:c r="H89" s="16" t="n">
        <x:f>H29+H59</x:f>
        <x:v>47859293.46205913</x:v>
      </x:c>
      <x:c r="I89" s="16" t="n">
        <x:f>I29+I59</x:f>
        <x:v>11949144.64529789</x:v>
      </x:c>
      <x:c r="J89" s="16" t="n">
        <x:f>J29+J59</x:f>
        <x:v>465203.034930977</x:v>
      </x:c>
      <x:c r="K89" s="16" t="n">
        <x:f>K29+K59</x:f>
        <x:v>60273641.142288</x:v>
      </x:c>
      <x:c r="L89" s="16" t="n">
        <x:f>L29+L59</x:f>
        <x:v>1991517.3536709426</x:v>
      </x:c>
      <x:c r="M89" s="16" t="n">
        <x:f>M29+M59</x:f>
        <x:v>2507352.3917484367</x:v>
      </x:c>
      <x:c r="N89" s="16" t="n">
        <x:f>N29+N59</x:f>
        <x:v>175.48407602755015</x:v>
      </x:c>
      <x:c r="O89" s="16" t="n">
        <x:f>O29+O59</x:f>
        <x:v>221.003350855056</x:v>
      </x:c>
      <x:c r="P89" s="16" t="n">
        <x:f>P29+P59</x:f>
        <x:v>7.302230296793456</x:v>
      </x:c>
      <x:c r="Q89" s="16" t="n">
        <x:f>Q29+Q59</x:f>
        <x:v>9.193625436410935</x:v>
      </x:c>
      <x:c r="R89" s="16" t="n">
        <x:f>R29+R59</x:f>
        <x:v>221.003350855056</x:v>
      </x:c>
      <x:c r="S89" s="16" t="n">
        <x:f>S29+S59</x:f>
        <x:v>9.193625436410922</x:v>
      </x:c>
      <x:c r="T89" s="2"/>
      <x:c r="U89" s="2"/>
      <x:c r="V89" s="2" t="n">
        <x:f>V29+V59</x:f>
        <x:v>7.0193630411020065</x:v>
      </x:c>
    </x:row>
    <x:row r="90" ht="22" customHeight="1">
      <x:c r="A90" s="2" t="str">
        <x:v>CB_FAST</x:v>
      </x:c>
      <x:c r="B90" s="2" t="str">
        <x:v>UK total</x:v>
      </x:c>
      <x:c r="C90" s="2" t="n">
        <x:v>2052</x:v>
      </x:c>
      <x:c r="D90" s="16" t="n">
        <x:f>D30+D60</x:f>
        <x:v>1266650.0000000002</x:v>
      </x:c>
      <x:c r="E90" s="16" t="n">
        <x:f>E30+E60</x:f>
        <x:v>0</x:v>
      </x:c>
      <x:c r="F90" s="16" t="n">
        <x:f>F30+F60</x:f>
        <x:v>1266650.0000000002</x:v>
      </x:c>
      <x:c r="G90" s="16" t="n">
        <x:f>G30+G60</x:f>
        <x:v>159508066.6666667</x:v>
      </x:c>
      <x:c r="H90" s="16" t="n">
        <x:f>H30+H60</x:f>
        <x:v>50432389.932145864</x:v>
      </x:c>
      <x:c r="I90" s="16" t="n">
        <x:f>I30+I60</x:f>
        <x:v>12591575.81557303</x:v>
      </x:c>
      <x:c r="J90" s="16" t="n">
        <x:f>J30+J60</x:f>
        <x:v>483811.1563282161</x:v>
      </x:c>
      <x:c r="K90" s="16" t="n">
        <x:f>K30+K60</x:f>
        <x:v>63507776.90404712</x:v>
      </x:c>
      <x:c r="L90" s="16" t="n">
        <x:f>L30+L60</x:f>
        <x:v>2573096.4700867366</x:v>
      </x:c>
      <x:c r="M90" s="16" t="n">
        <x:f>M30+M60</x:f>
        <x:v>3234135.7617591145</x:v>
      </x:c>
      <x:c r="N90" s="16" t="n">
        <x:f>N30+N60</x:f>
        <x:v>184.91876308453485</x:v>
      </x:c>
      <x:c r="O90" s="16" t="n">
        <x:f>O30+O60</x:f>
        <x:v>232.86184864817275</x:v>
      </x:c>
      <x:c r="P90" s="16" t="n">
        <x:f>P30+P60</x:f>
        <x:v>9.434687056984702</x:v>
      </x:c>
      <x:c r="Q90" s="16" t="n">
        <x:f>Q30+Q60</x:f>
        <x:v>11.858497793116754</x:v>
      </x:c>
      <x:c r="R90" s="16" t="n">
        <x:f>R30+R60</x:f>
        <x:v>232.86184864817275</x:v>
      </x:c>
      <x:c r="S90" s="16" t="n">
        <x:f>S30+S60</x:f>
        <x:v>11.858497793116745</x:v>
      </x:c>
      <x:c r="T90" s="2"/>
      <x:c r="U90" s="2"/>
      <x:c r="V90" s="2" t="n">
        <x:f>V30+V60</x:f>
        <x:v>7.112260118635954</x:v>
      </x:c>
    </x:row>
    <x:row r="91" ht="22" customHeight="1">
      <x:c r="A91" s="2" t="str">
        <x:v>CB_FAST</x:v>
      </x:c>
      <x:c r="B91" s="2" t="str">
        <x:v>UK total</x:v>
      </x:c>
      <x:c r="C91" s="2" t="n">
        <x:v>2053</x:v>
      </x:c>
      <x:c r="D91" s="16" t="n">
        <x:f>D31+D61</x:f>
        <x:v>1266650.0000000002</x:v>
      </x:c>
      <x:c r="E91" s="16" t="n">
        <x:f>E31+E61</x:f>
        <x:v>0</x:v>
      </x:c>
      <x:c r="F91" s="16" t="n">
        <x:f>F31+F61</x:f>
        <x:v>1266650.0000000002</x:v>
      </x:c>
      <x:c r="G91" s="16" t="n">
        <x:f>G31+G61</x:f>
        <x:v>159508066.6666667</x:v>
      </x:c>
      <x:c r="H91" s="16" t="n">
        <x:f>H31+H61</x:f>
        <x:v>52116298.310194656</x:v>
      </x:c>
      <x:c r="I91" s="16" t="n">
        <x:f>I31+I61</x:f>
        <x:v>13012001.261148928</x:v>
      </x:c>
      <x:c r="J91" s="16" t="n">
        <x:f>J31+J61</x:f>
        <x:v>502419.2777254552</x:v>
      </x:c>
      <x:c r="K91" s="16" t="n">
        <x:f>K31+K61</x:f>
        <x:v>65630718.849069044</x:v>
      </x:c>
      <x:c r="L91" s="16" t="n">
        <x:f>L31+L61</x:f>
        <x:v>1683908.3780487925</x:v>
      </x:c>
      <x:c r="M91" s="16" t="n">
        <x:f>M31+M61</x:f>
        <x:v>2122941.945021931</x:v>
      </x:c>
      <x:c r="N91" s="16" t="n">
        <x:f>N31+N61</x:f>
        <x:v>191.0930938040471</x:v>
      </x:c>
      <x:c r="O91" s="16" t="n">
        <x:f>O31+O61</x:f>
        <x:v>240.64596911325316</x:v>
      </x:c>
      <x:c r="P91" s="16" t="n">
        <x:f>P31+P61</x:f>
        <x:v>6.174330719512239</x:v>
      </x:c>
      <x:c r="Q91" s="16" t="n">
        <x:f>Q31+Q61</x:f>
        <x:v>7.784120465080415</x:v>
      </x:c>
      <x:c r="R91" s="16" t="n">
        <x:f>R31+R61</x:f>
        <x:v>240.64596911325316</x:v>
      </x:c>
      <x:c r="S91" s="16" t="n">
        <x:f>S31+S61</x:f>
        <x:v>7.784120465080411</x:v>
      </x:c>
      <x:c r="T91" s="2"/>
      <x:c r="U91" s="2"/>
      <x:c r="V91" s="2" t="n">
        <x:f>V31+V61</x:f>
        <x:v>7.0775219927424855</x:v>
      </x:c>
    </x:row>
    <x:row r="92" ht="22" customHeight="1">
      <x:c r="A92" s="2" t="str">
        <x:v>CB_FAST</x:v>
      </x:c>
      <x:c r="B92" s="2" t="str">
        <x:v>UK total</x:v>
      </x:c>
      <x:c r="C92" s="2" t="n">
        <x:v>2054</x:v>
      </x:c>
      <x:c r="D92" s="16" t="n">
        <x:f>D32+D62</x:f>
        <x:v>1266650.0000000002</x:v>
      </x:c>
      <x:c r="E92" s="16" t="n">
        <x:f>E32+E62</x:f>
        <x:v>0</x:v>
      </x:c>
      <x:c r="F92" s="16" t="n">
        <x:f>F32+F62</x:f>
        <x:v>1266650.0000000002</x:v>
      </x:c>
      <x:c r="G92" s="16" t="n">
        <x:f>G32+G62</x:f>
        <x:v>159508066.6666667</x:v>
      </x:c>
      <x:c r="H92" s="16" t="n">
        <x:f>H32+H62</x:f>
        <x:v>53910473.372694045</x:v>
      </x:c>
      <x:c r="I92" s="16" t="n">
        <x:f>I32+I62</x:f>
        <x:v>13459957.254435526</x:v>
      </x:c>
      <x:c r="J92" s="16" t="n">
        <x:f>J32+J62</x:f>
        <x:v>521027.3991226942</x:v>
      </x:c>
      <x:c r="K92" s="16" t="n">
        <x:f>K32+K62</x:f>
        <x:v>67891458.02625227</x:v>
      </x:c>
      <x:c r="L92" s="16" t="n">
        <x:f>L32+L62</x:f>
        <x:v>1794175.0624993825</x:v>
      </x:c>
      <x:c r="M92" s="16" t="n">
        <x:f>M32+M62</x:f>
        <x:v>2260739.1771832183</x:v>
      </x:c>
      <x:c r="N92" s="16" t="n">
        <x:f>N32+N62</x:f>
        <x:v>197.67173569987816</x:v>
      </x:c>
      <x:c r="O92" s="16" t="n">
        <x:f>O32+O62</x:f>
        <x:v>248.9353460962583</x:v>
      </x:c>
      <x:c r="P92" s="16" t="n">
        <x:f>P32+P62</x:f>
        <x:v>6.578641895831069</x:v>
      </x:c>
      <x:c r="Q92" s="16" t="n">
        <x:f>Q32+Q62</x:f>
        <x:v>8.289376983005134</x:v>
      </x:c>
      <x:c r="R92" s="16" t="n">
        <x:f>R32+R62</x:f>
        <x:v>248.9353460962583</x:v>
      </x:c>
      <x:c r="S92" s="16" t="n">
        <x:f>S32+S62</x:f>
        <x:v>8.289376983005141</x:v>
      </x:c>
      <x:c r="T92" s="2"/>
      <x:c r="U92" s="2"/>
      <x:c r="V92" s="2" t="n">
        <x:f>V32+V62</x:f>
        <x:v>7.05970484642422</x:v>
      </x:c>
    </x:row>
    <x:row r="93" ht="22" customHeight="1">
      <x:c r="A93" s="2" t="str">
        <x:v>CB_FAST</x:v>
      </x:c>
      <x:c r="B93" s="2" t="str">
        <x:v>UK total</x:v>
      </x:c>
      <x:c r="C93" s="2" t="n">
        <x:v>2055</x:v>
      </x:c>
      <x:c r="D93" s="16" t="n">
        <x:f>D33+D63</x:f>
        <x:v>1266650.0000000002</x:v>
      </x:c>
      <x:c r="E93" s="16" t="n">
        <x:f>E33+E63</x:f>
        <x:v>0</x:v>
      </x:c>
      <x:c r="F93" s="16" t="n">
        <x:f>F33+F63</x:f>
        <x:v>1266650.0000000002</x:v>
      </x:c>
      <x:c r="G93" s="16" t="n">
        <x:f>G33+G63</x:f>
        <x:v>159508066.6666667</x:v>
      </x:c>
      <x:c r="H93" s="16" t="n">
        <x:f>H33+H63</x:f>
        <x:v>57473065.05893948</x:v>
      </x:c>
      <x:c r="I93" s="16" t="n">
        <x:f>I33+I63</x:f>
        <x:v>14349438.069793366</x:v>
      </x:c>
      <x:c r="J93" s="16" t="n">
        <x:f>J33+J63</x:f>
        <x:v>539635.5205199333</x:v>
      </x:c>
      <x:c r="K93" s="16" t="n">
        <x:f>K33+K63</x:f>
        <x:v>72362138.64925277</x:v>
      </x:c>
      <x:c r="L93" s="16" t="n">
        <x:f>L33+L63</x:f>
        <x:v>3562591.686245437</x:v>
      </x:c>
      <x:c r="M93" s="16" t="n">
        <x:f>M33+M63</x:f>
        <x:v>4470680.623000516</x:v>
      </x:c>
      <x:c r="N93" s="16" t="n">
        <x:f>N33+N63</x:f>
        <x:v>210.73457188277806</x:v>
      </x:c>
      <x:c r="O93" s="16" t="n">
        <x:f>O33+O63</x:f>
        <x:v>265.3278417139269</x:v>
      </x:c>
      <x:c r="P93" s="16" t="n">
        <x:f>P33+P63</x:f>
        <x:v>13.062836182899934</x:v>
      </x:c>
      <x:c r="Q93" s="16" t="n">
        <x:f>Q33+Q63</x:f>
        <x:v>16.39249561766856</x:v>
      </x:c>
      <x:c r="R93" s="16" t="n">
        <x:f>R33+R63</x:f>
        <x:v>265.3278417139269</x:v>
      </x:c>
      <x:c r="S93" s="16" t="n">
        <x:f>S33+S63</x:f>
        <x:v>16.39249561766857</x:v>
      </x:c>
      <x:c r="T93" s="2"/>
      <x:c r="U93" s="2"/>
      <x:c r="V93" s="2" t="n">
        <x:f>V33+V63</x:f>
        <x:v>7.26670937526821</x:v>
      </x:c>
    </x:row>
    <x:row r="94" ht="22" customHeight="1">
      <x:c r="A94" s="2" t="str">
        <x:v>CB_FAST</x:v>
      </x:c>
      <x:c r="B94" s="2" t="str">
        <x:v>UK total</x:v>
      </x:c>
      <x:c r="C94" s="2" t="n">
        <x:v>2056</x:v>
      </x:c>
      <x:c r="D94" s="16" t="n">
        <x:f>D34+D64</x:f>
        <x:v>1266650.0000000002</x:v>
      </x:c>
      <x:c r="E94" s="16" t="n">
        <x:f>E34+E64</x:f>
        <x:v>0</x:v>
      </x:c>
      <x:c r="F94" s="16" t="n">
        <x:f>F34+F64</x:f>
        <x:v>1266650.0000000002</x:v>
      </x:c>
      <x:c r="G94" s="16" t="n">
        <x:f>G34+G64</x:f>
        <x:v>159508066.6666667</x:v>
      </x:c>
      <x:c r="H94" s="16" t="n">
        <x:f>H34+H64</x:f>
        <x:v>59549339.95027507</x:v>
      </x:c>
      <x:c r="I94" s="16" t="n">
        <x:f>I34+I64</x:f>
        <x:v>14867826.604292672</x:v>
      </x:c>
      <x:c r="J94" s="16" t="n">
        <x:f>J34+J64</x:f>
        <x:v>558243.6419171724</x:v>
      </x:c>
      <x:c r="K94" s="16" t="n">
        <x:f>K34+K64</x:f>
        <x:v>74975410.19648491</x:v>
      </x:c>
      <x:c r="L94" s="16" t="n">
        <x:f>L34+L64</x:f>
        <x:v>2076274.8913355898</x:v>
      </x:c>
      <x:c r="M94" s="16" t="n">
        <x:f>M34+M64</x:f>
        <x:v>2613271.5472321343</x:v>
      </x:c>
      <x:c r="N94" s="16" t="n">
        <x:f>N34+N64</x:f>
        <x:v>218.3475798176752</x:v>
      </x:c>
      <x:c r="O94" s="16" t="n">
        <x:f>O34+O64</x:f>
        <x:v>274.90983738711134</x:v>
      </x:c>
      <x:c r="P94" s="16" t="n">
        <x:f>P34+P64</x:f>
        <x:v>7.613007934897163</x:v>
      </x:c>
      <x:c r="Q94" s="16" t="n">
        <x:f>Q34+Q64</x:f>
        <x:v>9.581995673184494</x:v>
      </x:c>
      <x:c r="R94" s="16" t="n">
        <x:f>R34+R64</x:f>
        <x:v>274.90983738711134</x:v>
      </x:c>
      <x:c r="S94" s="16" t="n">
        <x:f>S34+S64</x:f>
        <x:v>9.581995673184482</x:v>
      </x:c>
      <x:c r="T94" s="2"/>
      <x:c r="U94" s="2"/>
      <x:c r="V94" s="2" t="n">
        <x:f>V34+V64</x:f>
        <x:v>7.2782526605891755</x:v>
      </x:c>
    </x:row>
    <x:row r="95" ht="22" customHeight="1">
      <x:c r="A95" s="2" t="str">
        <x:v>CB_STEADY</x:v>
      </x:c>
      <x:c r="B95" s="2" t="str">
        <x:v>Permanent grassland</x:v>
      </x:c>
      <x:c r="C95" s="2" t="n">
        <x:v>2027</x:v>
      </x:c>
      <x:c r="D95" s="16" t="n">
        <x:f>Inputs!H13</x:f>
        <x:v>837900.0000000001</x:v>
      </x:c>
      <x:c r="E95" s="16" t="n">
        <x:f>D95*'Cohort factors'!C35</x:f>
        <x:v>34912.5</x:v>
      </x:c>
      <x:c r="F95" s="16" t="n">
        <x:f>D95*'Cohort factors'!D35</x:f>
        <x:v>34912.5</x:v>
      </x:c>
      <x:c r="G95" s="16" t="n">
        <x:f>F95*Inputs!D13</x:f>
        <x:v>5795475</x:v>
      </x:c>
      <x:c r="H95" s="16" t="n">
        <x:f>D95*Inputs!D13*'Cohort factors'!E35*Inputs!$B$5/1000</x:f>
        <x:v>2888.5668949059996</x:v>
      </x:c>
      <x:c r="I95" s="16" t="n">
        <x:f>H95*Inputs!$B$10</x:f>
        <x:v>721.1954282654332</x:v>
      </x:c>
      <x:c r="J95" s="16" t="n">
        <x:f>D95*T95*Inputs!$B$8*U95*0</x:f>
        <x:v>0</x:v>
      </x:c>
      <x:c r="K95" s="16" t="n">
        <x:f>SUM(H95:J95)</x:f>
        <x:v>3609.762323171433</x:v>
      </x:c>
      <x:c r="L95" s="16" t="n">
        <x:f>H95</x:f>
        <x:v>2888.5668949059996</x:v>
      </x:c>
      <x:c r="M95" s="16" t="n">
        <x:f>K95</x:f>
        <x:v>3609.762323171433</x:v>
      </x:c>
      <x:c r="N95" s="16" t="n">
        <x:f>H95*44/12/1000000</x:f>
        <x:v>0.010591411947988665</x:v>
      </x:c>
      <x:c r="O95" s="16" t="n">
        <x:f>K95*44/12/1000000</x:f>
        <x:v>0.01323579518496192</x:v>
      </x:c>
      <x:c r="P95" s="16" t="n">
        <x:f>L95*44/12/1000000</x:f>
        <x:v>0.010591411947988665</x:v>
      </x:c>
      <x:c r="Q95" s="16" t="n">
        <x:f>M95*44/12/1000000</x:f>
        <x:v>0.01323579518496192</x:v>
      </x:c>
      <x:c r="R95" s="16" t="n">
        <x:f>(H95+I95)*44/12/1000000</x:f>
        <x:v>0.01323579518496192</x:v>
      </x:c>
      <x:c r="S95" s="16" t="n">
        <x:f>R95</x:f>
        <x:v>0.01323579518496192</x:v>
      </x:c>
      <x:c r="T95" s="2" t="n">
        <x:f>Inputs!E13/Inputs!F13</x:f>
        <x:v>0.2</x:v>
      </x:c>
      <x:c r="U95" s="2" t="n">
        <x:f>'Cohort factors'!F35</x:f>
        <x:v>0.041666666666666664</x:v>
      </x:c>
      <x:c r="V95" s="2" t="n">
        <x:f>D95*Inputs!D13*'Cohort factors'!G35*Inputs!$B$5/1000*44/12/1000000</x:f>
        <x:v>0.010591411947988665</x:v>
      </x:c>
    </x:row>
    <x:row r="96" ht="22" customHeight="1">
      <x:c r="A96" s="2" t="str">
        <x:v>CB_STEADY</x:v>
      </x:c>
      <x:c r="B96" s="2" t="str">
        <x:v>Permanent grassland</x:v>
      </x:c>
      <x:c r="C96" s="2" t="n">
        <x:v>2028</x:v>
      </x:c>
      <x:c r="D96" s="16" t="n">
        <x:f>Inputs!H13</x:f>
        <x:v>837900.0000000001</x:v>
      </x:c>
      <x:c r="E96" s="16" t="n">
        <x:f>D96*'Cohort factors'!C36</x:f>
        <x:v>34912.5</x:v>
      </x:c>
      <x:c r="F96" s="16" t="n">
        <x:f>D96*'Cohort factors'!D36</x:f>
        <x:v>69825</x:v>
      </x:c>
      <x:c r="G96" s="16" t="n">
        <x:f>F96*Inputs!D13</x:f>
        <x:v>11590950</x:v>
      </x:c>
      <x:c r="H96" s="16" t="n">
        <x:f>D96*Inputs!D13*'Cohort factors'!E36*Inputs!$B$5/1000</x:f>
        <x:v>13745.711314103999</x:v>
      </x:c>
      <x:c r="I96" s="16" t="n">
        <x:f>H96*Inputs!$B$10</x:f>
        <x:v>3431.9247289963996</x:v>
      </x:c>
      <x:c r="J96" s="16" t="n">
        <x:f>D96*T96*Inputs!$B$8*U96*0</x:f>
        <x:v>0</x:v>
      </x:c>
      <x:c r="K96" s="16" t="n">
        <x:f>SUM(H96:J96)</x:f>
        <x:v>17177.6360431004</x:v>
      </x:c>
      <x:c r="L96" s="16" t="n">
        <x:f>H96-H95</x:f>
        <x:v>10857.144419197999</x:v>
      </x:c>
      <x:c r="M96" s="16" t="n">
        <x:f>K96-K95</x:f>
        <x:v>13567.873719928966</x:v>
      </x:c>
      <x:c r="N96" s="16" t="n">
        <x:f>H96*44/12/1000000</x:f>
        <x:v>0.050400941485048</x:v>
      </x:c>
      <x:c r="O96" s="16" t="n">
        <x:f>K96*44/12/1000000</x:f>
        <x:v>0.06298466549136814</x:v>
      </x:c>
      <x:c r="P96" s="16" t="n">
        <x:f>L96*44/12/1000000</x:f>
        <x:v>0.03980952953705933</x:v>
      </x:c>
      <x:c r="Q96" s="16" t="n">
        <x:f>M96*44/12/1000000</x:f>
        <x:v>0.04974887030640621</x:v>
      </x:c>
      <x:c r="R96" s="16" t="n">
        <x:f>(H96+I96)*44/12/1000000</x:f>
        <x:v>0.06298466549136814</x:v>
      </x:c>
      <x:c r="S96" s="16" t="n">
        <x:f>R96-R95</x:f>
        <x:v>0.049748870306406213</x:v>
      </x:c>
      <x:c r="T96" s="2" t="n">
        <x:f>Inputs!E13/Inputs!F13</x:f>
        <x:v>0.2</x:v>
      </x:c>
      <x:c r="U96" s="2" t="n">
        <x:f>'Cohort factors'!F36</x:f>
        <x:v>0.125</x:v>
      </x:c>
      <x:c r="V96" s="2" t="n">
        <x:f>D96*Inputs!D13*'Cohort factors'!G36*Inputs!$B$5/1000*44/12/1000000</x:f>
        <x:v>0.030496176716518327</x:v>
      </x:c>
    </x:row>
    <x:row r="97" ht="22" customHeight="1">
      <x:c r="A97" s="2" t="str">
        <x:v>CB_STEADY</x:v>
      </x:c>
      <x:c r="B97" s="2" t="str">
        <x:v>Permanent grassland</x:v>
      </x:c>
      <x:c r="C97" s="2" t="n">
        <x:v>2029</x:v>
      </x:c>
      <x:c r="D97" s="16" t="n">
        <x:f>Inputs!H13</x:f>
        <x:v>837900.0000000001</x:v>
      </x:c>
      <x:c r="E97" s="16" t="n">
        <x:f>D97*'Cohort factors'!C37</x:f>
        <x:v>34912.5</x:v>
      </x:c>
      <x:c r="F97" s="16" t="n">
        <x:f>D97*'Cohort factors'!D37</x:f>
        <x:v>104737.50000000001</x:v>
      </x:c>
      <x:c r="G97" s="16" t="n">
        <x:f>F97*Inputs!D13</x:f>
        <x:v>17386425.000000004</x:v>
      </x:c>
      <x:c r="H97" s="16" t="n">
        <x:f>D97*Inputs!D13*'Cohort factors'!E37*Inputs!$B$5/1000</x:f>
        <x:v>46585.917220303985</x:v>
      </x:c>
      <x:c r="I97" s="16" t="n">
        <x:f>H97*Inputs!$B$10</x:f>
        <x:v>11631.217743333062</x:v>
      </x:c>
      <x:c r="J97" s="16" t="n">
        <x:f>D97*T97*Inputs!$B$8*U97*0</x:f>
        <x:v>0</x:v>
      </x:c>
      <x:c r="K97" s="16" t="n">
        <x:f>SUM(H97:J97)</x:f>
        <x:v>58217.13496363704</x:v>
      </x:c>
      <x:c r="L97" s="16" t="n">
        <x:f>H97-H96</x:f>
        <x:v>32840.20590619999</x:v>
      </x:c>
      <x:c r="M97" s="16" t="n">
        <x:f>K97-K96</x:f>
        <x:v>41039.498920536644</x:v>
      </x:c>
      <x:c r="N97" s="16" t="n">
        <x:f>H97*44/12/1000000</x:f>
        <x:v>0.17081502980778127</x:v>
      </x:c>
      <x:c r="O97" s="16" t="n">
        <x:f>K97*44/12/1000000</x:f>
        <x:v>0.2134628282000025</x:v>
      </x:c>
      <x:c r="P97" s="16" t="n">
        <x:f>L97*44/12/1000000</x:f>
        <x:v>0.1204140883227333</x:v>
      </x:c>
      <x:c r="Q97" s="16" t="n">
        <x:f>M97*44/12/1000000</x:f>
        <x:v>0.15047816270863437</x:v>
      </x:c>
      <x:c r="R97" s="16" t="n">
        <x:f>(H97+I97)*44/12/1000000</x:f>
        <x:v>0.2134628282000025</x:v>
      </x:c>
      <x:c r="S97" s="16" t="n">
        <x:f>R97-R96</x:f>
        <x:v>0.15047816270863437</x:v>
      </x:c>
      <x:c r="T97" s="2" t="n">
        <x:f>Inputs!E13/Inputs!F13</x:f>
        <x:v>0.2</x:v>
      </x:c>
      <x:c r="U97" s="2" t="n">
        <x:f>'Cohort factors'!F37</x:f>
        <x:v>0.25</x:v>
      </x:c>
      <x:c r="V97" s="2" t="n">
        <x:f>D97*Inputs!D13*'Cohort factors'!G37*Inputs!$B$5/1000*44/12/1000000</x:f>
        <x:v>0.07063420615742942</x:v>
      </x:c>
    </x:row>
    <x:row r="98" ht="22" customHeight="1">
      <x:c r="A98" s="2" t="str">
        <x:v>CB_STEADY</x:v>
      </x:c>
      <x:c r="B98" s="2" t="str">
        <x:v>Permanent grassland</x:v>
      </x:c>
      <x:c r="C98" s="2" t="n">
        <x:v>2030</x:v>
      </x:c>
      <x:c r="D98" s="16" t="n">
        <x:f>Inputs!H13</x:f>
        <x:v>837900.0000000001</x:v>
      </x:c>
      <x:c r="E98" s="16" t="n">
        <x:f>D98*'Cohort factors'!C38</x:f>
        <x:v>34912.5</x:v>
      </x:c>
      <x:c r="F98" s="16" t="n">
        <x:f>D98*'Cohort factors'!D38</x:f>
        <x:v>139650</x:v>
      </x:c>
      <x:c r="G98" s="16" t="n">
        <x:f>F98*Inputs!D13</x:f>
        <x:v>23181900</x:v>
      </x:c>
      <x:c r="H98" s="16" t="n">
        <x:f>D98*Inputs!D13*'Cohort factors'!E38*Inputs!$B$5/1000</x:f>
        <x:v>111433.34139275795</x:v>
      </x:c>
      <x:c r="I98" s="16" t="n">
        <x:f>H98*Inputs!$B$10</x:f>
        <x:v>27821.82974904362</x:v>
      </x:c>
      <x:c r="J98" s="16" t="n">
        <x:f>D98*T98*Inputs!$B$8*U98*0</x:f>
        <x:v>0</x:v>
      </x:c>
      <x:c r="K98" s="16" t="n">
        <x:f>SUM(H98:J98)</x:f>
        <x:v>139255.17114180158</x:v>
      </x:c>
      <x:c r="L98" s="16" t="n">
        <x:f>H98-H97</x:f>
        <x:v>64847.42417245397</x:v>
      </x:c>
      <x:c r="M98" s="16" t="n">
        <x:f>K98-K97</x:f>
        <x:v>81038.03617816453</x:v>
      </x:c>
      <x:c r="N98" s="16" t="n">
        <x:f>H98*44/12/1000000</x:f>
        <x:v>0.4085889184401126</x:v>
      </x:c>
      <x:c r="O98" s="16" t="n">
        <x:f>K98*44/12/1000000</x:f>
        <x:v>0.5106022941866057</x:v>
      </x:c>
      <x:c r="P98" s="16" t="n">
        <x:f>L98*44/12/1000000</x:f>
        <x:v>0.23777388863233118</x:v>
      </x:c>
      <x:c r="Q98" s="16" t="n">
        <x:f>M98*44/12/1000000</x:f>
        <x:v>0.2971394659866033</x:v>
      </x:c>
      <x:c r="R98" s="16" t="n">
        <x:f>(H98+I98)*44/12/1000000</x:f>
        <x:v>0.5106022941866057</x:v>
      </x:c>
      <x:c r="S98" s="16" t="n">
        <x:f>R98-R97</x:f>
        <x:v>0.29713946598660324</x:v>
      </x:c>
      <x:c r="T98" s="2" t="n">
        <x:f>Inputs!E13/Inputs!F13</x:f>
        <x:v>0.2</x:v>
      </x:c>
      <x:c r="U98" s="2" t="n">
        <x:f>'Cohort factors'!F38</x:f>
        <x:v>0.4166666666666667</x:v>
      </x:c>
      <x:c r="V98" s="2" t="n">
        <x:f>D98*Inputs!D13*'Cohort factors'!G38*Inputs!$B$5/1000*44/12/1000000</x:f>
        <x:v>0.13007767831551226</x:v>
      </x:c>
    </x:row>
    <x:row r="99" ht="22" customHeight="1">
      <x:c r="A99" s="2" t="str">
        <x:v>CB_STEADY</x:v>
      </x:c>
      <x:c r="B99" s="2" t="str">
        <x:v>Permanent grassland</x:v>
      </x:c>
      <x:c r="C99" s="2" t="n">
        <x:v>2031</x:v>
      </x:c>
      <x:c r="D99" s="16" t="n">
        <x:f>Inputs!H13</x:f>
        <x:v>837900.0000000001</x:v>
      </x:c>
      <x:c r="E99" s="16" t="n">
        <x:f>D99*'Cohort factors'!C39</x:f>
        <x:v>34912.5</x:v>
      </x:c>
      <x:c r="F99" s="16" t="n">
        <x:f>D99*'Cohort factors'!D39</x:f>
        <x:v>174562.50000000003</x:v>
      </x:c>
      <x:c r="G99" s="16" t="n">
        <x:f>F99*Inputs!D13</x:f>
        <x:v>28977375.000000004</x:v>
      </x:c>
      <x:c r="H99" s="16" t="n">
        <x:f>D99*Inputs!D13*'Cohort factors'!E39*Inputs!$B$5/1000</x:f>
        <x:v>235519.754343258</x:v>
      </x:c>
      <x:c r="I99" s="16" t="n">
        <x:f>H99*Inputs!$B$10</x:f>
        <x:v>58802.782237135296</x:v>
      </x:c>
      <x:c r="J99" s="16" t="n">
        <x:f>D99*T99*Inputs!$B$8*U99*0</x:f>
        <x:v>0</x:v>
      </x:c>
      <x:c r="K99" s="16" t="n">
        <x:f>SUM(H99:J99)</x:f>
        <x:v>294322.5365803933</x:v>
      </x:c>
      <x:c r="L99" s="16" t="n">
        <x:f>H99-H98</x:f>
        <x:v>124086.41295050006</x:v>
      </x:c>
      <x:c r="M99" s="16" t="n">
        <x:f>K99-K98</x:f>
        <x:v>155067.36543859175</x:v>
      </x:c>
      <x:c r="N99" s="16" t="n">
        <x:f>H99*44/12/1000000</x:f>
        <x:v>0.8635724325919459</x:v>
      </x:c>
      <x:c r="O99" s="16" t="n">
        <x:f>K99*44/12/1000000</x:f>
        <x:v>1.0791826341281088</x:v>
      </x:c>
      <x:c r="P99" s="16" t="n">
        <x:f>L99*44/12/1000000</x:f>
        <x:v>0.4549835141518335</x:v>
      </x:c>
      <x:c r="Q99" s="16" t="n">
        <x:f>M99*44/12/1000000</x:f>
        <x:v>0.5685803399415031</x:v>
      </x:c>
      <x:c r="R99" s="16" t="n">
        <x:f>(H99+I99)*44/12/1000000</x:f>
        <x:v>1.0791826341281088</x:v>
      </x:c>
      <x:c r="S99" s="16" t="n">
        <x:f>R99-R98</x:f>
        <x:v>0.568580339941503</x:v>
      </x:c>
      <x:c r="T99" s="2" t="n">
        <x:f>Inputs!E13/Inputs!F13</x:f>
        <x:v>0.2</x:v>
      </x:c>
      <x:c r="U99" s="2" t="n">
        <x:f>'Cohort factors'!F39</x:f>
        <x:v>0.625</x:v>
      </x:c>
      <x:c r="V99" s="2" t="n">
        <x:f>D99*Inputs!D13*'Cohort factors'!G39*Inputs!$B$5/1000*44/12/1000000</x:f>
        <x:v>0.22107438114587896</x:v>
      </x:c>
    </x:row>
    <x:row r="100" ht="22" customHeight="1">
      <x:c r="A100" s="2" t="str">
        <x:v>CB_STEADY</x:v>
      </x:c>
      <x:c r="B100" s="2" t="str">
        <x:v>Permanent grassland</x:v>
      </x:c>
      <x:c r="C100" s="2" t="n">
        <x:v>2032</x:v>
      </x:c>
      <x:c r="D100" s="16" t="n">
        <x:f>Inputs!H13</x:f>
        <x:v>837900.0000000001</x:v>
      </x:c>
      <x:c r="E100" s="16" t="n">
        <x:f>D100*'Cohort factors'!C40</x:f>
        <x:v>34912.5</x:v>
      </x:c>
      <x:c r="F100" s="16" t="n">
        <x:f>D100*'Cohort factors'!D40</x:f>
        <x:v>209475.00000000003</x:v>
      </x:c>
      <x:c r="G100" s="16" t="n">
        <x:f>F100*Inputs!D13</x:f>
        <x:v>34772850.00000001</x:v>
      </x:c>
      <x:c r="H100" s="16" t="n">
        <x:f>D100*Inputs!D13*'Cohort factors'!E40*Inputs!$B$5/1000</x:f>
        <x:v>453565.3867133621</x:v>
      </x:c>
      <x:c r="I100" s="16" t="n">
        <x:f>H100*Inputs!$B$10</x:f>
        <x:v>113242.75850906505</x:v>
      </x:c>
      <x:c r="J100" s="16" t="n">
        <x:f>D100*T100*Inputs!$B$8*U100*0</x:f>
        <x:v>0</x:v>
      </x:c>
      <x:c r="K100" s="16" t="n">
        <x:f>SUM(H100:J100)</x:f>
        <x:v>566808.1452224272</x:v>
      </x:c>
      <x:c r="L100" s="16" t="n">
        <x:f>H100-H99</x:f>
        <x:v>218045.6323701041</x:v>
      </x:c>
      <x:c r="M100" s="16" t="n">
        <x:f>K100-K99</x:f>
        <x:v>272485.6086420339</x:v>
      </x:c>
      <x:c r="N100" s="16" t="n">
        <x:f>H100*44/12/1000000</x:f>
        <x:v>1.6630730846156612</x:v>
      </x:c>
      <x:c r="O100" s="16" t="n">
        <x:f>K100*44/12/1000000</x:f>
        <x:v>2.0782965324822333</x:v>
      </x:c>
      <x:c r="P100" s="16" t="n">
        <x:f>L100*44/12/1000000</x:f>
        <x:v>0.7995006520237151</x:v>
      </x:c>
      <x:c r="Q100" s="16" t="n">
        <x:f>M100*44/12/1000000</x:f>
        <x:v>0.9991138983541242</x:v>
      </x:c>
      <x:c r="R100" s="16" t="n">
        <x:f>(H100+I100)*44/12/1000000</x:f>
        <x:v>2.0782965324822333</x:v>
      </x:c>
      <x:c r="S100" s="16" t="n">
        <x:f>R100-R99</x:f>
        <x:v>0.9991138983541246</x:v>
      </x:c>
      <x:c r="T100" s="2" t="n">
        <x:f>Inputs!E13/Inputs!F13</x:f>
        <x:v>0.2</x:v>
      </x:c>
      <x:c r="U100" s="2" t="n">
        <x:f>'Cohort factors'!F40</x:f>
        <x:v>0.875</x:v>
      </x:c>
      <x:c r="V100" s="2" t="n">
        <x:f>D100*Inputs!D13*'Cohort factors'!G40*Inputs!$B$5/1000*44/12/1000000</x:f>
        <x:v>0.35432448981649806</x:v>
      </x:c>
    </x:row>
    <x:row r="101" ht="22" customHeight="1">
      <x:c r="A101" s="2" t="str">
        <x:v>CB_STEADY</x:v>
      </x:c>
      <x:c r="B101" s="2" t="str">
        <x:v>Permanent grassland</x:v>
      </x:c>
      <x:c r="C101" s="2" t="n">
        <x:v>2033</x:v>
      </x:c>
      <x:c r="D101" s="16" t="n">
        <x:f>Inputs!H13</x:f>
        <x:v>837900.0000000001</x:v>
      </x:c>
      <x:c r="E101" s="16" t="n">
        <x:f>D101*'Cohort factors'!C41</x:f>
        <x:v>34912.5</x:v>
      </x:c>
      <x:c r="F101" s="16" t="n">
        <x:f>D101*'Cohort factors'!D41</x:f>
        <x:v>244387.50000000006</x:v>
      </x:c>
      <x:c r="G101" s="16" t="n">
        <x:f>F101*Inputs!D13</x:f>
        <x:v>40568325.00000001</x:v>
      </x:c>
      <x:c r="H101" s="16" t="n">
        <x:f>D101*Inputs!D13*'Cohort factors'!E41*Inputs!$B$5/1000</x:f>
        <x:v>712005.5835853473</x:v>
      </x:c>
      <x:c r="I101" s="16" t="n">
        <x:f>H101*Inputs!$B$10</x:f>
        <x:v>177768.14263390098</x:v>
      </x:c>
      <x:c r="J101" s="16" t="n">
        <x:f>D101*T101*Inputs!$B$8*U101*0</x:f>
        <x:v>0</x:v>
      </x:c>
      <x:c r="K101" s="16" t="n">
        <x:f>SUM(H101:J101)</x:f>
        <x:v>889773.7262192483</x:v>
      </x:c>
      <x:c r="L101" s="16" t="n">
        <x:f>H101-H100</x:f>
        <x:v>258440.19687198516</x:v>
      </x:c>
      <x:c r="M101" s="16" t="n">
        <x:f>K101-K100</x:f>
        <x:v>322965.58099682105</x:v>
      </x:c>
      <x:c r="N101" s="16" t="n">
        <x:f>H101*44/12/1000000</x:f>
        <x:v>2.6106871398129403</x:v>
      </x:c>
      <x:c r="O101" s="16" t="n">
        <x:f>K101*44/12/1000000</x:f>
        <x:v>3.26250366280391</x:v>
      </x:c>
      <x:c r="P101" s="16" t="n">
        <x:f>L101*44/12/1000000</x:f>
        <x:v>0.9476140551972789</x:v>
      </x:c>
      <x:c r="Q101" s="16" t="n">
        <x:f>M101*44/12/1000000</x:f>
        <x:v>1.184207130321677</x:v>
      </x:c>
      <x:c r="R101" s="16" t="n">
        <x:f>(H101+I101)*44/12/1000000</x:f>
        <x:v>3.26250366280391</x:v>
      </x:c>
      <x:c r="S101" s="16" t="n">
        <x:f>R101-R100</x:f>
        <x:v>1.1842071303216768</x:v>
      </x:c>
      <x:c r="T101" s="2" t="n">
        <x:f>Inputs!E13/Inputs!F13</x:f>
        <x:v>0.2</x:v>
      </x:c>
      <x:c r="U101" s="2" t="n">
        <x:f>'Cohort factors'!F41</x:f>
        <x:v>1.1666666666666667</x:v>
      </x:c>
      <x:c r="V101" s="2" t="n">
        <x:f>D101*Inputs!D13*'Cohort factors'!G41*Inputs!$B$5/1000*44/12/1000000</x:f>
        <x:v>0.48969792627325237</x:v>
      </x:c>
    </x:row>
    <x:row r="102" ht="22" customHeight="1">
      <x:c r="A102" s="2" t="str">
        <x:v>CB_STEADY</x:v>
      </x:c>
      <x:c r="B102" s="2" t="str">
        <x:v>Permanent grassland</x:v>
      </x:c>
      <x:c r="C102" s="2" t="n">
        <x:v>2034</x:v>
      </x:c>
      <x:c r="D102" s="16" t="n">
        <x:f>Inputs!H13</x:f>
        <x:v>837900.0000000001</x:v>
      </x:c>
      <x:c r="E102" s="16" t="n">
        <x:f>D102*'Cohort factors'!C42</x:f>
        <x:v>34912.5</x:v>
      </x:c>
      <x:c r="F102" s="16" t="n">
        <x:f>D102*'Cohort factors'!D42</x:f>
        <x:v>279300</x:v>
      </x:c>
      <x:c r="G102" s="16" t="n">
        <x:f>F102*Inputs!D13</x:f>
        <x:v>46363800</x:v>
      </x:c>
      <x:c r="H102" s="16" t="n">
        <x:f>D102*Inputs!D13*'Cohort factors'!E42*Inputs!$B$5/1000</x:f>
        <x:v>1010840.344959214</x:v>
      </x:c>
      <x:c r="I102" s="16" t="n">
        <x:f>H102*Inputs!$B$10</x:f>
        <x:v>252378.9346116432</x:v>
      </x:c>
      <x:c r="J102" s="16" t="n">
        <x:f>D102*T102*Inputs!$B$8*U102*0</x:f>
        <x:v>0</x:v>
      </x:c>
      <x:c r="K102" s="16" t="n">
        <x:f>SUM(H102:J102)</x:f>
        <x:v>1263219.279570857</x:v>
      </x:c>
      <x:c r="L102" s="16" t="n">
        <x:f>H102-H101</x:f>
        <x:v>298834.7613738667</x:v>
      </x:c>
      <x:c r="M102" s="16" t="n">
        <x:f>K102-K101</x:f>
        <x:v>373445.5533516088</x:v>
      </x:c>
      <x:c r="N102" s="16" t="n">
        <x:f>H102*44/12/1000000</x:f>
        <x:v>3.706414598183785</x:v>
      </x:c>
      <x:c r="O102" s="16" t="n">
        <x:f>K102*44/12/1000000</x:f>
        <x:v>4.6318040250931425</x:v>
      </x:c>
      <x:c r="P102" s="16" t="n">
        <x:f>L102*44/12/1000000</x:f>
        <x:v>1.0957274583708445</x:v>
      </x:c>
      <x:c r="Q102" s="16" t="n">
        <x:f>M102*44/12/1000000</x:f>
        <x:v>1.3693003622892321</x:v>
      </x:c>
      <x:c r="R102" s="16" t="n">
        <x:f>(H102+I102)*44/12/1000000</x:f>
        <x:v>4.6318040250931425</x:v>
      </x:c>
      <x:c r="S102" s="16" t="n">
        <x:f>R102-R101</x:f>
        <x:v>1.3693003622892324</x:v>
      </x:c>
      <x:c r="T102" s="2" t="n">
        <x:f>Inputs!E13/Inputs!F13</x:f>
        <x:v>0.2</x:v>
      </x:c>
      <x:c r="U102" s="2" t="n">
        <x:f>'Cohort factors'!F42</x:f>
        <x:v>1.5</x:v>
      </x:c>
      <x:c r="V102" s="2" t="n">
        <x:f>D102*Inputs!D13*'Cohort factors'!G42*Inputs!$B$5/1000*44/12/1000000</x:f>
        <x:v>0.6266638585696077</x:v>
      </x:c>
    </x:row>
    <x:row r="103" ht="22" customHeight="1">
      <x:c r="A103" s="2" t="str">
        <x:v>CB_STEADY</x:v>
      </x:c>
      <x:c r="B103" s="2" t="str">
        <x:v>Permanent grassland</x:v>
      </x:c>
      <x:c r="C103" s="2" t="n">
        <x:v>2035</x:v>
      </x:c>
      <x:c r="D103" s="16" t="n">
        <x:f>Inputs!H13</x:f>
        <x:v>837900.0000000001</x:v>
      </x:c>
      <x:c r="E103" s="16" t="n">
        <x:f>D103*'Cohort factors'!C43</x:f>
        <x:v>34912.5</x:v>
      </x:c>
      <x:c r="F103" s="16" t="n">
        <x:f>D103*'Cohort factors'!D43</x:f>
        <x:v>314212.50000000006</x:v>
      </x:c>
      <x:c r="G103" s="16" t="n">
        <x:f>F103*Inputs!D13</x:f>
        <x:v>52159275.00000001</x:v>
      </x:c>
      <x:c r="H103" s="16" t="n">
        <x:f>D103*Inputs!D13*'Cohort factors'!E43*Inputs!$B$5/1000</x:f>
        <x:v>1350069.6708349618</x:v>
      </x:c>
      <x:c r="I103" s="16" t="n">
        <x:f>H103*Inputs!$B$10</x:f>
        <x:v>337075.13444229163</x:v>
      </x:c>
      <x:c r="J103" s="16" t="n">
        <x:f>D103*T103*Inputs!$B$8*U103*0</x:f>
        <x:v>0</x:v>
      </x:c>
      <x:c r="K103" s="16" t="n">
        <x:f>SUM(H103:J103)</x:f>
        <x:v>1687144.8052772535</x:v>
      </x:c>
      <x:c r="L103" s="16" t="n">
        <x:f>H103-H102</x:f>
        <x:v>339229.32587574783</x:v>
      </x:c>
      <x:c r="M103" s="16" t="n">
        <x:f>K103-K102</x:f>
        <x:v>423925.52570639644</x:v>
      </x:c>
      <x:c r="N103" s="16" t="n">
        <x:f>H103*44/12/1000000</x:f>
        <x:v>4.950255459728194</x:v>
      </x:c>
      <x:c r="O103" s="16" t="n">
        <x:f>K103*44/12/1000000</x:f>
        <x:v>6.1861976193499295</x:v>
      </x:c>
      <x:c r="P103" s="16" t="n">
        <x:f>L103*44/12/1000000</x:f>
        <x:v>1.2438408615444085</x:v>
      </x:c>
      <x:c r="Q103" s="16" t="n">
        <x:f>M103*44/12/1000000</x:f>
        <x:v>1.5543935942567868</x:v>
      </x:c>
      <x:c r="R103" s="16" t="n">
        <x:f>(H103+I103)*44/12/1000000</x:f>
        <x:v>6.1861976193499295</x:v>
      </x:c>
      <x:c r="S103" s="16" t="n">
        <x:f>R103-R102</x:f>
        <x:v>1.554393594256787</x:v>
      </x:c>
      <x:c r="T103" s="2" t="n">
        <x:f>Inputs!E13/Inputs!F13</x:f>
        <x:v>0.2</x:v>
      </x:c>
      <x:c r="U103" s="2" t="n">
        <x:f>'Cohort factors'!F43</x:f>
        <x:v>1.875</x:v>
      </x:c>
      <x:c r="V103" s="2" t="n">
        <x:f>D103*Inputs!D13*'Cohort factors'!G43*Inputs!$B$5/1000*44/12/1000000</x:f>
        <x:v>0.7648683987412089</x:v>
      </x:c>
    </x:row>
    <x:row r="104" ht="22" customHeight="1">
      <x:c r="A104" s="2" t="str">
        <x:v>CB_STEADY</x:v>
      </x:c>
      <x:c r="B104" s="2" t="str">
        <x:v>Permanent grassland</x:v>
      </x:c>
      <x:c r="C104" s="2" t="n">
        <x:v>2036</x:v>
      </x:c>
      <x:c r="D104" s="16" t="n">
        <x:f>Inputs!H13</x:f>
        <x:v>837900.0000000001</x:v>
      </x:c>
      <x:c r="E104" s="16" t="n">
        <x:f>D104*'Cohort factors'!C44</x:f>
        <x:v>34912.5</x:v>
      </x:c>
      <x:c r="F104" s="16" t="n">
        <x:f>D104*'Cohort factors'!D44</x:f>
        <x:v>349125.00000000006</x:v>
      </x:c>
      <x:c r="G104" s="16" t="n">
        <x:f>F104*Inputs!D13</x:f>
        <x:v>57954750.00000001</x:v>
      </x:c>
      <x:c r="H104" s="16" t="n">
        <x:f>D104*Inputs!D13*'Cohort factors'!E44*Inputs!$B$5/1000</x:f>
        <x:v>1757628.4513726397</x:v>
      </x:c>
      <x:c r="I104" s="16" t="n">
        <x:f>H104*Inputs!$B$10</x:f>
        <x:v>438831.31318669056</x:v>
      </x:c>
      <x:c r="J104" s="16" t="n">
        <x:f>D104*T104*Inputs!$B$8*U104*0</x:f>
        <x:v>0</x:v>
      </x:c>
      <x:c r="K104" s="16" t="n">
        <x:f>SUM(H104:J104)</x:f>
        <x:v>2196459.7645593304</x:v>
      </x:c>
      <x:c r="L104" s="16" t="n">
        <x:f>H104-H103</x:f>
        <x:v>407558.7805376779</x:v>
      </x:c>
      <x:c r="M104" s="16" t="n">
        <x:f>K104-K103</x:f>
        <x:v>509314.9592820769</x:v>
      </x:c>
      <x:c r="N104" s="16" t="n">
        <x:f>H104*44/12/1000000</x:f>
        <x:v>6.444637655033012</x:v>
      </x:c>
      <x:c r="O104" s="16" t="n">
        <x:f>K104*44/12/1000000</x:f>
        <x:v>8.053685803384212</x:v>
      </x:c>
      <x:c r="P104" s="16" t="n">
        <x:f>L104*44/12/1000000</x:f>
        <x:v>1.494382195304819</x:v>
      </x:c>
      <x:c r="Q104" s="16" t="n">
        <x:f>M104*44/12/1000000</x:f>
        <x:v>1.867488184034282</x:v>
      </x:c>
      <x:c r="R104" s="16" t="n">
        <x:f>(H104+I104)*44/12/1000000</x:f>
        <x:v>8.053685803384212</x:v>
      </x:c>
      <x:c r="S104" s="16" t="n">
        <x:f>R104-R103</x:f>
        <x:v>1.8674881840342827</x:v>
      </x:c>
      <x:c r="T104" s="2" t="n">
        <x:f>Inputs!E13/Inputs!F13</x:f>
        <x:v>0.2</x:v>
      </x:c>
      <x:c r="U104" s="2" t="n">
        <x:f>'Cohort factors'!F44</x:f>
        <x:v>2.2916666666666665</x:v>
      </x:c>
      <x:c r="V104" s="2" t="n">
        <x:f>D104*Inputs!D13*'Cohort factors'!G44*Inputs!$B$5/1000*44/12/1000000</x:f>
        <x:v>0.9143066182716908</x:v>
      </x:c>
    </x:row>
    <x:row r="105" ht="22" customHeight="1">
      <x:c r="A105" s="2" t="str">
        <x:v>CB_STEADY</x:v>
      </x:c>
      <x:c r="B105" s="2" t="str">
        <x:v>Permanent grassland</x:v>
      </x:c>
      <x:c r="C105" s="2" t="n">
        <x:v>2037</x:v>
      </x:c>
      <x:c r="D105" s="16" t="n">
        <x:f>Inputs!H13</x:f>
        <x:v>837900.0000000001</x:v>
      </x:c>
      <x:c r="E105" s="16" t="n">
        <x:f>D105*'Cohort factors'!C45</x:f>
        <x:v>34912.5</x:v>
      </x:c>
      <x:c r="F105" s="16" t="n">
        <x:f>D105*'Cohort factors'!D45</x:f>
        <x:v>384037.50000000006</x:v>
      </x:c>
      <x:c r="G105" s="16" t="n">
        <x:f>F105*Inputs!D13</x:f>
        <x:v>63750225.00000001</x:v>
      </x:c>
      <x:c r="H105" s="16" t="n">
        <x:f>D105*Inputs!D13*'Cohort factors'!E45*Inputs!$B$5/1000</x:f>
        <x:v>2265763.8062852086</x:v>
      </x:c>
      <x:c r="I105" s="16" t="n">
        <x:f>H105*Inputs!$B$10</x:f>
        <x:v>565698.6866060981</x:v>
      </x:c>
      <x:c r="J105" s="16" t="n">
        <x:f>D105*T105*Inputs!$B$8*U105*0</x:f>
        <x:v>0</x:v>
      </x:c>
      <x:c r="K105" s="16" t="n">
        <x:f>SUM(H105:J105)</x:f>
        <x:v>2831462.4928913065</x:v>
      </x:c>
      <x:c r="L105" s="16" t="n">
        <x:f>H105-H104</x:f>
        <x:v>508135.3549125688</x:v>
      </x:c>
      <x:c r="M105" s="16" t="n">
        <x:f>K105-K104</x:f>
        <x:v>635002.7283319761</x:v>
      </x:c>
      <x:c r="N105" s="16" t="n">
        <x:f>H105*44/12/1000000</x:f>
        <x:v>8.307800623045765</x:v>
      </x:c>
      <x:c r="O105" s="16" t="n">
        <x:f>K105*44/12/1000000</x:f>
        <x:v>10.382029140601459</x:v>
      </x:c>
      <x:c r="P105" s="16" t="n">
        <x:f>L105*44/12/1000000</x:f>
        <x:v>1.8631629680127522</x:v>
      </x:c>
      <x:c r="Q105" s="16" t="n">
        <x:f>M105*44/12/1000000</x:f>
        <x:v>2.3283433372172455</x:v>
      </x:c>
      <x:c r="R105" s="16" t="n">
        <x:f>(H105+I105)*44/12/1000000</x:f>
        <x:v>10.382029140601459</x:v>
      </x:c>
      <x:c r="S105" s="16" t="n">
        <x:f>R105-R104</x:f>
        <x:v>2.3283433372172464</x:v>
      </x:c>
      <x:c r="T105" s="2" t="n">
        <x:f>Inputs!E13/Inputs!F13</x:f>
        <x:v>0.2</x:v>
      </x:c>
      <x:c r="U105" s="2" t="n">
        <x:f>'Cohort factors'!F45</x:f>
        <x:v>2.75</x:v>
      </x:c>
      <x:c r="V105" s="2" t="n">
        <x:f>D105*Inputs!D13*'Cohort factors'!G45*Inputs!$B$5/1000*44/12/1000000</x:f>
        <x:v>1.0836850699092138</x:v>
      </x:c>
    </x:row>
    <x:row r="106" ht="22" customHeight="1">
      <x:c r="A106" s="2" t="str">
        <x:v>CB_STEADY</x:v>
      </x:c>
      <x:c r="B106" s="2" t="str">
        <x:v>Permanent grassland</x:v>
      </x:c>
      <x:c r="C106" s="2" t="n">
        <x:v>2038</x:v>
      </x:c>
      <x:c r="D106" s="16" t="n">
        <x:f>Inputs!H13</x:f>
        <x:v>837900.0000000001</x:v>
      </x:c>
      <x:c r="E106" s="16" t="n">
        <x:f>D106*'Cohort factors'!C46</x:f>
        <x:v>34912.5</x:v>
      </x:c>
      <x:c r="F106" s="16" t="n">
        <x:f>D106*'Cohort factors'!D46</x:f>
        <x:v>418950.00000000006</x:v>
      </x:c>
      <x:c r="G106" s="16" t="n">
        <x:f>F106*Inputs!D13</x:f>
        <x:v>69545700.00000001</x:v>
      </x:c>
      <x:c r="H106" s="16" t="n">
        <x:f>D106*Inputs!D13*'Cohort factors'!E46*Inputs!$B$5/1000</x:f>
        <x:v>2874475.73557267</x:v>
      </x:c>
      <x:c r="I106" s="16" t="n">
        <x:f>H106*Inputs!$B$10</x:f>
        <x:v>717677.2547005147</x:v>
      </x:c>
      <x:c r="J106" s="16" t="n">
        <x:f>D106*T106*Inputs!$B$8*U106*0</x:f>
        <x:v>0</x:v>
      </x:c>
      <x:c r="K106" s="16" t="n">
        <x:f>SUM(H106:J106)</x:f>
        <x:v>3592152.990273185</x:v>
      </x:c>
      <x:c r="L106" s="16" t="n">
        <x:f>H106-H105</x:f>
        <x:v>608711.9292874616</x:v>
      </x:c>
      <x:c r="M106" s="16" t="n">
        <x:f>K106-K105</x:f>
        <x:v>760690.4973818786</x:v>
      </x:c>
      <x:c r="N106" s="16" t="n">
        <x:f>H106*44/12/1000000</x:f>
        <x:v>10.539744363766456</x:v>
      </x:c>
      <x:c r="O106" s="16" t="n">
        <x:f>K106*44/12/1000000</x:f>
        <x:v>13.17122763100168</x:v>
      </x:c>
      <x:c r="P106" s="16" t="n">
        <x:f>L106*44/12/1000000</x:f>
        <x:v>2.2319437407206926</x:v>
      </x:c>
      <x:c r="Q106" s="16" t="n">
        <x:f>M106*44/12/1000000</x:f>
        <x:v>2.789198490400221</x:v>
      </x:c>
      <x:c r="R106" s="16" t="n">
        <x:f>(H106+I106)*44/12/1000000</x:f>
        <x:v>13.17122763100168</x:v>
      </x:c>
      <x:c r="S106" s="16" t="n">
        <x:f>R106-R105</x:f>
        <x:v>2.7891984904002207</x:v>
      </x:c>
      <x:c r="T106" s="2" t="n">
        <x:f>Inputs!E13/Inputs!F13</x:f>
        <x:v>0.2</x:v>
      </x:c>
      <x:c r="U106" s="2" t="n">
        <x:f>'Cohort factors'!F46</x:f>
        <x:v>3.25</x:v>
      </x:c>
      <x:c r="V106" s="2" t="n">
        <x:f>D106*Inputs!D13*'Cohort factors'!G46*Inputs!$B$5/1000*44/12/1000000</x:f>
        <x:v>1.269680381635938</x:v>
      </x:c>
    </x:row>
    <x:row r="107" ht="22" customHeight="1">
      <x:c r="A107" s="2" t="str">
        <x:v>CB_STEADY</x:v>
      </x:c>
      <x:c r="B107" s="2" t="str">
        <x:v>Permanent grassland</x:v>
      </x:c>
      <x:c r="C107" s="2" t="n">
        <x:v>2039</x:v>
      </x:c>
      <x:c r="D107" s="16" t="n">
        <x:f>Inputs!H13</x:f>
        <x:v>837900.0000000001</x:v>
      </x:c>
      <x:c r="E107" s="16" t="n">
        <x:f>D107*'Cohort factors'!C47</x:f>
        <x:v>34912.5</x:v>
      </x:c>
      <x:c r="F107" s="16" t="n">
        <x:f>D107*'Cohort factors'!D47</x:f>
        <x:v>453862.50000000006</x:v>
      </x:c>
      <x:c r="G107" s="16" t="n">
        <x:f>F107*Inputs!D13</x:f>
        <x:v>75341175.00000001</x:v>
      </x:c>
      <x:c r="H107" s="16" t="n">
        <x:f>D107*Inputs!D13*'Cohort factors'!E47*Inputs!$B$5/1000</x:f>
        <x:v>3583764.239235022</x:v>
      </x:c>
      <x:c r="I107" s="16" t="n">
        <x:f>H107*Inputs!$B$10</x:f>
        <x:v>894767.0174699398</x:v>
      </x:c>
      <x:c r="J107" s="16" t="n">
        <x:f>D107*T107*Inputs!$B$8*U107*0</x:f>
        <x:v>0</x:v>
      </x:c>
      <x:c r="K107" s="16" t="n">
        <x:f>SUM(H107:J107)</x:f>
        <x:v>4478531.256704962</x:v>
      </x:c>
      <x:c r="L107" s="16" t="n">
        <x:f>H107-H106</x:f>
        <x:v>709288.503662352</x:v>
      </x:c>
      <x:c r="M107" s="16" t="n">
        <x:f>K107-K106</x:f>
        <x:v>886378.2664317768</x:v>
      </x:c>
      <x:c r="N107" s="16" t="n">
        <x:f>H107*44/12/1000000</x:f>
        <x:v>13.140468877195081</x:v>
      </x:c>
      <x:c r="O107" s="16" t="n">
        <x:f>K107*44/12/1000000</x:f>
        <x:v>16.42128127458486</x:v>
      </x:c>
      <x:c r="P107" s="16" t="n">
        <x:f>L107*44/12/1000000</x:f>
        <x:v>2.600724513428624</x:v>
      </x:c>
      <x:c r="Q107" s="16" t="n">
        <x:f>M107*44/12/1000000</x:f>
        <x:v>3.2500536435831817</x:v>
      </x:c>
      <x:c r="R107" s="16" t="n">
        <x:f>(H107+I107)*44/12/1000000</x:f>
        <x:v>16.42128127458486</x:v>
      </x:c>
      <x:c r="S107" s="16" t="n">
        <x:f>R107-R106</x:f>
        <x:v>3.250053643583181</x:v>
      </x:c>
      <x:c r="T107" s="2" t="n">
        <x:f>Inputs!E13/Inputs!F13</x:f>
        <x:v>0.2</x:v>
      </x:c>
      <x:c r="U107" s="2" t="n">
        <x:f>'Cohort factors'!F47</x:f>
        <x:v>3.7916666666666665</x:v>
      </x:c>
      <x:c r="V107" s="2" t="n">
        <x:f>D107*Inputs!D13*'Cohort factors'!G47*Inputs!$B$5/1000*44/12/1000000</x:f>
        <x:v>1.46973611343814</x:v>
      </x:c>
    </x:row>
    <x:row r="108" ht="22" customHeight="1">
      <x:c r="A108" s="2" t="str">
        <x:v>CB_STEADY</x:v>
      </x:c>
      <x:c r="B108" s="2" t="str">
        <x:v>Permanent grassland</x:v>
      </x:c>
      <x:c r="C108" s="2" t="n">
        <x:v>2040</x:v>
      </x:c>
      <x:c r="D108" s="16" t="n">
        <x:f>Inputs!H13</x:f>
        <x:v>837900.0000000001</x:v>
      </x:c>
      <x:c r="E108" s="16" t="n">
        <x:f>D108*'Cohort factors'!C48</x:f>
        <x:v>34912.5</x:v>
      </x:c>
      <x:c r="F108" s="16" t="n">
        <x:f>D108*'Cohort factors'!D48</x:f>
        <x:v>488775.0000000001</x:v>
      </x:c>
      <x:c r="G108" s="16" t="n">
        <x:f>F108*Inputs!D13</x:f>
        <x:v>81136650.00000001</x:v>
      </x:c>
      <x:c r="H108" s="16" t="n">
        <x:f>D108*Inputs!D13*'Cohort factors'!E48*Inputs!$B$5/1000</x:f>
        <x:v>4357200.024698746</x:v>
      </x:c>
      <x:c r="I108" s="16" t="n">
        <x:f>H108*Inputs!$B$10</x:f>
        <x:v>1087872.5860191751</x:v>
      </x:c>
      <x:c r="J108" s="16" t="n">
        <x:f>D108*T108*Inputs!$B$8*U108*0</x:f>
        <x:v>0</x:v>
      </x:c>
      <x:c r="K108" s="16" t="n">
        <x:f>SUM(H108:J108)</x:f>
        <x:v>5445072.6107179215</x:v>
      </x:c>
      <x:c r="L108" s="16" t="n">
        <x:f>H108-H107</x:f>
        <x:v>773435.7854637243</x:v>
      </x:c>
      <x:c r="M108" s="16" t="n">
        <x:f>K108-K107</x:f>
        <x:v>966541.3540129596</x:v>
      </x:c>
      <x:c r="N108" s="16" t="n">
        <x:f>H108*44/12/1000000</x:f>
        <x:v>15.97640009056207</x:v>
      </x:c>
      <x:c r="O108" s="16" t="n">
        <x:f>K108*44/12/1000000</x:f>
        <x:v>19.965266239299048</x:v>
      </x:c>
      <x:c r="P108" s="16" t="n">
        <x:f>L108*44/12/1000000</x:f>
        <x:v>2.835931213366989</x:v>
      </x:c>
      <x:c r="Q108" s="16" t="n">
        <x:f>M108*44/12/1000000</x:f>
        <x:v>3.543984964714186</x:v>
      </x:c>
      <x:c r="R108" s="16" t="n">
        <x:f>(H108+I108)*44/12/1000000</x:f>
        <x:v>19.965266239299048</x:v>
      </x:c>
      <x:c r="S108" s="16" t="n">
        <x:f>R108-R107</x:f>
        <x:v>3.5439849647141877</x:v>
      </x:c>
      <x:c r="T108" s="2" t="n">
        <x:f>Inputs!E13/Inputs!F13</x:f>
        <x:v>0.2</x:v>
      </x:c>
      <x:c r="U108" s="2" t="n">
        <x:f>'Cohort factors'!F48</x:f>
        <x:v>4.375</x:v>
      </x:c>
      <x:c r="V108" s="2" t="n">
        <x:f>D108*Inputs!D13*'Cohort factors'!G48*Inputs!$B$5/1000*44/12/1000000</x:f>
        <x:v>1.672302628678639</x:v>
      </x:c>
    </x:row>
    <x:row r="109" ht="22" customHeight="1">
      <x:c r="A109" s="2" t="str">
        <x:v>CB_STEADY</x:v>
      </x:c>
      <x:c r="B109" s="2" t="str">
        <x:v>Permanent grassland</x:v>
      </x:c>
      <x:c r="C109" s="2" t="n">
        <x:v>2041</x:v>
      </x:c>
      <x:c r="D109" s="16" t="n">
        <x:f>Inputs!H13</x:f>
        <x:v>837900.0000000001</x:v>
      </x:c>
      <x:c r="E109" s="16" t="n">
        <x:f>D109*'Cohort factors'!C49</x:f>
        <x:v>34912.5</x:v>
      </x:c>
      <x:c r="F109" s="16" t="n">
        <x:f>D109*'Cohort factors'!D49</x:f>
        <x:v>523687.50000000006</x:v>
      </x:c>
      <x:c r="G109" s="16" t="n">
        <x:f>F109*Inputs!D13</x:f>
        <x:v>86932125.00000001</x:v>
      </x:c>
      <x:c r="H109" s="16" t="n">
        <x:f>D109*Inputs!D13*'Cohort factors'!E49*Inputs!$B$5/1000</x:f>
        <x:v>5233226.135144696</x:v>
      </x:c>
      <x:c r="I109" s="16" t="n">
        <x:f>H109*Inputs!$B$10</x:f>
        <x:v>1306592.1271898937</x:v>
      </x:c>
      <x:c r="J109" s="16" t="n">
        <x:f>D109*T109*Inputs!$B$8*U109*0</x:f>
        <x:v>0</x:v>
      </x:c>
      <x:c r="K109" s="16" t="n">
        <x:f>SUM(H109:J109)</x:f>
        <x:v>6539818.262334589</x:v>
      </x:c>
      <x:c r="L109" s="16" t="n">
        <x:f>H109-H108</x:f>
        <x:v>876026.1104459492</x:v>
      </x:c>
      <x:c r="M109" s="16" t="n">
        <x:f>K109-K108</x:f>
        <x:v>1094745.6516166674</x:v>
      </x:c>
      <x:c r="N109" s="16" t="n">
        <x:f>H109*44/12/1000000</x:f>
        <x:v>19.188495828863886</x:v>
      </x:c>
      <x:c r="O109" s="16" t="n">
        <x:f>K109*44/12/1000000</x:f>
        <x:v>23.97933362856016</x:v>
      </x:c>
      <x:c r="P109" s="16" t="n">
        <x:f>L109*44/12/1000000</x:f>
        <x:v>3.2120957383018136</x:v>
      </x:c>
      <x:c r="Q109" s="16" t="n">
        <x:f>M109*44/12/1000000</x:f>
        <x:v>4.014067389261114</x:v>
      </x:c>
      <x:c r="R109" s="16" t="n">
        <x:f>(H109+I109)*44/12/1000000</x:f>
        <x:v>23.97933362856016</x:v>
      </x:c>
      <x:c r="S109" s="16" t="n">
        <x:f>R109-R108</x:f>
        <x:v>4.014067389261111</x:v>
      </x:c>
      <x:c r="T109" s="2" t="n">
        <x:f>Inputs!E13/Inputs!F13</x:f>
        <x:v>0.2</x:v>
      </x:c>
      <x:c r="U109" s="2" t="n">
        <x:f>'Cohort factors'!F49</x:f>
        <x:v>5</x:v>
      </x:c>
      <x:c r="V109" s="2" t="n">
        <x:f>D109*Inputs!D13*'Cohort factors'!G49*Inputs!$B$5/1000*44/12/1000000</x:f>
        <x:v>1.8864423445654266</x:v>
      </x:c>
    </x:row>
    <x:row r="110" ht="22" customHeight="1">
      <x:c r="A110" s="2" t="str">
        <x:v>CB_STEADY</x:v>
      </x:c>
      <x:c r="B110" s="2" t="str">
        <x:v>Permanent grassland</x:v>
      </x:c>
      <x:c r="C110" s="2" t="n">
        <x:v>2042</x:v>
      </x:c>
      <x:c r="D110" s="16" t="n">
        <x:f>Inputs!H13</x:f>
        <x:v>837900.0000000001</x:v>
      </x:c>
      <x:c r="E110" s="16" t="n">
        <x:f>D110*'Cohort factors'!C50</x:f>
        <x:v>34912.5</x:v>
      </x:c>
      <x:c r="F110" s="16" t="n">
        <x:f>D110*'Cohort factors'!D50</x:f>
        <x:v>558600</x:v>
      </x:c>
      <x:c r="G110" s="16" t="n">
        <x:f>F110*Inputs!D13</x:f>
        <x:v>92727600</x:v>
      </x:c>
      <x:c r="H110" s="16" t="n">
        <x:f>D110*Inputs!D13*'Cohort factors'!E50*Inputs!$B$5/1000</x:f>
        <x:v>6220476.632445917</x:v>
      </x:c>
      <x:c r="I110" s="16" t="n">
        <x:f>H110*Inputs!$B$10</x:f>
        <x:v>1553081.3279288597</x:v>
      </x:c>
      <x:c r="J110" s="16" t="n">
        <x:f>D110*T110*Inputs!$B$8*U110*0</x:f>
        <x:v>0</x:v>
      </x:c>
      <x:c r="K110" s="16" t="n">
        <x:f>SUM(H110:J110)</x:f>
        <x:v>7773557.960374777</x:v>
      </x:c>
      <x:c r="L110" s="16" t="n">
        <x:f>H110-H109</x:f>
        <x:v>987250.4973012218</x:v>
      </x:c>
      <x:c r="M110" s="16" t="n">
        <x:f>K110-K109</x:f>
        <x:v>1233739.6980401883</x:v>
      </x:c>
      <x:c r="N110" s="16" t="n">
        <x:f>H110*44/12/1000000</x:f>
        <x:v>22.808414318968367</x:v>
      </x:c>
      <x:c r="O110" s="16" t="n">
        <x:f>K110*44/12/1000000</x:f>
        <x:v>28.503045854707512</x:v>
      </x:c>
      <x:c r="P110" s="16" t="n">
        <x:f>L110*44/12/1000000</x:f>
        <x:v>3.6199184901044803</x:v>
      </x:c>
      <x:c r="Q110" s="16" t="n">
        <x:f>M110*44/12/1000000</x:f>
        <x:v>4.5237122261473575</x:v>
      </x:c>
      <x:c r="R110" s="16" t="n">
        <x:f>(H110+I110)*44/12/1000000</x:f>
        <x:v>28.503045854707512</x:v>
      </x:c>
      <x:c r="S110" s="16" t="n">
        <x:f>R110-R109</x:f>
        <x:v>4.523712226147353</x:v>
      </x:c>
      <x:c r="T110" s="2" t="n">
        <x:f>Inputs!E13/Inputs!F13</x:f>
        <x:v>0.2</x:v>
      </x:c>
      <x:c r="U110" s="2" t="n">
        <x:f>'Cohort factors'!F50</x:f>
        <x:v>5.666666666666667</x:v>
      </x:c>
      <x:c r="V110" s="2" t="n">
        <x:f>D110*Inputs!D13*'Cohort factors'!G50*Inputs!$B$5/1000*44/12/1000000</x:f>
        <x:v>2.1126872501969567</x:v>
      </x:c>
    </x:row>
    <x:row r="111" ht="22" customHeight="1">
      <x:c r="A111" s="2" t="str">
        <x:v>CB_STEADY</x:v>
      </x:c>
      <x:c r="B111" s="2" t="str">
        <x:v>Permanent grassland</x:v>
      </x:c>
      <x:c r="C111" s="2" t="n">
        <x:v>2043</x:v>
      </x:c>
      <x:c r="D111" s="16" t="n">
        <x:f>Inputs!H13</x:f>
        <x:v>837900.0000000001</x:v>
      </x:c>
      <x:c r="E111" s="16" t="n">
        <x:f>D111*'Cohort factors'!C51</x:f>
        <x:v>34912.5</x:v>
      </x:c>
      <x:c r="F111" s="16" t="n">
        <x:f>D111*'Cohort factors'!D51</x:f>
        <x:v>593512.5000000001</x:v>
      </x:c>
      <x:c r="G111" s="16" t="n">
        <x:f>F111*Inputs!D13</x:f>
        <x:v>98523075.00000001</x:v>
      </x:c>
      <x:c r="H111" s="16" t="n">
        <x:f>D111*Inputs!D13*'Cohort factors'!E51*Inputs!$B$5/1000</x:f>
        <x:v>7311392.105022232</x:v>
      </x:c>
      <x:c r="I111" s="16" t="n">
        <x:f>H111*Inputs!$B$10</x:f>
        <x:v>1825452.8118067381</x:v>
      </x:c>
      <x:c r="J111" s="16" t="n">
        <x:f>D111*T111*Inputs!$B$8*U111*0</x:f>
        <x:v>0</x:v>
      </x:c>
      <x:c r="K111" s="16" t="n">
        <x:f>SUM(H111:J111)</x:f>
        <x:v>9136844.91682897</x:v>
      </x:c>
      <x:c r="L111" s="16" t="n">
        <x:f>H111-H110</x:f>
        <x:v>1090915.4725763146</x:v>
      </x:c>
      <x:c r="M111" s="16" t="n">
        <x:f>K111-K110</x:f>
        <x:v>1363286.9564541923</x:v>
      </x:c>
      <x:c r="N111" s="16" t="n">
        <x:f>H111*44/12/1000000</x:f>
        <x:v>26.808437718414854</x:v>
      </x:c>
      <x:c r="O111" s="16" t="n">
        <x:f>K111*44/12/1000000</x:f>
        <x:v>33.501764695039554</x:v>
      </x:c>
      <x:c r="P111" s="16" t="n">
        <x:f>L111*44/12/1000000</x:f>
        <x:v>4.000023399446487</x:v>
      </x:c>
      <x:c r="Q111" s="16" t="n">
        <x:f>M111*44/12/1000000</x:f>
        <x:v>4.998718840332039</x:v>
      </x:c>
      <x:c r="R111" s="16" t="n">
        <x:f>(H111+I111)*44/12/1000000</x:f>
        <x:v>33.501764695039554</x:v>
      </x:c>
      <x:c r="S111" s="16" t="n">
        <x:f>R111-R110</x:f>
        <x:v>4.998718840332042</x:v>
      </x:c>
      <x:c r="T111" s="2" t="n">
        <x:f>Inputs!E13/Inputs!F13</x:f>
        <x:v>0.2</x:v>
      </x:c>
      <x:c r="U111" s="2" t="n">
        <x:f>'Cohort factors'!F51</x:f>
        <x:v>6.375</x:v>
      </x:c>
      <x:c r="V111" s="2" t="n">
        <x:f>D111*Inputs!D13*'Cohort factors'!G51*Inputs!$B$5/1000*44/12/1000000</x:f>
        <x:v>2.347982744282044</x:v>
      </x:c>
    </x:row>
    <x:row r="112" ht="22" customHeight="1">
      <x:c r="A112" s="2" t="str">
        <x:v>CB_STEADY</x:v>
      </x:c>
      <x:c r="B112" s="2" t="str">
        <x:v>Permanent grassland</x:v>
      </x:c>
      <x:c r="C112" s="2" t="n">
        <x:v>2044</x:v>
      </x:c>
      <x:c r="D112" s="16" t="n">
        <x:f>Inputs!H13</x:f>
        <x:v>837900.0000000001</x:v>
      </x:c>
      <x:c r="E112" s="16" t="n">
        <x:f>D112*'Cohort factors'!C52</x:f>
        <x:v>34912.5</x:v>
      </x:c>
      <x:c r="F112" s="16" t="n">
        <x:f>D112*'Cohort factors'!D52</x:f>
        <x:v>628425.0000000001</x:v>
      </x:c>
      <x:c r="G112" s="16" t="n">
        <x:f>F112*Inputs!D13</x:f>
        <x:v>104318550.00000001</x:v>
      </x:c>
      <x:c r="H112" s="16" t="n">
        <x:f>D112*Inputs!D13*'Cohort factors'!E52*Inputs!$B$5/1000</x:f>
        <x:v>8516161.19373342</x:v>
      </x:c>
      <x:c r="I112" s="16" t="n">
        <x:f>H112*Inputs!$B$10</x:f>
        <x:v>2126250.4012363907</x:v>
      </x:c>
      <x:c r="J112" s="16" t="n">
        <x:f>D112*T112*Inputs!$B$8*U112*0</x:f>
        <x:v>0</x:v>
      </x:c>
      <x:c r="K112" s="16" t="n">
        <x:f>SUM(H112:J112)</x:f>
        <x:v>10642411.59496981</x:v>
      </x:c>
      <x:c r="L112" s="16" t="n">
        <x:f>H112-H111</x:f>
        <x:v>1204769.0887111882</x:v>
      </x:c>
      <x:c r="M112" s="16" t="n">
        <x:f>K112-K111</x:f>
        <x:v>1505566.6781408414</x:v>
      </x:c>
      <x:c r="N112" s="16" t="n">
        <x:f>H112*44/12/1000000</x:f>
        <x:v>31.225924377022537</x:v>
      </x:c>
      <x:c r="O112" s="16" t="n">
        <x:f>K112*44/12/1000000</x:f>
        <x:v>39.02217584822264</x:v>
      </x:c>
      <x:c r="P112" s="16" t="n">
        <x:f>L112*44/12/1000000</x:f>
        <x:v>4.41748665860769</x:v>
      </x:c>
      <x:c r="Q112" s="16" t="n">
        <x:f>M112*44/12/1000000</x:f>
        <x:v>5.520411153183085</x:v>
      </x:c>
      <x:c r="R112" s="16" t="n">
        <x:f>(H112+I112)*44/12/1000000</x:f>
        <x:v>39.02217584822264</x:v>
      </x:c>
      <x:c r="S112" s="16" t="n">
        <x:f>R112-R111</x:f>
        <x:v>5.520411153183083</x:v>
      </x:c>
      <x:c r="T112" s="2" t="n">
        <x:f>Inputs!E13/Inputs!F13</x:f>
        <x:v>0.2</x:v>
      </x:c>
      <x:c r="U112" s="2" t="n">
        <x:f>'Cohort factors'!F52</x:f>
        <x:v>7.125</x:v>
      </x:c>
      <x:c r="V112" s="2" t="n">
        <x:f>D112*Inputs!D13*'Cohort factors'!G52*Inputs!$B$5/1000*44/12/1000000</x:f>
        <x:v>2.5933986697602487</x:v>
      </x:c>
    </x:row>
    <x:row r="113" ht="22" customHeight="1">
      <x:c r="A113" s="2" t="str">
        <x:v>CB_STEADY</x:v>
      </x:c>
      <x:c r="B113" s="2" t="str">
        <x:v>Permanent grassland</x:v>
      </x:c>
      <x:c r="C113" s="2" t="n">
        <x:v>2045</x:v>
      </x:c>
      <x:c r="D113" s="16" t="n">
        <x:f>Inputs!H13</x:f>
        <x:v>837900.0000000001</x:v>
      </x:c>
      <x:c r="E113" s="16" t="n">
        <x:f>D113*'Cohort factors'!C53</x:f>
        <x:v>34912.5</x:v>
      </x:c>
      <x:c r="F113" s="16" t="n">
        <x:f>D113*'Cohort factors'!D53</x:f>
        <x:v>663337.5000000001</x:v>
      </x:c>
      <x:c r="G113" s="16" t="n">
        <x:f>F113*Inputs!D13</x:f>
        <x:v>110114025.00000001</x:v>
      </x:c>
      <x:c r="H113" s="16" t="n">
        <x:f>D113*Inputs!D13*'Cohort factors'!E53*Inputs!$B$5/1000</x:f>
        <x:v>9801679.889142213</x:v>
      </x:c>
      <x:c r="I113" s="16" t="n">
        <x:f>H113*Inputs!$B$10</x:f>
        <x:v>2447208.9387428365</x:v>
      </x:c>
      <x:c r="J113" s="16" t="n">
        <x:f>D113*T113*Inputs!$B$8*U113*0</x:f>
        <x:v>0</x:v>
      </x:c>
      <x:c r="K113" s="16" t="n">
        <x:f>SUM(H113:J113)</x:f>
        <x:v>12248888.82788505</x:v>
      </x:c>
      <x:c r="L113" s="16" t="n">
        <x:f>H113-H112</x:f>
        <x:v>1285518.6954087932</x:v>
      </x:c>
      <x:c r="M113" s="16" t="n">
        <x:f>K113-K112</x:f>
        <x:v>1606477.2329152394</x:v>
      </x:c>
      <x:c r="N113" s="16" t="n">
        <x:f>H113*44/12/1000000</x:f>
        <x:v>35.93949292685478</x:v>
      </x:c>
      <x:c r="O113" s="16" t="n">
        <x:f>K113*44/12/1000000</x:f>
        <x:v>44.91259236891185</x:v>
      </x:c>
      <x:c r="P113" s="16" t="n">
        <x:f>L113*44/12/1000000</x:f>
        <x:v>4.7135685498322415</x:v>
      </x:c>
      <x:c r="Q113" s="16" t="n">
        <x:f>M113*44/12/1000000</x:f>
        <x:v>5.890416520689212</x:v>
      </x:c>
      <x:c r="R113" s="16" t="n">
        <x:f>(H113+I113)*44/12/1000000</x:f>
        <x:v>44.91259236891185</x:v>
      </x:c>
      <x:c r="S113" s="16" t="n">
        <x:f>R113-R112</x:f>
        <x:v>5.8904165206892145</x:v>
      </x:c>
      <x:c r="T113" s="2" t="n">
        <x:f>Inputs!E13/Inputs!F13</x:f>
        <x:v>0.2</x:v>
      </x:c>
      <x:c r="U113" s="2" t="n">
        <x:f>'Cohort factors'!F53</x:f>
        <x:v>7.916666666666667</x:v>
      </x:c>
      <x:c r="V113" s="2" t="n">
        <x:f>D113*Inputs!D13*'Cohort factors'!G53*Inputs!$B$5/1000*44/12/1000000</x:f>
        <x:v>2.841481225014578</x:v>
      </x:c>
    </x:row>
    <x:row r="114" ht="22" customHeight="1">
      <x:c r="A114" s="2" t="str">
        <x:v>CB_STEADY</x:v>
      </x:c>
      <x:c r="B114" s="2" t="str">
        <x:v>Permanent grassland</x:v>
      </x:c>
      <x:c r="C114" s="2" t="n">
        <x:v>2046</x:v>
      </x:c>
      <x:c r="D114" s="16" t="n">
        <x:f>Inputs!H13</x:f>
        <x:v>837900.0000000001</x:v>
      </x:c>
      <x:c r="E114" s="16" t="n">
        <x:f>D114*'Cohort factors'!C54</x:f>
        <x:v>34912.5</x:v>
      </x:c>
      <x:c r="F114" s="16" t="n">
        <x:f>D114*'Cohort factors'!D54</x:f>
        <x:v>698250.0000000001</x:v>
      </x:c>
      <x:c r="G114" s="16" t="n">
        <x:f>F114*Inputs!D13</x:f>
        <x:v>115909500.00000001</x:v>
      </x:c>
      <x:c r="H114" s="16" t="n">
        <x:f>D114*Inputs!D13*'Cohort factors'!E54*Inputs!$B$5/1000</x:f>
        <x:v>11134742.031850817</x:v>
      </x:c>
      <x:c r="I114" s="16" t="n">
        <x:f>H114*Inputs!$B$10</x:f>
        <x:v>2780037.7628253247</x:v>
      </x:c>
      <x:c r="J114" s="16" t="n">
        <x:f>D114*T114*Inputs!$B$8*U114*0</x:f>
        <x:v>0</x:v>
      </x:c>
      <x:c r="K114" s="16" t="n">
        <x:f>SUM(H114:J114)</x:f>
        <x:v>13914779.794676142</x:v>
      </x:c>
      <x:c r="L114" s="16" t="n">
        <x:f>H114-H113</x:f>
        <x:v>1333062.1427086033</x:v>
      </x:c>
      <x:c r="M114" s="16" t="n">
        <x:f>K114-K113</x:f>
        <x:v>1665890.9667910915</x:v>
      </x:c>
      <x:c r="N114" s="16" t="n">
        <x:f>H114*44/12/1000000</x:f>
        <x:v>40.82738745011966</x:v>
      </x:c>
      <x:c r="O114" s="16" t="n">
        <x:f>K114*44/12/1000000</x:f>
        <x:v>51.02085924714586</x:v>
      </x:c>
      <x:c r="P114" s="16" t="n">
        <x:f>L114*44/12/1000000</x:f>
        <x:v>4.887894523264879</x:v>
      </x:c>
      <x:c r="Q114" s="16" t="n">
        <x:f>M114*44/12/1000000</x:f>
        <x:v>6.1082668782340015</x:v>
      </x:c>
      <x:c r="R114" s="16" t="n">
        <x:f>(H114+I114)*44/12/1000000</x:f>
        <x:v>51.02085924714586</x:v>
      </x:c>
      <x:c r="S114" s="16" t="n">
        <x:f>R114-R113</x:f>
        <x:v>6.108266878234005</x:v>
      </x:c>
      <x:c r="T114" s="2" t="n">
        <x:f>Inputs!E13/Inputs!F13</x:f>
        <x:v>0.2</x:v>
      </x:c>
      <x:c r="U114" s="2" t="n">
        <x:f>'Cohort factors'!F54</x:f>
        <x:v>8.75</x:v>
      </x:c>
      <x:c r="V114" s="2" t="n">
        <x:f>D114*Inputs!D13*'Cohort factors'!G54*Inputs!$B$5/1000*44/12/1000000</x:f>
        <x:v>3.085875951177821</x:v>
      </x:c>
    </x:row>
    <x:row r="115" ht="22" customHeight="1">
      <x:c r="A115" s="2" t="str">
        <x:v>CB_STEADY</x:v>
      </x:c>
      <x:c r="B115" s="2" t="str">
        <x:v>Permanent grassland</x:v>
      </x:c>
      <x:c r="C115" s="2" t="n">
        <x:v>2047</x:v>
      </x:c>
      <x:c r="D115" s="16" t="n">
        <x:f>Inputs!H13</x:f>
        <x:v>837900.0000000001</x:v>
      </x:c>
      <x:c r="E115" s="16" t="n">
        <x:f>D115*'Cohort factors'!C55</x:f>
        <x:v>34912.5</x:v>
      </x:c>
      <x:c r="F115" s="16" t="n">
        <x:f>D115*'Cohort factors'!D55</x:f>
        <x:v>733162.5000000001</x:v>
      </x:c>
      <x:c r="G115" s="16" t="n">
        <x:f>F115*Inputs!D13</x:f>
        <x:v>121704975.00000001</x:v>
      </x:c>
      <x:c r="H115" s="16" t="n">
        <x:f>D115*Inputs!D13*'Cohort factors'!E55*Inputs!$B$5/1000</x:f>
        <x:v>12544485.080396956</x:v>
      </x:c>
      <x:c r="I115" s="16" t="n">
        <x:f>H115*Inputs!$B$10</x:f>
        <x:v>3132011.6926773232</x:v>
      </x:c>
      <x:c r="J115" s="16" t="n">
        <x:f>D115*T115*Inputs!$B$8*U115*0</x:f>
        <x:v>0</x:v>
      </x:c>
      <x:c r="K115" s="16" t="n">
        <x:f>SUM(H115:J115)</x:f>
        <x:v>15676496.773074279</x:v>
      </x:c>
      <x:c r="L115" s="16" t="n">
        <x:f>H115-H114</x:f>
        <x:v>1409743.0485461392</x:v>
      </x:c>
      <x:c r="M115" s="16" t="n">
        <x:f>K115-K114</x:f>
        <x:v>1761716.9783981368</x:v>
      </x:c>
      <x:c r="N115" s="16" t="n">
        <x:f>H115*44/12/1000000</x:f>
        <x:v>45.996445294788835</x:v>
      </x:c>
      <x:c r="O115" s="16" t="n">
        <x:f>K115*44/12/1000000</x:f>
        <x:v>57.480488167939015</x:v>
      </x:c>
      <x:c r="P115" s="16" t="n">
        <x:f>L115*44/12/1000000</x:f>
        <x:v>5.169057844669177</x:v>
      </x:c>
      <x:c r="Q115" s="16" t="n">
        <x:f>M115*44/12/1000000</x:f>
        <x:v>6.459628920793168</x:v>
      </x:c>
      <x:c r="R115" s="16" t="n">
        <x:f>(H115+I115)*44/12/1000000</x:f>
        <x:v>57.480488167939015</x:v>
      </x:c>
      <x:c r="S115" s="16" t="n">
        <x:f>R115-R114</x:f>
        <x:v>6.459628920793158</x:v>
      </x:c>
      <x:c r="T115" s="2" t="n">
        <x:f>Inputs!E13/Inputs!F13</x:f>
        <x:v>0.2</x:v>
      </x:c>
      <x:c r="U115" s="2" t="n">
        <x:f>'Cohort factors'!F55</x:f>
        <x:v>9.625</x:v>
      </x:c>
      <x:c r="V115" s="2" t="n">
        <x:f>D115*Inputs!D13*'Cohort factors'!G55*Inputs!$B$5/1000*44/12/1000000</x:f>
        <x:v>3.332021562828735</x:v>
      </x:c>
    </x:row>
    <x:row r="116" ht="22" customHeight="1">
      <x:c r="A116" s="2" t="str">
        <x:v>CB_STEADY</x:v>
      </x:c>
      <x:c r="B116" s="2" t="str">
        <x:v>Permanent grassland</x:v>
      </x:c>
      <x:c r="C116" s="2" t="n">
        <x:v>2048</x:v>
      </x:c>
      <x:c r="D116" s="16" t="n">
        <x:f>Inputs!H13</x:f>
        <x:v>837900.0000000001</x:v>
      </x:c>
      <x:c r="E116" s="16" t="n">
        <x:f>D116*'Cohort factors'!C56</x:f>
        <x:v>34912.5</x:v>
      </x:c>
      <x:c r="F116" s="16" t="n">
        <x:f>D116*'Cohort factors'!D56</x:f>
        <x:v>768075.0000000001</x:v>
      </x:c>
      <x:c r="G116" s="16" t="n">
        <x:f>F116*Inputs!D13</x:f>
        <x:v>127500450.00000001</x:v>
      </x:c>
      <x:c r="H116" s="16" t="n">
        <x:f>D116*Inputs!D13*'Cohort factors'!E56*Inputs!$B$5/1000</x:f>
        <x:v>14040360.988240348</x:v>
      </x:c>
      <x:c r="I116" s="16" t="n">
        <x:f>H116*Inputs!$B$10</x:f>
        <x:v>3505490.6202007122</x:v>
      </x:c>
      <x:c r="J116" s="16" t="n">
        <x:f>D116*T116*Inputs!$B$8*U116*0</x:f>
        <x:v>0</x:v>
      </x:c>
      <x:c r="K116" s="16" t="n">
        <x:f>SUM(H116:J116)</x:f>
        <x:v>17545851.608441062</x:v>
      </x:c>
      <x:c r="L116" s="16" t="n">
        <x:f>H116-H115</x:f>
        <x:v>1495875.9078433923</x:v>
      </x:c>
      <x:c r="M116" s="16" t="n">
        <x:f>K116-K115</x:f>
        <x:v>1869354.8353667837</x:v>
      </x:c>
      <x:c r="N116" s="16" t="n">
        <x:f>H116*44/12/1000000</x:f>
        <x:v>51.481323623547944</x:v>
      </x:c>
      <x:c r="O116" s="16" t="n">
        <x:f>K116*44/12/1000000</x:f>
        <x:v>64.33478923095056</x:v>
      </x:c>
      <x:c r="P116" s="16" t="n">
        <x:f>L116*44/12/1000000</x:f>
        <x:v>5.4848783287591045</x:v>
      </x:c>
      <x:c r="Q116" s="16" t="n">
        <x:f>M116*44/12/1000000</x:f>
        <x:v>6.8543010630115395</x:v>
      </x:c>
      <x:c r="R116" s="16" t="n">
        <x:f>(H116+I116)*44/12/1000000</x:f>
        <x:v>64.33478923095056</x:v>
      </x:c>
      <x:c r="S116" s="16" t="n">
        <x:f>R116-R115</x:f>
        <x:v>6.8543010630115475</x:v>
      </x:c>
      <x:c r="T116" s="2" t="n">
        <x:f>Inputs!E13/Inputs!F13</x:f>
        <x:v>0.2</x:v>
      </x:c>
      <x:c r="U116" s="2" t="n">
        <x:f>'Cohort factors'!F56</x:f>
        <x:v>10.541666666666666</x:v>
      </x:c>
      <x:c r="V116" s="2" t="n">
        <x:f>D116*Inputs!D13*'Cohort factors'!G56*Inputs!$B$5/1000*44/12/1000000</x:f>
        <x:v>3.5813342141359668</x:v>
      </x:c>
    </x:row>
    <x:row r="117" ht="22" customHeight="1">
      <x:c r="A117" s="2" t="str">
        <x:v>CB_STEADY</x:v>
      </x:c>
      <x:c r="B117" s="2" t="str">
        <x:v>Permanent grassland</x:v>
      </x:c>
      <x:c r="C117" s="2" t="n">
        <x:v>2049</x:v>
      </x:c>
      <x:c r="D117" s="16" t="n">
        <x:f>Inputs!H13</x:f>
        <x:v>837900.0000000001</x:v>
      </x:c>
      <x:c r="E117" s="16" t="n">
        <x:f>D117*'Cohort factors'!C57</x:f>
        <x:v>34912.5</x:v>
      </x:c>
      <x:c r="F117" s="16" t="n">
        <x:f>D117*'Cohort factors'!D57</x:f>
        <x:v>802987.5000000001</x:v>
      </x:c>
      <x:c r="G117" s="16" t="n">
        <x:f>F117*Inputs!D13</x:f>
        <x:v>133295925.00000001</x:v>
      </x:c>
      <x:c r="H117" s="16" t="n">
        <x:f>D117*Inputs!D13*'Cohort factors'!E57*Inputs!$B$5/1000</x:f>
        <x:v>15629567.176183572</x:v>
      </x:c>
      <x:c r="I117" s="16" t="n">
        <x:f>H117*Inputs!$B$10</x:f>
        <x:v>3902271.5427187234</x:v>
      </x:c>
      <x:c r="J117" s="16" t="n">
        <x:f>D117*T117*Inputs!$B$8*U117*0</x:f>
        <x:v>0</x:v>
      </x:c>
      <x:c r="K117" s="16" t="n">
        <x:f>SUM(H117:J117)</x:f>
        <x:v>19531838.718902297</x:v>
      </x:c>
      <x:c r="L117" s="16" t="n">
        <x:f>H117-H116</x:f>
        <x:v>1589206.1879432239</x:v>
      </x:c>
      <x:c r="M117" s="16" t="n">
        <x:f>K117-K116</x:f>
        <x:v>1985987.110461235</x:v>
      </x:c>
      <x:c r="N117" s="16" t="n">
        <x:f>H117*44/12/1000000</x:f>
        <x:v>57.30841297933977</x:v>
      </x:c>
      <x:c r="O117" s="16" t="n">
        <x:f>K117*44/12/1000000</x:f>
        <x:v>71.61674196930842</x:v>
      </x:c>
      <x:c r="P117" s="16" t="n">
        <x:f>L117*44/12/1000000</x:f>
        <x:v>5.827089355791821</x:v>
      </x:c>
      <x:c r="Q117" s="16" t="n">
        <x:f>M117*44/12/1000000</x:f>
        <x:v>7.2819527383578615</x:v>
      </x:c>
      <x:c r="R117" s="16" t="n">
        <x:f>(H117+I117)*44/12/1000000</x:f>
        <x:v>71.61674196930842</x:v>
      </x:c>
      <x:c r="S117" s="16" t="n">
        <x:f>R117-R116</x:f>
        <x:v>7.281952738357859</x:v>
      </x:c>
      <x:c r="T117" s="2" t="n">
        <x:f>Inputs!E13/Inputs!F13</x:f>
        <x:v>0.2</x:v>
      </x:c>
      <x:c r="U117" s="2" t="n">
        <x:f>'Cohort factors'!F57</x:f>
        <x:v>11.5</x:v>
      </x:c>
      <x:c r="V117" s="2" t="n">
        <x:f>D117*Inputs!D13*'Cohort factors'!G57*Inputs!$B$5/1000*44/12/1000000</x:f>
        <x:v>3.8346859252573497</x:v>
      </x:c>
    </x:row>
    <x:row r="118" ht="22" customHeight="1">
      <x:c r="A118" s="2" t="str">
        <x:v>CB_STEADY</x:v>
      </x:c>
      <x:c r="B118" s="2" t="str">
        <x:v>Permanent grassland</x:v>
      </x:c>
      <x:c r="C118" s="2" t="n">
        <x:v>2050</x:v>
      </x:c>
      <x:c r="D118" s="16" t="n">
        <x:f>Inputs!H13</x:f>
        <x:v>837900.0000000001</x:v>
      </x:c>
      <x:c r="E118" s="16" t="n">
        <x:f>D118*'Cohort factors'!C58</x:f>
        <x:v>34912.5</x:v>
      </x:c>
      <x:c r="F118" s="16" t="n">
        <x:f>D118*'Cohort factors'!D58</x:f>
        <x:v>837900.0000000001</x:v>
      </x:c>
      <x:c r="G118" s="16" t="n">
        <x:f>F118*Inputs!D13</x:f>
        <x:v>139091400.00000003</x:v>
      </x:c>
      <x:c r="H118" s="16" t="n">
        <x:f>D118*Inputs!D13*'Cohort factors'!E58*Inputs!$B$5/1000</x:f>
        <x:v>17296100.75844604</x:v>
      </x:c>
      <x:c r="I118" s="16" t="n">
        <x:f>H118*Inputs!$B$10</x:f>
        <x:v>4318358.981336835</x:v>
      </x:c>
      <x:c r="J118" s="16" t="n">
        <x:f>D118*T118*Inputs!$B$8*U118*0</x:f>
        <x:v>0</x:v>
      </x:c>
      <x:c r="K118" s="16" t="n">
        <x:f>SUM(H118:J118)</x:f>
        <x:v>21614459.739782877</x:v>
      </x:c>
      <x:c r="L118" s="16" t="n">
        <x:f>H118-H117</x:f>
        <x:v>1666533.5822624695</x:v>
      </x:c>
      <x:c r="M118" s="16" t="n">
        <x:f>K118-K117</x:f>
        <x:v>2082621.02088058</x:v>
      </x:c>
      <x:c r="N118" s="16" t="n">
        <x:f>H118*44/12/1000000</x:f>
        <x:v>63.41903611430215</x:v>
      </x:c>
      <x:c r="O118" s="16" t="n">
        <x:f>K118*44/12/1000000</x:f>
        <x:v>79.25301904587056</x:v>
      </x:c>
      <x:c r="P118" s="16" t="n">
        <x:f>L118*44/12/1000000</x:f>
        <x:v>6.110623134962387</x:v>
      </x:c>
      <x:c r="Q118" s="16" t="n">
        <x:f>M118*44/12/1000000</x:f>
        <x:v>7.636277076562126</x:v>
      </x:c>
      <x:c r="R118" s="16" t="n">
        <x:f>(H118+I118)*44/12/1000000</x:f>
        <x:v>79.25301904587056</x:v>
      </x:c>
      <x:c r="S118" s="16" t="n">
        <x:f>R118-R117</x:f>
        <x:v>7.636277076562138</x:v>
      </x:c>
      <x:c r="T118" s="2" t="n">
        <x:f>Inputs!E13/Inputs!F13</x:f>
        <x:v>0.2</x:v>
      </x:c>
      <x:c r="U118" s="2" t="n">
        <x:f>'Cohort factors'!F58</x:f>
        <x:v>12.5</x:v>
      </x:c>
      <x:c r="V118" s="2" t="n">
        <x:f>D118*Inputs!D13*'Cohort factors'!G58*Inputs!$B$5/1000*44/12/1000000</x:f>
        <x:v>4.089295222547451</x:v>
      </x:c>
    </x:row>
    <x:row r="119" ht="22" customHeight="1">
      <x:c r="A119" s="2" t="str">
        <x:v>CB_STEADY</x:v>
      </x:c>
      <x:c r="B119" s="2" t="str">
        <x:v>Permanent grassland</x:v>
      </x:c>
      <x:c r="C119" s="2" t="n">
        <x:v>2051</x:v>
      </x:c>
      <x:c r="D119" s="16" t="n">
        <x:f>Inputs!H13</x:f>
        <x:v>837900.0000000001</x:v>
      </x:c>
      <x:c r="E119" s="16" t="n">
        <x:f>D119*'Cohort factors'!C59</x:f>
        <x:v>0</x:v>
      </x:c>
      <x:c r="F119" s="16" t="n">
        <x:f>D119*'Cohort factors'!D59</x:f>
        <x:v>837900.0000000001</x:v>
      </x:c>
      <x:c r="G119" s="16" t="n">
        <x:f>F119*Inputs!D13</x:f>
        <x:v>139091400.00000003</x:v>
      </x:c>
      <x:c r="H119" s="16" t="n">
        <x:f>D119*Inputs!D13*'Cohort factors'!E59*Inputs!$B$5/1000</x:f>
        <x:v>19032104.427996192</x:v>
      </x:c>
      <x:c r="I119" s="16" t="n">
        <x:f>H119*Inputs!$B$10</x:f>
        <x:v>4751791.183353513</x:v>
      </x:c>
      <x:c r="J119" s="16" t="n">
        <x:f>D119*T119*Inputs!$B$8*U119*0</x:f>
        <x:v>0</x:v>
      </x:c>
      <x:c r="K119" s="16" t="n">
        <x:f>SUM(H119:J119)</x:f>
        <x:v>23783895.611349706</x:v>
      </x:c>
      <x:c r="L119" s="16" t="n">
        <x:f>H119-H118</x:f>
        <x:v>1736003.6695501506</x:v>
      </x:c>
      <x:c r="M119" s="16" t="n">
        <x:f>K119-K118</x:f>
        <x:v>2169435.8715668283</x:v>
      </x:c>
      <x:c r="N119" s="16" t="n">
        <x:f>H119*44/12/1000000</x:f>
        <x:v>69.7843829026527</x:v>
      </x:c>
      <x:c r="O119" s="16" t="n">
        <x:f>K119*44/12/1000000</x:f>
        <x:v>87.20761724161558</x:v>
      </x:c>
      <x:c r="P119" s="16" t="n">
        <x:f>L119*44/12/1000000</x:f>
        <x:v>6.365346788350553</x:v>
      </x:c>
      <x:c r="Q119" s="16" t="n">
        <x:f>M119*44/12/1000000</x:f>
        <x:v>7.954598195745037</x:v>
      </x:c>
      <x:c r="R119" s="16" t="n">
        <x:f>(H119+I119)*44/12/1000000</x:f>
        <x:v>87.20761724161558</x:v>
      </x:c>
      <x:c r="S119" s="16" t="n">
        <x:f>R119-R118</x:f>
        <x:v>7.954598195745021</x:v>
      </x:c>
      <x:c r="T119" s="2" t="n">
        <x:f>Inputs!E13/Inputs!F13</x:f>
        <x:v>0.2</x:v>
      </x:c>
      <x:c r="U119" s="2" t="n">
        <x:f>'Cohort factors'!F59</x:f>
        <x:v>13.5</x:v>
      </x:c>
      <x:c r="V119" s="2" t="n">
        <x:f>D119*Inputs!D13*'Cohort factors'!G59*Inputs!$B$5/1000*44/12/1000000</x:f>
        <x:v>4.333741338611403</x:v>
      </x:c>
    </x:row>
    <x:row r="120" ht="22" customHeight="1">
      <x:c r="A120" s="2" t="str">
        <x:v>CB_STEADY</x:v>
      </x:c>
      <x:c r="B120" s="2" t="str">
        <x:v>Permanent grassland</x:v>
      </x:c>
      <x:c r="C120" s="2" t="n">
        <x:v>2052</x:v>
      </x:c>
      <x:c r="D120" s="16" t="n">
        <x:f>Inputs!H13</x:f>
        <x:v>837900.0000000001</x:v>
      </x:c>
      <x:c r="E120" s="16" t="n">
        <x:f>D120*'Cohort factors'!C60</x:f>
        <x:v>0</x:v>
      </x:c>
      <x:c r="F120" s="16" t="n">
        <x:f>D120*'Cohort factors'!D60</x:f>
        <x:v>837900.0000000001</x:v>
      </x:c>
      <x:c r="G120" s="16" t="n">
        <x:f>F120*Inputs!D13</x:f>
        <x:v>139091400.00000003</x:v>
      </x:c>
      <x:c r="H120" s="16" t="n">
        <x:f>D120*Inputs!D13*'Cohort factors'!E60*Inputs!$B$5/1000</x:f>
        <x:v>20853628.937683534</x:v>
      </x:c>
      <x:c r="I120" s="16" t="n">
        <x:f>H120*Inputs!$B$10</x:f>
        <x:v>5206575.578749242</x:v>
      </x:c>
      <x:c r="J120" s="16" t="n">
        <x:f>D120*T120*Inputs!$B$8*U120*0</x:f>
        <x:v>0</x:v>
      </x:c>
      <x:c r="K120" s="16" t="n">
        <x:f>SUM(H120:J120)</x:f>
        <x:v>26060204.516432777</x:v>
      </x:c>
      <x:c r="L120" s="16" t="n">
        <x:f>H120-H119</x:f>
        <x:v>1821524.5096873417</x:v>
      </x:c>
      <x:c r="M120" s="16" t="n">
        <x:f>K120-K119</x:f>
        <x:v>2276308.9050830714</x:v>
      </x:c>
      <x:c r="N120" s="16" t="n">
        <x:f>H120*44/12/1000000</x:f>
        <x:v>76.46330610483962</x:v>
      </x:c>
      <x:c r="O120" s="16" t="n">
        <x:f>K120*44/12/1000000</x:f>
        <x:v>95.55408322692018</x:v>
      </x:c>
      <x:c r="P120" s="16" t="n">
        <x:f>L120*44/12/1000000</x:f>
        <x:v>6.67892320218692</x:v>
      </x:c>
      <x:c r="Q120" s="16" t="n">
        <x:f>M120*44/12/1000000</x:f>
        <x:v>8.346465985304595</x:v>
      </x:c>
      <x:c r="R120" s="16" t="n">
        <x:f>(H120+I120)*44/12/1000000</x:f>
        <x:v>95.55408322692018</x:v>
      </x:c>
      <x:c r="S120" s="16" t="n">
        <x:f>R120-R119</x:f>
        <x:v>8.346465985304604</x:v>
      </x:c>
      <x:c r="T120" s="2" t="n">
        <x:f>Inputs!E13/Inputs!F13</x:f>
        <x:v>0.2</x:v>
      </x:c>
      <x:c r="U120" s="2" t="n">
        <x:f>'Cohort factors'!F60</x:f>
        <x:v>14.5</x:v>
      </x:c>
      <x:c r="V120" s="2" t="n">
        <x:f>D120*Inputs!D13*'Cohort factors'!G60*Inputs!$B$5/1000*44/12/1000000</x:f>
        <x:v>4.572249371216873</x:v>
      </x:c>
    </x:row>
    <x:row r="121" ht="22" customHeight="1">
      <x:c r="A121" s="2" t="str">
        <x:v>CB_STEADY</x:v>
      </x:c>
      <x:c r="B121" s="2" t="str">
        <x:v>Permanent grassland</x:v>
      </x:c>
      <x:c r="C121" s="2" t="n">
        <x:v>2053</x:v>
      </x:c>
      <x:c r="D121" s="16" t="n">
        <x:f>Inputs!H13</x:f>
        <x:v>837900.0000000001</x:v>
      </x:c>
      <x:c r="E121" s="16" t="n">
        <x:f>D121*'Cohort factors'!C61</x:f>
        <x:v>0</x:v>
      </x:c>
      <x:c r="F121" s="16" t="n">
        <x:f>D121*'Cohort factors'!D61</x:f>
        <x:v>837900.0000000001</x:v>
      </x:c>
      <x:c r="G121" s="16" t="n">
        <x:f>F121*Inputs!D13</x:f>
        <x:v>139091400.00000003</x:v>
      </x:c>
      <x:c r="H121" s="16" t="n">
        <x:f>D121*Inputs!D13*'Cohort factors'!E61*Inputs!$B$5/1000</x:f>
        <x:v>22714352.551220164</x:v>
      </x:c>
      <x:c r="I121" s="16" t="n">
        <x:f>H121*Inputs!$B$10</x:f>
        <x:v>5671146.908468031</x:v>
      </x:c>
      <x:c r="J121" s="16" t="n">
        <x:f>D121*T121*Inputs!$B$8*U121*0</x:f>
        <x:v>0</x:v>
      </x:c>
      <x:c r="K121" s="16" t="n">
        <x:f>SUM(H121:J121)</x:f>
        <x:v>28385499.459688194</x:v>
      </x:c>
      <x:c r="L121" s="16" t="n">
        <x:f>H121-H120</x:f>
        <x:v>1860723.6135366298</x:v>
      </x:c>
      <x:c r="M121" s="16" t="n">
        <x:f>K121-K120</x:f>
        <x:v>2325294.943255417</x:v>
      </x:c>
      <x:c r="N121" s="16" t="n">
        <x:f>H121*44/12/1000000</x:f>
        <x:v>83.28595935447393</x:v>
      </x:c>
      <x:c r="O121" s="16" t="n">
        <x:f>K121*44/12/1000000</x:f>
        <x:v>104.08016468552337</x:v>
      </x:c>
      <x:c r="P121" s="16" t="n">
        <x:f>L121*44/12/1000000</x:f>
        <x:v>6.8226532496343095</x:v>
      </x:c>
      <x:c r="Q121" s="16" t="n">
        <x:f>M121*44/12/1000000</x:f>
        <x:v>8.526081458603196</x:v>
      </x:c>
      <x:c r="R121" s="16" t="n">
        <x:f>(H121+I121)*44/12/1000000</x:f>
        <x:v>104.08016468552337</x:v>
      </x:c>
      <x:c r="S121" s="16" t="n">
        <x:f>R121-R120</x:f>
        <x:v>8.526081458603187</x:v>
      </x:c>
      <x:c r="T121" s="2" t="n">
        <x:f>Inputs!E13/Inputs!F13</x:f>
        <x:v>0.2</x:v>
      </x:c>
      <x:c r="U121" s="2" t="n">
        <x:f>'Cohort factors'!F61</x:f>
        <x:v>15.5</x:v>
      </x:c>
      <x:c r="V121" s="2" t="n">
        <x:f>D121*Inputs!D13*'Cohort factors'!G61*Inputs!$B$5/1000*44/12/1000000</x:f>
        <x:v>4.78926198392252</x:v>
      </x:c>
    </x:row>
    <x:row r="122" ht="22" customHeight="1">
      <x:c r="A122" s="2" t="str">
        <x:v>CB_STEADY</x:v>
      </x:c>
      <x:c r="B122" s="2" t="str">
        <x:v>Permanent grassland</x:v>
      </x:c>
      <x:c r="C122" s="2" t="n">
        <x:v>2054</x:v>
      </x:c>
      <x:c r="D122" s="16" t="n">
        <x:f>Inputs!H13</x:f>
        <x:v>837900.0000000001</x:v>
      </x:c>
      <x:c r="E122" s="16" t="n">
        <x:f>D122*'Cohort factors'!C62</x:f>
        <x:v>0</x:v>
      </x:c>
      <x:c r="F122" s="16" t="n">
        <x:f>D122*'Cohort factors'!D62</x:f>
        <x:v>837900.0000000001</x:v>
      </x:c>
      <x:c r="G122" s="16" t="n">
        <x:f>F122*Inputs!D13</x:f>
        <x:v>139091400.00000003</x:v>
      </x:c>
      <x:c r="H122" s="16" t="n">
        <x:f>D122*Inputs!D13*'Cohort factors'!E62*Inputs!$B$5/1000</x:f>
        <x:v>24608257.478566915</x:v>
      </x:c>
      <x:c r="I122" s="16" t="n">
        <x:f>H122*Inputs!$B$10</x:f>
        <x:v>6144002.696430077</x:v>
      </x:c>
      <x:c r="J122" s="16" t="n">
        <x:f>D122*T122*Inputs!$B$8*U122*0</x:f>
        <x:v>0</x:v>
      </x:c>
      <x:c r="K122" s="16" t="n">
        <x:f>SUM(H122:J122)</x:f>
        <x:v>30752260.17499699</x:v>
      </x:c>
      <x:c r="L122" s="16" t="n">
        <x:f>H122-H121</x:f>
        <x:v>1893904.927346751</x:v>
      </x:c>
      <x:c r="M122" s="16" t="n">
        <x:f>K122-K121</x:f>
        <x:v>2366760.7153087966</x:v>
      </x:c>
      <x:c r="N122" s="16" t="n">
        <x:f>H122*44/12/1000000</x:f>
        <x:v>90.23027742141204</x:v>
      </x:c>
      <x:c r="O122" s="16" t="n">
        <x:f>K122*44/12/1000000</x:f>
        <x:v>112.7582873083223</x:v>
      </x:c>
      <x:c r="P122" s="16" t="n">
        <x:f>L122*44/12/1000000</x:f>
        <x:v>6.944318066938087</x:v>
      </x:c>
      <x:c r="Q122" s="16" t="n">
        <x:f>M122*44/12/1000000</x:f>
        <x:v>8.678122622798922</x:v>
      </x:c>
      <x:c r="R122" s="16" t="n">
        <x:f>(H122+I122)*44/12/1000000</x:f>
        <x:v>112.7582873083223</x:v>
      </x:c>
      <x:c r="S122" s="16" t="n">
        <x:f>R122-R121</x:f>
        <x:v>8.678122622798924</x:v>
      </x:c>
      <x:c r="T122" s="2" t="n">
        <x:f>Inputs!E13/Inputs!F13</x:f>
        <x:v>0.2</x:v>
      </x:c>
      <x:c r="U122" s="2" t="n">
        <x:f>'Cohort factors'!F62</x:f>
        <x:v>16.5</x:v>
      </x:c>
      <x:c r="V122" s="2" t="n">
        <x:f>D122*Inputs!D13*'Cohort factors'!G62*Inputs!$B$5/1000*44/12/1000000</x:f>
        <x:v>4.986321795891949</x:v>
      </x:c>
    </x:row>
    <x:row r="123" ht="22" customHeight="1">
      <x:c r="A123" s="2" t="str">
        <x:v>CB_STEADY</x:v>
      </x:c>
      <x:c r="B123" s="2" t="str">
        <x:v>Permanent grassland</x:v>
      </x:c>
      <x:c r="C123" s="2" t="n">
        <x:v>2055</x:v>
      </x:c>
      <x:c r="D123" s="16" t="n">
        <x:f>Inputs!H13</x:f>
        <x:v>837900.0000000001</x:v>
      </x:c>
      <x:c r="E123" s="16" t="n">
        <x:f>D123*'Cohort factors'!C63</x:f>
        <x:v>0</x:v>
      </x:c>
      <x:c r="F123" s="16" t="n">
        <x:f>D123*'Cohort factors'!D63</x:f>
        <x:v>837900.0000000001</x:v>
      </x:c>
      <x:c r="G123" s="16" t="n">
        <x:f>F123*Inputs!D13</x:f>
        <x:v>139091400.00000003</x:v>
      </x:c>
      <x:c r="H123" s="16" t="n">
        <x:f>D123*Inputs!D13*'Cohort factors'!E63*Inputs!$B$5/1000</x:f>
        <x:v>26572364.588885188</x:v>
      </x:c>
      <x:c r="I123" s="16" t="n">
        <x:f>H123*Inputs!$B$10</x:f>
        <x:v>6634386.031876862</x:v>
      </x:c>
      <x:c r="J123" s="16" t="n">
        <x:f>D123*T123*Inputs!$B$8*U123*0</x:f>
        <x:v>0</x:v>
      </x:c>
      <x:c r="K123" s="16" t="n">
        <x:f>SUM(H123:J123)</x:f>
        <x:v>33206750.62076205</x:v>
      </x:c>
      <x:c r="L123" s="16" t="n">
        <x:f>H123-H122</x:f>
        <x:v>1964107.1103182733</x:v>
      </x:c>
      <x:c r="M123" s="16" t="n">
        <x:f>K123-K122</x:f>
        <x:v>2454490.4457650594</x:v>
      </x:c>
      <x:c r="N123" s="16" t="n">
        <x:f>H123*44/12/1000000</x:f>
        <x:v>97.43200349257903</x:v>
      </x:c>
      <x:c r="O123" s="16" t="n">
        <x:f>K123*44/12/1000000</x:f>
        <x:v>121.75808560946085</x:v>
      </x:c>
      <x:c r="P123" s="16" t="n">
        <x:f>L123*44/12/1000000</x:f>
        <x:v>7.201726071167003</x:v>
      </x:c>
      <x:c r="Q123" s="16" t="n">
        <x:f>M123*44/12/1000000</x:f>
        <x:v>8.999798301138553</x:v>
      </x:c>
      <x:c r="R123" s="16" t="n">
        <x:f>(H123+I123)*44/12/1000000</x:f>
        <x:v>121.75808560946085</x:v>
      </x:c>
      <x:c r="S123" s="16" t="n">
        <x:f>R123-R122</x:f>
        <x:v>8.999798301138554</x:v>
      </x:c>
      <x:c r="T123" s="2" t="n">
        <x:f>Inputs!E13/Inputs!F13</x:f>
        <x:v>0.2</x:v>
      </x:c>
      <x:c r="U123" s="2" t="n">
        <x:f>'Cohort factors'!F63</x:f>
        <x:v>17.5</x:v>
      </x:c>
      <x:c r="V123" s="2" t="n">
        <x:f>D123*Inputs!D13*'Cohort factors'!G63*Inputs!$B$5/1000*44/12/1000000</x:f>
        <x:v>5.159349561520853</x:v>
      </x:c>
    </x:row>
    <x:row r="124" ht="22" customHeight="1">
      <x:c r="A124" s="2" t="str">
        <x:v>CB_STEADY</x:v>
      </x:c>
      <x:c r="B124" s="2" t="str">
        <x:v>Permanent grassland</x:v>
      </x:c>
      <x:c r="C124" s="2" t="n">
        <x:v>2056</x:v>
      </x:c>
      <x:c r="D124" s="16" t="n">
        <x:f>Inputs!H13</x:f>
        <x:v>837900.0000000001</x:v>
      </x:c>
      <x:c r="E124" s="16" t="n">
        <x:f>D124*'Cohort factors'!C64</x:f>
        <x:v>0</x:v>
      </x:c>
      <x:c r="F124" s="16" t="n">
        <x:f>D124*'Cohort factors'!D64</x:f>
        <x:v>837900.0000000001</x:v>
      </x:c>
      <x:c r="G124" s="16" t="n">
        <x:f>F124*Inputs!D13</x:f>
        <x:v>139091400.00000003</x:v>
      </x:c>
      <x:c r="H124" s="16" t="n">
        <x:f>D124*Inputs!D13*'Cohort factors'!E64*Inputs!$B$5/1000</x:f>
        <x:v>28517950.66593534</x:v>
      </x:c>
      <x:c r="I124" s="16" t="n">
        <x:f>H124*Inputs!$B$10</x:f>
        <x:v>7120145.176503184</x:v>
      </x:c>
      <x:c r="J124" s="16" t="n">
        <x:f>D124*T124*Inputs!$B$8*U124*0</x:f>
        <x:v>0</x:v>
      </x:c>
      <x:c r="K124" s="16" t="n">
        <x:f>SUM(H124:J124)</x:f>
        <x:v>35638095.84243853</x:v>
      </x:c>
      <x:c r="L124" s="16" t="n">
        <x:f>H124-H123</x:f>
        <x:v>1945586.0770501532</x:v>
      </x:c>
      <x:c r="M124" s="16" t="n">
        <x:f>K124-K123</x:f>
        <x:v>2431345.2216764763</x:v>
      </x:c>
      <x:c r="N124" s="16" t="n">
        <x:f>H124*44/12/1000000</x:f>
        <x:v>104.5658191084296</x:v>
      </x:c>
      <x:c r="O124" s="16" t="n">
        <x:f>K124*44/12/1000000</x:f>
        <x:v>130.67301808894126</x:v>
      </x:c>
      <x:c r="P124" s="16" t="n">
        <x:f>L124*44/12/1000000</x:f>
        <x:v>7.133815615850561</x:v>
      </x:c>
      <x:c r="Q124" s="16" t="n">
        <x:f>M124*44/12/1000000</x:f>
        <x:v>8.914932479480413</x:v>
      </x:c>
      <x:c r="R124" s="16" t="n">
        <x:f>(H124+I124)*44/12/1000000</x:f>
        <x:v>130.67301808894126</x:v>
      </x:c>
      <x:c r="S124" s="16" t="n">
        <x:f>R124-R123</x:f>
        <x:v>8.914932479480413</x:v>
      </x:c>
      <x:c r="T124" s="2" t="n">
        <x:f>Inputs!E13/Inputs!F13</x:f>
        <x:v>0.2</x:v>
      </x:c>
      <x:c r="U124" s="2" t="n">
        <x:f>'Cohort factors'!F64</x:f>
        <x:v>18.5</x:v>
      </x:c>
      <x:c r="V124" s="2" t="n">
        <x:f>D124*Inputs!D13*'Cohort factors'!G64*Inputs!$B$5/1000*44/12/1000000</x:f>
        <x:v>5.290543328446042</x:v>
      </x:c>
    </x:row>
    <x:row r="125" ht="22" customHeight="1">
      <x:c r="A125" s="2" t="str">
        <x:v>CB_STEADY</x:v>
      </x:c>
      <x:c r="B125" s="2" t="str">
        <x:v>Croppable area</x:v>
      </x:c>
      <x:c r="C125" s="2" t="n">
        <x:v>2027</x:v>
      </x:c>
      <x:c r="D125" s="16" t="n">
        <x:f>Inputs!H14</x:f>
        <x:v>428750.00000000006</x:v>
      </x:c>
      <x:c r="E125" s="16" t="n">
        <x:f>D125*'Cohort factors'!C35</x:f>
        <x:v>17864.583333333336</x:v>
      </x:c>
      <x:c r="F125" s="16" t="n">
        <x:f>D125*'Cohort factors'!D35</x:f>
        <x:v>17864.583333333336</x:v>
      </x:c>
      <x:c r="G125" s="16" t="n">
        <x:f>F125*Inputs!D14</x:f>
        <x:v>850694.4444444446</x:v>
      </x:c>
      <x:c r="H125" s="16" t="n">
        <x:f>D125*Inputs!D14*'Cohort factors'!E35*Inputs!$B$5/1000</x:f>
        <x:v>424.00110601851844</x:v>
      </x:c>
      <x:c r="I125" s="16" t="n">
        <x:f>H125*Inputs!$B$10</x:f>
        <x:v>105.86137360339504</x:v>
      </x:c>
      <x:c r="J125" s="16" t="n">
        <x:f>D125*T125*Inputs!$B$8*U125</x:f>
        <x:v>775.3383915516283</x:v>
      </x:c>
      <x:c r="K125" s="16" t="n">
        <x:f>SUM(H125:J125)</x:f>
        <x:v>1305.2008711735418</x:v>
      </x:c>
      <x:c r="L125" s="16" t="n">
        <x:f>H125</x:f>
        <x:v>424.00110601851844</x:v>
      </x:c>
      <x:c r="M125" s="16" t="n">
        <x:f>K125</x:f>
        <x:v>1305.2008711735418</x:v>
      </x:c>
      <x:c r="N125" s="16" t="n">
        <x:f>H125*44/12/1000000</x:f>
        <x:v>0.0015546707220679009</x:v>
      </x:c>
      <x:c r="O125" s="16" t="n">
        <x:f>K125*44/12/1000000</x:f>
        <x:v>0.00478573652763632</x:v>
      </x:c>
      <x:c r="P125" s="16" t="n">
        <x:f>L125*44/12/1000000</x:f>
        <x:v>0.0015546707220679009</x:v>
      </x:c>
      <x:c r="Q125" s="16" t="n">
        <x:f>M125*44/12/1000000</x:f>
        <x:v>0.00478573652763632</x:v>
      </x:c>
      <x:c r="R125" s="16" t="n">
        <x:f>O125</x:f>
        <x:v>0.00478573652763632</x:v>
      </x:c>
      <x:c r="S125" s="16" t="n">
        <x:f>Q125</x:f>
        <x:v>0.00478573652763632</x:v>
      </x:c>
      <x:c r="T125" s="2" t="n">
        <x:f>Inputs!E14/Inputs!F14</x:f>
        <x:v>0.06666666666666667</x:v>
      </x:c>
      <x:c r="U125" s="2" t="n">
        <x:f>'Cohort factors'!F35</x:f>
        <x:v>0.041666666666666664</x:v>
      </x:c>
      <x:c r="V125" s="2" t="n">
        <x:f>D125*Inputs!D14*'Cohort factors'!G35*Inputs!$B$5/1000*44/12/1000000</x:f>
        <x:v>0.0015546707220679009</x:v>
      </x:c>
    </x:row>
    <x:row r="126" ht="22" customHeight="1">
      <x:c r="A126" s="2" t="str">
        <x:v>CB_STEADY</x:v>
      </x:c>
      <x:c r="B126" s="2" t="str">
        <x:v>Croppable area</x:v>
      </x:c>
      <x:c r="C126" s="2" t="n">
        <x:v>2028</x:v>
      </x:c>
      <x:c r="D126" s="16" t="n">
        <x:f>Inputs!H14</x:f>
        <x:v>428750.00000000006</x:v>
      </x:c>
      <x:c r="E126" s="16" t="n">
        <x:f>D126*'Cohort factors'!C36</x:f>
        <x:v>17864.583333333336</x:v>
      </x:c>
      <x:c r="F126" s="16" t="n">
        <x:f>D126*'Cohort factors'!D36</x:f>
        <x:v>35729.16666666667</x:v>
      </x:c>
      <x:c r="G126" s="16" t="n">
        <x:f>F126*Inputs!D14</x:f>
        <x:v>1701388.8888888892</x:v>
      </x:c>
      <x:c r="H126" s="16" t="n">
        <x:f>D126*Inputs!D14*'Cohort factors'!E36*Inputs!$B$5/1000</x:f>
        <x:v>2017.6776277777774</x:v>
      </x:c>
      <x:c r="I126" s="16" t="n">
        <x:f>H126*Inputs!$B$10</x:f>
        <x:v>503.75841509259243</x:v>
      </x:c>
      <x:c r="J126" s="16" t="n">
        <x:f>D126*T126*Inputs!$B$8*U126</x:f>
        <x:v>2326.015174654885</x:v>
      </x:c>
      <x:c r="K126" s="16" t="n">
        <x:f>SUM(H126:J126)</x:f>
        <x:v>4847.451217525255</x:v>
      </x:c>
      <x:c r="L126" s="16" t="n">
        <x:f>H126-H125</x:f>
        <x:v>1593.676521759259</x:v>
      </x:c>
      <x:c r="M126" s="16" t="n">
        <x:f>K126-K125</x:f>
        <x:v>3542.2503463517132</x:v>
      </x:c>
      <x:c r="N126" s="16" t="n">
        <x:f>H126*44/12/1000000</x:f>
        <x:v>0.00739815130185185</x:v>
      </x:c>
      <x:c r="O126" s="16" t="n">
        <x:f>K126*44/12/1000000</x:f>
        <x:v>0.017773987797592605</x:v>
      </x:c>
      <x:c r="P126" s="16" t="n">
        <x:f>L126*44/12/1000000</x:f>
        <x:v>0.00584348057978395</x:v>
      </x:c>
      <x:c r="Q126" s="16" t="n">
        <x:f>M126*44/12/1000000</x:f>
        <x:v>0.01298825126995628</x:v>
      </x:c>
      <x:c r="R126" s="16" t="n">
        <x:f>O126</x:f>
        <x:v>0.017773987797592605</x:v>
      </x:c>
      <x:c r="S126" s="16" t="n">
        <x:f>Q126</x:f>
        <x:v>0.01298825126995628</x:v>
      </x:c>
      <x:c r="T126" s="2" t="n">
        <x:f>Inputs!E14/Inputs!F14</x:f>
        <x:v>0.06666666666666667</x:v>
      </x:c>
      <x:c r="U126" s="2" t="n">
        <x:f>'Cohort factors'!F36</x:f>
        <x:v>0.125</x:v>
      </x:c>
      <x:c r="V126" s="2" t="n">
        <x:f>D126*Inputs!D14*'Cohort factors'!G36*Inputs!$B$5/1000*44/12/1000000</x:f>
        <x:v>0.004476411011959875</x:v>
      </x:c>
    </x:row>
    <x:row r="127" ht="22" customHeight="1">
      <x:c r="A127" s="2" t="str">
        <x:v>CB_STEADY</x:v>
      </x:c>
      <x:c r="B127" s="2" t="str">
        <x:v>Croppable area</x:v>
      </x:c>
      <x:c r="C127" s="2" t="n">
        <x:v>2029</x:v>
      </x:c>
      <x:c r="D127" s="16" t="n">
        <x:f>Inputs!H14</x:f>
        <x:v>428750.00000000006</x:v>
      </x:c>
      <x:c r="E127" s="16" t="n">
        <x:f>D127*'Cohort factors'!C37</x:f>
        <x:v>17864.583333333336</x:v>
      </x:c>
      <x:c r="F127" s="16" t="n">
        <x:f>D127*'Cohort factors'!D37</x:f>
        <x:v>53593.75000000001</x:v>
      </x:c>
      <x:c r="G127" s="16" t="n">
        <x:f>F127*Inputs!D14</x:f>
        <x:v>2552083.333333334</x:v>
      </x:c>
      <x:c r="H127" s="16" t="n">
        <x:f>D127*Inputs!D14*'Cohort factors'!E37*Inputs!$B$5/1000</x:f>
        <x:v>6838.159248148147</x:v>
      </x:c>
      <x:c r="I127" s="16" t="n">
        <x:f>H127*Inputs!$B$10</x:f>
        <x:v>1707.29962882716</x:v>
      </x:c>
      <x:c r="J127" s="16" t="n">
        <x:f>D127*T127*Inputs!$B$8*U127</x:f>
        <x:v>4652.03034930977</x:v>
      </x:c>
      <x:c r="K127" s="16" t="n">
        <x:f>SUM(H127:J127)</x:f>
        <x:v>13197.489226285077</x:v>
      </x:c>
      <x:c r="L127" s="16" t="n">
        <x:f>H127-H126</x:f>
        <x:v>4820.4816203703695</x:v>
      </x:c>
      <x:c r="M127" s="16" t="n">
        <x:f>K127-K126</x:f>
        <x:v>8350.038008759822</x:v>
      </x:c>
      <x:c r="N127" s="16" t="n">
        <x:f>H127*44/12/1000000</x:f>
        <x:v>0.025073250576543204</x:v>
      </x:c>
      <x:c r="O127" s="16" t="n">
        <x:f>K127*44/12/1000000</x:f>
        <x:v>0.048390793829711946</x:v>
      </x:c>
      <x:c r="P127" s="16" t="n">
        <x:f>L127*44/12/1000000</x:f>
        <x:v>0.017675099274691353</x:v>
      </x:c>
      <x:c r="Q127" s="16" t="n">
        <x:f>M127*44/12/1000000</x:f>
        <x:v>0.03061680603211935</x:v>
      </x:c>
      <x:c r="R127" s="16" t="n">
        <x:f>O127</x:f>
        <x:v>0.048390793829711946</x:v>
      </x:c>
      <x:c r="S127" s="16" t="n">
        <x:f>Q127</x:f>
        <x:v>0.03061680603211935</x:v>
      </x:c>
      <x:c r="T127" s="2" t="n">
        <x:f>Inputs!E14/Inputs!F14</x:f>
        <x:v>0.06666666666666667</x:v>
      </x:c>
      <x:c r="U127" s="2" t="n">
        <x:f>'Cohort factors'!F37</x:f>
        <x:v>0.25</x:v>
      </x:c>
      <x:c r="V127" s="2" t="n">
        <x:f>D127*Inputs!D14*'Cohort factors'!G37*Inputs!$B$5/1000*44/12/1000000</x:f>
        <x:v>0.010368110770190328</x:v>
      </x:c>
    </x:row>
    <x:row r="128" ht="22" customHeight="1">
      <x:c r="A128" s="2" t="str">
        <x:v>CB_STEADY</x:v>
      </x:c>
      <x:c r="B128" s="2" t="str">
        <x:v>Croppable area</x:v>
      </x:c>
      <x:c r="C128" s="2" t="n">
        <x:v>2030</x:v>
      </x:c>
      <x:c r="D128" s="16" t="n">
        <x:f>Inputs!H14</x:f>
        <x:v>428750.00000000006</x:v>
      </x:c>
      <x:c r="E128" s="16" t="n">
        <x:f>D128*'Cohort factors'!C38</x:f>
        <x:v>17864.583333333336</x:v>
      </x:c>
      <x:c r="F128" s="16" t="n">
        <x:f>D128*'Cohort factors'!D38</x:f>
        <x:v>71458.33333333334</x:v>
      </x:c>
      <x:c r="G128" s="16" t="n">
        <x:f>F128*Inputs!D14</x:f>
        <x:v>3402777.7777777785</x:v>
      </x:c>
      <x:c r="H128" s="16" t="n">
        <x:f>D128*Inputs!D14*'Cohort factors'!E38*Inputs!$B$5/1000</x:f>
        <x:v>16356.851586574068</x:v>
      </x:c>
      <x:c r="I128" s="16" t="n">
        <x:f>H128*Inputs!$B$10</x:f>
        <x:v>4083.8543867052454</x:v>
      </x:c>
      <x:c r="J128" s="16" t="n">
        <x:f>D128*T128*Inputs!$B$8*U128</x:f>
        <x:v>7753.383915516283</x:v>
      </x:c>
      <x:c r="K128" s="16" t="n">
        <x:f>SUM(H128:J128)</x:f>
        <x:v>28194.089888795595</x:v>
      </x:c>
      <x:c r="L128" s="16" t="n">
        <x:f>H128-H127</x:f>
        <x:v>9518.69233842592</x:v>
      </x:c>
      <x:c r="M128" s="16" t="n">
        <x:f>K128-K127</x:f>
        <x:v>14996.600662510518</x:v>
      </x:c>
      <x:c r="N128" s="16" t="n">
        <x:f>H128*44/12/1000000</x:f>
        <x:v>0.05997512248410492</x:v>
      </x:c>
      <x:c r="O128" s="16" t="n">
        <x:f>K128*44/12/1000000</x:f>
        <x:v>0.10337832959225052</x:v>
      </x:c>
      <x:c r="P128" s="16" t="n">
        <x:f>L128*44/12/1000000</x:f>
        <x:v>0.03490187190756171</x:v>
      </x:c>
      <x:c r="Q128" s="16" t="n">
        <x:f>M128*44/12/1000000</x:f>
        <x:v>0.05498753576253857</x:v>
      </x:c>
      <x:c r="R128" s="16" t="n">
        <x:f>O128</x:f>
        <x:v>0.10337832959225052</x:v>
      </x:c>
      <x:c r="S128" s="16" t="n">
        <x:f>Q128</x:f>
        <x:v>0.05498753576253857</x:v>
      </x:c>
      <x:c r="T128" s="2" t="n">
        <x:f>Inputs!E14/Inputs!F14</x:f>
        <x:v>0.06666666666666667</x:v>
      </x:c>
      <x:c r="U128" s="2" t="n">
        <x:f>'Cohort factors'!F38</x:f>
        <x:v>0.4166666666666667</x:v>
      </x:c>
      <x:c r="V128" s="2" t="n">
        <x:f>D128*Inputs!D14*'Cohort factors'!G38*Inputs!$B$5/1000*44/12/1000000</x:f>
        <x:v>0.01909357874708076</x:v>
      </x:c>
    </x:row>
    <x:row r="129" ht="22" customHeight="1">
      <x:c r="A129" s="2" t="str">
        <x:v>CB_STEADY</x:v>
      </x:c>
      <x:c r="B129" s="2" t="str">
        <x:v>Croppable area</x:v>
      </x:c>
      <x:c r="C129" s="2" t="n">
        <x:v>2031</x:v>
      </x:c>
      <x:c r="D129" s="16" t="n">
        <x:f>Inputs!H14</x:f>
        <x:v>428750.00000000006</x:v>
      </x:c>
      <x:c r="E129" s="16" t="n">
        <x:f>D129*'Cohort factors'!C39</x:f>
        <x:v>17864.583333333336</x:v>
      </x:c>
      <x:c r="F129" s="16" t="n">
        <x:f>D129*'Cohort factors'!D39</x:f>
        <x:v>89322.91666666669</x:v>
      </x:c>
      <x:c r="G129" s="16" t="n">
        <x:f>F129*Inputs!D14</x:f>
        <x:v>4253472.222222223</x:v>
      </x:c>
      <x:c r="H129" s="16" t="n">
        <x:f>D129*Inputs!D14*'Cohort factors'!E39*Inputs!$B$5/1000</x:f>
        <x:v>34570.99660972223</x:v>
      </x:c>
      <x:c r="I129" s="16" t="n">
        <x:f>H129*Inputs!$B$10</x:f>
        <x:v>8631.423682615741</x:v>
      </x:c>
      <x:c r="J129" s="16" t="n">
        <x:f>D129*T129*Inputs!$B$8*U129</x:f>
        <x:v>11630.075873274425</x:v>
      </x:c>
      <x:c r="K129" s="16" t="n">
        <x:f>SUM(H129:J129)</x:f>
        <x:v>54832.49616561239</x:v>
      </x:c>
      <x:c r="L129" s="16" t="n">
        <x:f>H129-H128</x:f>
        <x:v>18214.145023148158</x:v>
      </x:c>
      <x:c r="M129" s="16" t="n">
        <x:f>K129-K128</x:f>
        <x:v>26638.406276816797</x:v>
      </x:c>
      <x:c r="N129" s="16" t="n">
        <x:f>H129*44/12/1000000</x:f>
        <x:v>0.12676032090231484</x:v>
      </x:c>
      <x:c r="O129" s="16" t="n">
        <x:f>K129*44/12/1000000</x:f>
        <x:v>0.20105248594057878</x:v>
      </x:c>
      <x:c r="P129" s="16" t="n">
        <x:f>L129*44/12/1000000</x:f>
        <x:v>0.06678519841820992</x:v>
      </x:c>
      <x:c r="Q129" s="16" t="n">
        <x:f>M129*44/12/1000000</x:f>
        <x:v>0.09767415634832827</x:v>
      </x:c>
      <x:c r="R129" s="16" t="n">
        <x:f>O129</x:f>
        <x:v>0.20105248594057878</x:v>
      </x:c>
      <x:c r="S129" s="16" t="n">
        <x:f>Q129</x:f>
        <x:v>0.09767415634832827</x:v>
      </x:c>
      <x:c r="T129" s="2" t="n">
        <x:f>Inputs!E14/Inputs!F14</x:f>
        <x:v>0.06666666666666667</x:v>
      </x:c>
      <x:c r="U129" s="2" t="n">
        <x:f>'Cohort factors'!F39</x:f>
        <x:v>0.625</x:v>
      </x:c>
      <x:c r="V129" s="2" t="n">
        <x:f>D129*Inputs!D14*'Cohort factors'!G39*Inputs!$B$5/1000*44/12/1000000</x:f>
        <x:v>0.03245061843072275</x:v>
      </x:c>
    </x:row>
    <x:row r="130" ht="22" customHeight="1">
      <x:c r="A130" s="2" t="str">
        <x:v>CB_STEADY</x:v>
      </x:c>
      <x:c r="B130" s="2" t="str">
        <x:v>Croppable area</x:v>
      </x:c>
      <x:c r="C130" s="2" t="n">
        <x:v>2032</x:v>
      </x:c>
      <x:c r="D130" s="16" t="n">
        <x:f>Inputs!H14</x:f>
        <x:v>428750.00000000006</x:v>
      </x:c>
      <x:c r="E130" s="16" t="n">
        <x:f>D130*'Cohort factors'!C40</x:f>
        <x:v>17864.583333333336</x:v>
      </x:c>
      <x:c r="F130" s="16" t="n">
        <x:f>D130*'Cohort factors'!D40</x:f>
        <x:v>107187.50000000001</x:v>
      </x:c>
      <x:c r="G130" s="16" t="n">
        <x:f>F130*Inputs!D14</x:f>
        <x:v>5104166.666666668</x:v>
      </x:c>
      <x:c r="H130" s="16" t="n">
        <x:f>D130*Inputs!D14*'Cohort factors'!E40*Inputs!$B$5/1000</x:f>
        <x:v>66577.03720046296</x:v>
      </x:c>
      <x:c r="I130" s="16" t="n">
        <x:f>H130*Inputs!$B$10</x:f>
        <x:v>16622.448640918206</x:v>
      </x:c>
      <x:c r="J130" s="16" t="n">
        <x:f>D130*T130*Inputs!$B$8*U130</x:f>
        <x:v>16282.106222584194</x:v>
      </x:c>
      <x:c r="K130" s="16" t="n">
        <x:f>SUM(H130:J130)</x:f>
        <x:v>99481.59206396535</x:v>
      </x:c>
      <x:c r="L130" s="16" t="n">
        <x:f>H130-H129</x:f>
        <x:v>32006.040590740733</x:v>
      </x:c>
      <x:c r="M130" s="16" t="n">
        <x:f>K130-K129</x:f>
        <x:v>44649.095898352956</x:v>
      </x:c>
      <x:c r="N130" s="16" t="n">
        <x:f>H130*44/12/1000000</x:f>
        <x:v>0.2441158030683642</x:v>
      </x:c>
      <x:c r="O130" s="16" t="n">
        <x:f>K130*44/12/1000000</x:f>
        <x:v>0.3647658375678729</x:v>
      </x:c>
      <x:c r="P130" s="16" t="n">
        <x:f>L130*44/12/1000000</x:f>
        <x:v>0.11735548216604937</x:v>
      </x:c>
      <x:c r="Q130" s="16" t="n">
        <x:f>M130*44/12/1000000</x:f>
        <x:v>0.16371335162729417</x:v>
      </x:c>
      <x:c r="R130" s="16" t="n">
        <x:f>O130</x:f>
        <x:v>0.3647658375678729</x:v>
      </x:c>
      <x:c r="S130" s="16" t="n">
        <x:f>Q130</x:f>
        <x:v>0.16371335162729417</x:v>
      </x:c>
      <x:c r="T130" s="2" t="n">
        <x:f>Inputs!E14/Inputs!F14</x:f>
        <x:v>0.06666666666666667</x:v>
      </x:c>
      <x:c r="U130" s="2" t="n">
        <x:f>'Cohort factors'!F40</x:f>
        <x:v>0.875</x:v>
      </x:c>
      <x:c r="V130" s="2" t="n">
        <x:f>D130*Inputs!D14*'Cohort factors'!G40*Inputs!$B$5/1000*44/12/1000000</x:f>
        <x:v>0.05200986545839764</x:v>
      </x:c>
    </x:row>
    <x:row r="131" ht="22" customHeight="1">
      <x:c r="A131" s="2" t="str">
        <x:v>CB_STEADY</x:v>
      </x:c>
      <x:c r="B131" s="2" t="str">
        <x:v>Croppable area</x:v>
      </x:c>
      <x:c r="C131" s="2" t="n">
        <x:v>2033</x:v>
      </x:c>
      <x:c r="D131" s="16" t="n">
        <x:f>Inputs!H14</x:f>
        <x:v>428750.00000000006</x:v>
      </x:c>
      <x:c r="E131" s="16" t="n">
        <x:f>D131*'Cohort factors'!C41</x:f>
        <x:v>17864.583333333336</x:v>
      </x:c>
      <x:c r="F131" s="16" t="n">
        <x:f>D131*'Cohort factors'!D41</x:f>
        <x:v>125052.08333333336</x:v>
      </x:c>
      <x:c r="G131" s="16" t="n">
        <x:f>F131*Inputs!D14</x:f>
        <x:v>5954861.111111113</x:v>
      </x:c>
      <x:c r="H131" s="16" t="n">
        <x:f>D131*Inputs!D14*'Cohort factors'!E41*Inputs!$B$5/1000</x:f>
        <x:v>104512.43329830245</x:v>
      </x:c>
      <x:c r="I131" s="16" t="n">
        <x:f>H131*Inputs!$B$10</x:f>
        <x:v>26093.87001718878</x:v>
      </x:c>
      <x:c r="J131" s="16" t="n">
        <x:f>D131*T131*Inputs!$B$8*U131</x:f>
        <x:v>21709.474963445595</x:v>
      </x:c>
      <x:c r="K131" s="16" t="n">
        <x:f>SUM(H131:J131)</x:f>
        <x:v>152315.7782789368</x:v>
      </x:c>
      <x:c r="L131" s="16" t="n">
        <x:f>H131-H130</x:f>
        <x:v>37935.39609783949</x:v>
      </x:c>
      <x:c r="M131" s="16" t="n">
        <x:f>K131-K130</x:f>
        <x:v>52834.18621497146</x:v>
      </x:c>
      <x:c r="N131" s="16" t="n">
        <x:f>H131*44/12/1000000</x:f>
        <x:v>0.383212255427109</x:v>
      </x:c>
      <x:c r="O131" s="16" t="n">
        <x:f>K131*44/12/1000000</x:f>
        <x:v>0.5584911870227683</x:v>
      </x:c>
      <x:c r="P131" s="16" t="n">
        <x:f>L131*44/12/1000000</x:f>
        <x:v>0.1390964523587448</x:v>
      </x:c>
      <x:c r="Q131" s="16" t="n">
        <x:f>M131*44/12/1000000</x:f>
        <x:v>0.19372534945489536</x:v>
      </x:c>
      <x:c r="R131" s="16" t="n">
        <x:f>O131</x:f>
        <x:v>0.5584911870227683</x:v>
      </x:c>
      <x:c r="S131" s="16" t="n">
        <x:f>Q131</x:f>
        <x:v>0.19372534945489536</x:v>
      </x:c>
      <x:c r="T131" s="2" t="n">
        <x:f>Inputs!E14/Inputs!F14</x:f>
        <x:v>0.06666666666666667</x:v>
      </x:c>
      <x:c r="U131" s="2" t="n">
        <x:f>'Cohort factors'!F41</x:f>
        <x:v>1.1666666666666667</x:v>
      </x:c>
      <x:c r="V131" s="2" t="n">
        <x:f>D131*Inputs!D14*'Cohort factors'!G41*Inputs!$B$5/1000*44/12/1000000</x:f>
        <x:v>0.07188078722393262</x:v>
      </x:c>
    </x:row>
    <x:row r="132" ht="22" customHeight="1">
      <x:c r="A132" s="2" t="str">
        <x:v>CB_STEADY</x:v>
      </x:c>
      <x:c r="B132" s="2" t="str">
        <x:v>Croppable area</x:v>
      </x:c>
      <x:c r="C132" s="2" t="n">
        <x:v>2034</x:v>
      </x:c>
      <x:c r="D132" s="16" t="n">
        <x:f>Inputs!H14</x:f>
        <x:v>428750.00000000006</x:v>
      </x:c>
      <x:c r="E132" s="16" t="n">
        <x:f>D132*'Cohort factors'!C42</x:f>
        <x:v>17864.583333333336</x:v>
      </x:c>
      <x:c r="F132" s="16" t="n">
        <x:f>D132*'Cohort factors'!D42</x:f>
        <x:v>142916.6666666667</x:v>
      </x:c>
      <x:c r="G132" s="16" t="n">
        <x:f>F132*Inputs!D14</x:f>
        <x:v>6805555.555555557</x:v>
      </x:c>
      <x:c r="H132" s="16" t="n">
        <x:f>D132*Inputs!D14*'Cohort factors'!E42*Inputs!$B$5/1000</x:f>
        <x:v>148377.18490324073</x:v>
      </x:c>
      <x:c r="I132" s="16" t="n">
        <x:f>H132*Inputs!$B$10</x:f>
        <x:v>37045.687811427466</x:v>
      </x:c>
      <x:c r="J132" s="16" t="n">
        <x:f>D132*T132*Inputs!$B$8*U132</x:f>
        <x:v>27912.182095858618</x:v>
      </x:c>
      <x:c r="K132" s="16" t="n">
        <x:f>SUM(H132:J132)</x:f>
        <x:v>213335.0548105268</x:v>
      </x:c>
      <x:c r="L132" s="16" t="n">
        <x:f>H132-H131</x:f>
        <x:v>43864.75160493828</x:v>
      </x:c>
      <x:c r="M132" s="16" t="n">
        <x:f>K132-K131</x:f>
        <x:v>61019.27653159</x:v>
      </x:c>
      <x:c r="N132" s="16" t="n">
        <x:f>H132*44/12/1000000</x:f>
        <x:v>0.5440496779785494</x:v>
      </x:c>
      <x:c r="O132" s="16" t="n">
        <x:f>K132*44/12/1000000</x:f>
        <x:v>0.7822285343052651</x:v>
      </x:c>
      <x:c r="P132" s="16" t="n">
        <x:f>L132*44/12/1000000</x:f>
        <x:v>0.16083742255144037</x:v>
      </x:c>
      <x:c r="Q132" s="16" t="n">
        <x:f>M132*44/12/1000000</x:f>
        <x:v>0.22373734728249667</x:v>
      </x:c>
      <x:c r="R132" s="16" t="n">
        <x:f>O132</x:f>
        <x:v>0.7822285343052651</x:v>
      </x:c>
      <x:c r="S132" s="16" t="n">
        <x:f>Q132</x:f>
        <x:v>0.22373734728249667</x:v>
      </x:c>
      <x:c r="T132" s="2" t="n">
        <x:f>Inputs!E14/Inputs!F14</x:f>
        <x:v>0.06666666666666667</x:v>
      </x:c>
      <x:c r="U132" s="2" t="n">
        <x:f>'Cohort factors'!F42</x:f>
        <x:v>1.5</x:v>
      </x:c>
      <x:c r="V132" s="2" t="n">
        <x:f>D132*Inputs!D14*'Cohort factors'!G42*Inputs!$B$5/1000*44/12/1000000</x:f>
        <x:v>0.09198546504286265</x:v>
      </x:c>
    </x:row>
    <x:row r="133" ht="22" customHeight="1">
      <x:c r="A133" s="2" t="str">
        <x:v>CB_STEADY</x:v>
      </x:c>
      <x:c r="B133" s="2" t="str">
        <x:v>Croppable area</x:v>
      </x:c>
      <x:c r="C133" s="2" t="n">
        <x:v>2035</x:v>
      </x:c>
      <x:c r="D133" s="16" t="n">
        <x:f>Inputs!H14</x:f>
        <x:v>428750.00000000006</x:v>
      </x:c>
      <x:c r="E133" s="16" t="n">
        <x:f>D133*'Cohort factors'!C43</x:f>
        <x:v>17864.583333333336</x:v>
      </x:c>
      <x:c r="F133" s="16" t="n">
        <x:f>D133*'Cohort factors'!D43</x:f>
        <x:v>160781.25000000003</x:v>
      </x:c>
      <x:c r="G133" s="16" t="n">
        <x:f>F133*Inputs!D14</x:f>
        <x:v>7656250.000000002</x:v>
      </x:c>
      <x:c r="H133" s="16" t="n">
        <x:f>D133*Inputs!D14*'Cohort factors'!E43*Inputs!$B$5/1000</x:f>
        <x:v>198171.29201527778</x:v>
      </x:c>
      <x:c r="I133" s="16" t="n">
        <x:f>H133*Inputs!$B$10</x:f>
        <x:v>49477.902023634255</x:v>
      </x:c>
      <x:c r="J133" s="16" t="n">
        <x:f>D133*T133*Inputs!$B$8*U133</x:f>
        <x:v>34890.22761982327</x:v>
      </x:c>
      <x:c r="K133" s="16" t="n">
        <x:f>SUM(H133:J133)</x:f>
        <x:v>282539.4216587353</x:v>
      </x:c>
      <x:c r="L133" s="16" t="n">
        <x:f>H133-H132</x:f>
        <x:v>49794.10711203705</x:v>
      </x:c>
      <x:c r="M133" s="16" t="n">
        <x:f>K133-K132</x:f>
        <x:v>69204.3668482085</x:v>
      </x:c>
      <x:c r="N133" s="16" t="n">
        <x:f>H133*44/12/1000000</x:f>
        <x:v>0.7266280707226852</x:v>
      </x:c>
      <x:c r="O133" s="16" t="n">
        <x:f>K133*44/12/1000000</x:f>
        <x:v>1.0359778794153627</x:v>
      </x:c>
      <x:c r="P133" s="16" t="n">
        <x:f>L133*44/12/1000000</x:f>
        <x:v>0.18257839274413584</x:v>
      </x:c>
      <x:c r="Q133" s="16" t="n">
        <x:f>M133*44/12/1000000</x:f>
        <x:v>0.2537493451100979</x:v>
      </x:c>
      <x:c r="R133" s="16" t="n">
        <x:f>O133</x:f>
        <x:v>1.0359778794153627</x:v>
      </x:c>
      <x:c r="S133" s="16" t="n">
        <x:f>Q133</x:f>
        <x:v>0.2537493451100979</x:v>
      </x:c>
      <x:c r="T133" s="2" t="n">
        <x:f>Inputs!E14/Inputs!F14</x:f>
        <x:v>0.06666666666666667</x:v>
      </x:c>
      <x:c r="U133" s="2" t="n">
        <x:f>'Cohort factors'!F43</x:f>
        <x:v>1.875</x:v>
      </x:c>
      <x:c r="V133" s="2" t="n">
        <x:f>D133*Inputs!D14*'Cohort factors'!G43*Inputs!$B$5/1000*44/12/1000000</x:f>
        <x:v>0.11227195312554442</x:v>
      </x:c>
    </x:row>
    <x:row r="134" ht="22" customHeight="1">
      <x:c r="A134" s="2" t="str">
        <x:v>CB_STEADY</x:v>
      </x:c>
      <x:c r="B134" s="2" t="str">
        <x:v>Croppable area</x:v>
      </x:c>
      <x:c r="C134" s="2" t="n">
        <x:v>2036</x:v>
      </x:c>
      <x:c r="D134" s="16" t="n">
        <x:f>Inputs!H14</x:f>
        <x:v>428750.00000000006</x:v>
      </x:c>
      <x:c r="E134" s="16" t="n">
        <x:f>D134*'Cohort factors'!C44</x:f>
        <x:v>17864.583333333336</x:v>
      </x:c>
      <x:c r="F134" s="16" t="n">
        <x:f>D134*'Cohort factors'!D44</x:f>
        <x:v>178645.83333333337</x:v>
      </x:c>
      <x:c r="G134" s="16" t="n">
        <x:f>F134*Inputs!D14</x:f>
        <x:v>8506944.444444446</x:v>
      </x:c>
      <x:c r="H134" s="16" t="n">
        <x:f>D134*Inputs!D14*'Cohort factors'!E44*Inputs!$B$5/1000</x:f>
        <x:v>257995.2047037036</x:v>
      </x:c>
      <x:c r="I134" s="16" t="n">
        <x:f>H134*Inputs!$B$10</x:f>
        <x:v>64414.28186234565</x:v>
      </x:c>
      <x:c r="J134" s="16" t="n">
        <x:f>D134*T134*Inputs!$B$8*U134</x:f>
        <x:v>42643.61153533956</x:v>
      </x:c>
      <x:c r="K134" s="16" t="n">
        <x:f>SUM(H134:J134)</x:f>
        <x:v>365053.09810138884</x:v>
      </x:c>
      <x:c r="L134" s="16" t="n">
        <x:f>H134-H133</x:f>
        <x:v>59823.91268842583</x:v>
      </x:c>
      <x:c r="M134" s="16" t="n">
        <x:f>K134-K133</x:f>
        <x:v>82513.67644265352</x:v>
      </x:c>
      <x:c r="N134" s="16" t="n">
        <x:f>H134*44/12/1000000</x:f>
        <x:v>0.9459824172469132</x:v>
      </x:c>
      <x:c r="O134" s="16" t="n">
        <x:f>K134*44/12/1000000</x:f>
        <x:v>1.3385280263717592</x:v>
      </x:c>
      <x:c r="P134" s="16" t="n">
        <x:f>L134*44/12/1000000</x:f>
        <x:v>0.21935434652422803</x:v>
      </x:c>
      <x:c r="Q134" s="16" t="n">
        <x:f>M134*44/12/1000000</x:f>
        <x:v>0.3025501469563962</x:v>
      </x:c>
      <x:c r="R134" s="16" t="n">
        <x:f>O134</x:f>
        <x:v>1.3385280263717592</x:v>
      </x:c>
      <x:c r="S134" s="16" t="n">
        <x:f>Q134</x:f>
        <x:v>0.3025501469563962</x:v>
      </x:c>
      <x:c r="T134" s="2" t="n">
        <x:f>Inputs!E14/Inputs!F14</x:f>
        <x:v>0.06666666666666667</x:v>
      </x:c>
      <x:c r="U134" s="2" t="n">
        <x:f>'Cohort factors'!F44</x:f>
        <x:v>2.2916666666666665</x:v>
      </x:c>
      <x:c r="V134" s="2" t="n">
        <x:f>D134*Inputs!D14*'Cohort factors'!G44*Inputs!$B$5/1000*44/12/1000000</x:f>
        <x:v>0.13420738777796723</x:v>
      </x:c>
    </x:row>
    <x:row r="135" ht="22" customHeight="1">
      <x:c r="A135" s="2" t="str">
        <x:v>CB_STEADY</x:v>
      </x:c>
      <x:c r="B135" s="2" t="str">
        <x:v>Croppable area</x:v>
      </x:c>
      <x:c r="C135" s="2" t="n">
        <x:v>2037</x:v>
      </x:c>
      <x:c r="D135" s="16" t="n">
        <x:f>Inputs!H14</x:f>
        <x:v>428750.00000000006</x:v>
      </x:c>
      <x:c r="E135" s="16" t="n">
        <x:f>D135*'Cohort factors'!C45</x:f>
        <x:v>17864.583333333336</x:v>
      </x:c>
      <x:c r="F135" s="16" t="n">
        <x:f>D135*'Cohort factors'!D45</x:f>
        <x:v>196510.4166666667</x:v>
      </x:c>
      <x:c r="G135" s="16" t="n">
        <x:f>F135*Inputs!D14</x:f>
        <x:v>9357638.88888889</x:v>
      </x:c>
      <x:c r="H135" s="16" t="n">
        <x:f>D135*Inputs!D14*'Cohort factors'!E45*Inputs!$B$5/1000</x:f>
        <x:v>332582.3478541665</x:v>
      </x:c>
      <x:c r="I135" s="16" t="n">
        <x:f>H135*Inputs!$B$10</x:f>
        <x:v>83036.63287743051</x:v>
      </x:c>
      <x:c r="J135" s="16" t="n">
        <x:f>D135*T135*Inputs!$B$8*U135</x:f>
        <x:v>51172.33384240747</x:v>
      </x:c>
      <x:c r="K135" s="16" t="n">
        <x:f>SUM(H135:J135)</x:f>
        <x:v>466791.3145740045</x:v>
      </x:c>
      <x:c r="L135" s="16" t="n">
        <x:f>H135-H134</x:f>
        <x:v>74587.14315046291</x:v>
      </x:c>
      <x:c r="M135" s="16" t="n">
        <x:f>K135-K134</x:f>
        <x:v>101738.21647261566</x:v>
      </x:c>
      <x:c r="N135" s="16" t="n">
        <x:f>H135*44/12/1000000</x:f>
        <x:v>1.2194686087986109</x:v>
      </x:c>
      <x:c r="O135" s="16" t="n">
        <x:f>K135*44/12/1000000</x:f>
        <x:v>1.7115681534380165</x:v>
      </x:c>
      <x:c r="P135" s="16" t="n">
        <x:f>L135*44/12/1000000</x:f>
        <x:v>0.2734861915516974</x:v>
      </x:c>
      <x:c r="Q135" s="16" t="n">
        <x:f>M135*44/12/1000000</x:f>
        <x:v>0.3730401270662574</x:v>
      </x:c>
      <x:c r="R135" s="16" t="n">
        <x:f>O135</x:f>
        <x:v>1.7115681534380165</x:v>
      </x:c>
      <x:c r="S135" s="16" t="n">
        <x:f>Q135</x:f>
        <x:v>0.3730401270662574</x:v>
      </x:c>
      <x:c r="T135" s="2" t="n">
        <x:f>Inputs!E14/Inputs!F14</x:f>
        <x:v>0.06666666666666667</x:v>
      </x:c>
      <x:c r="U135" s="2" t="n">
        <x:f>'Cohort factors'!F45</x:f>
        <x:v>2.75</x:v>
      </x:c>
      <x:c r="V135" s="2" t="n">
        <x:f>D135*Inputs!D14*'Cohort factors'!G45*Inputs!$B$5/1000*44/12/1000000</x:f>
        <x:v>0.15906976882812152</x:v>
      </x:c>
    </x:row>
    <x:row r="136" ht="22" customHeight="1">
      <x:c r="A136" s="2" t="str">
        <x:v>CB_STEADY</x:v>
      </x:c>
      <x:c r="B136" s="2" t="str">
        <x:v>Croppable area</x:v>
      </x:c>
      <x:c r="C136" s="2" t="n">
        <x:v>2038</x:v>
      </x:c>
      <x:c r="D136" s="16" t="n">
        <x:f>Inputs!H14</x:f>
        <x:v>428750.00000000006</x:v>
      </x:c>
      <x:c r="E136" s="16" t="n">
        <x:f>D136*'Cohort factors'!C46</x:f>
        <x:v>17864.583333333336</x:v>
      </x:c>
      <x:c r="F136" s="16" t="n">
        <x:f>D136*'Cohort factors'!D46</x:f>
        <x:v>214375.00000000003</x:v>
      </x:c>
      <x:c r="G136" s="16" t="n">
        <x:f>F136*Inputs!D14</x:f>
        <x:v>10208333.333333336</x:v>
      </x:c>
      <x:c r="H136" s="16" t="n">
        <x:f>D136*Inputs!D14*'Cohort factors'!E46*Inputs!$B$5/1000</x:f>
        <x:v>421932.7214666663</x:v>
      </x:c>
      <x:c r="I136" s="16" t="n">
        <x:f>H136*Inputs!$B$10</x:f>
        <x:v>105344.9550688888</x:v>
      </x:c>
      <x:c r="J136" s="16" t="n">
        <x:f>D136*T136*Inputs!$B$8*U136</x:f>
        <x:v>60476.39454102701</x:v>
      </x:c>
      <x:c r="K136" s="16" t="n">
        <x:f>SUM(H136:J136)</x:f>
        <x:v>587754.0710765822</x:v>
      </x:c>
      <x:c r="L136" s="16" t="n">
        <x:f>H136-H135</x:f>
        <x:v>89350.3736124998</x:v>
      </x:c>
      <x:c r="M136" s="16" t="n">
        <x:f>K136-K135</x:f>
        <x:v>120962.75650257769</x:v>
      </x:c>
      <x:c r="N136" s="16" t="n">
        <x:f>H136*44/12/1000000</x:f>
        <x:v>1.5470866453777765</x:v>
      </x:c>
      <x:c r="O136" s="16" t="n">
        <x:f>K136*44/12/1000000</x:f>
        <x:v>2.155098260614135</x:v>
      </x:c>
      <x:c r="P136" s="16" t="n">
        <x:f>L136*44/12/1000000</x:f>
        <x:v>0.3276180365791659</x:v>
      </x:c>
      <x:c r="Q136" s="16" t="n">
        <x:f>M136*44/12/1000000</x:f>
        <x:v>0.44353010717611824</x:v>
      </x:c>
      <x:c r="R136" s="16" t="n">
        <x:f>O136</x:f>
        <x:v>2.155098260614135</x:v>
      </x:c>
      <x:c r="S136" s="16" t="n">
        <x:f>Q136</x:f>
        <x:v>0.44353010717611824</x:v>
      </x:c>
      <x:c r="T136" s="2" t="n">
        <x:f>Inputs!E14/Inputs!F14</x:f>
        <x:v>0.06666666666666667</x:v>
      </x:c>
      <x:c r="U136" s="2" t="n">
        <x:f>'Cohort factors'!F46</x:f>
        <x:v>3.25</x:v>
      </x:c>
      <x:c r="V136" s="2" t="n">
        <x:f>D136*Inputs!D14*'Cohort factors'!G46*Inputs!$B$5/1000*44/12/1000000</x:f>
        <x:v>0.1863712718763854</x:v>
      </x:c>
    </x:row>
    <x:row r="137" ht="22" customHeight="1">
      <x:c r="A137" s="2" t="str">
        <x:v>CB_STEADY</x:v>
      </x:c>
      <x:c r="B137" s="2" t="str">
        <x:v>Croppable area</x:v>
      </x:c>
      <x:c r="C137" s="2" t="n">
        <x:v>2039</x:v>
      </x:c>
      <x:c r="D137" s="16" t="n">
        <x:f>Inputs!H14</x:f>
        <x:v>428750.00000000006</x:v>
      </x:c>
      <x:c r="E137" s="16" t="n">
        <x:f>D137*'Cohort factors'!C47</x:f>
        <x:v>17864.583333333336</x:v>
      </x:c>
      <x:c r="F137" s="16" t="n">
        <x:f>D137*'Cohort factors'!D47</x:f>
        <x:v>232239.58333333334</x:v>
      </x:c>
      <x:c r="G137" s="16" t="n">
        <x:f>F137*Inputs!D14</x:f>
        <x:v>11059027.777777778</x:v>
      </x:c>
      <x:c r="H137" s="16" t="n">
        <x:f>D137*Inputs!D14*'Cohort factors'!E47*Inputs!$B$5/1000</x:f>
        <x:v>526046.3255412031</x:v>
      </x:c>
      <x:c r="I137" s="16" t="n">
        <x:f>H137*Inputs!$B$10</x:f>
        <x:v>131339.24843672052</x:v>
      </x:c>
      <x:c r="J137" s="16" t="n">
        <x:f>D137*T137*Inputs!$B$8*U137</x:f>
        <x:v>70555.79363119818</x:v>
      </x:c>
      <x:c r="K137" s="16" t="n">
        <x:f>SUM(H137:J137)</x:f>
        <x:v>727941.3676091218</x:v>
      </x:c>
      <x:c r="L137" s="16" t="n">
        <x:f>H137-H136</x:f>
        <x:v>104113.60407453682</x:v>
      </x:c>
      <x:c r="M137" s="16" t="n">
        <x:f>K137-K136</x:f>
        <x:v>140187.29653253965</x:v>
      </x:c>
      <x:c r="N137" s="16" t="n">
        <x:f>H137*44/12/1000000</x:f>
        <x:v>1.9288365269844114</x:v>
      </x:c>
      <x:c r="O137" s="16" t="n">
        <x:f>K137*44/12/1000000</x:f>
        <x:v>2.6691183479001137</x:v>
      </x:c>
      <x:c r="P137" s="16" t="n">
        <x:f>L137*44/12/1000000</x:f>
        <x:v>0.381749881606635</x:v>
      </x:c>
      <x:c r="Q137" s="16" t="n">
        <x:f>M137*44/12/1000000</x:f>
        <x:v>0.5140200872859787</x:v>
      </x:c>
      <x:c r="R137" s="16" t="n">
        <x:f>O137</x:f>
        <x:v>2.6691183479001137</x:v>
      </x:c>
      <x:c r="S137" s="16" t="n">
        <x:f>Q137</x:f>
        <x:v>0.5140200872859787</x:v>
      </x:c>
      <x:c r="T137" s="2" t="n">
        <x:f>Inputs!E14/Inputs!F14</x:f>
        <x:v>0.06666666666666667</x:v>
      </x:c>
      <x:c r="U137" s="2" t="n">
        <x:f>'Cohort factors'!F47</x:f>
        <x:v>3.7916666666666665</x:v>
      </x:c>
      <x:c r="V137" s="2" t="n">
        <x:f>D137*Inputs!D14*'Cohort factors'!G47*Inputs!$B$5/1000*44/12/1000000</x:f>
        <x:v>0.21573664738458806</x:v>
      </x:c>
    </x:row>
    <x:row r="138" ht="22" customHeight="1">
      <x:c r="A138" s="2" t="str">
        <x:v>CB_STEADY</x:v>
      </x:c>
      <x:c r="B138" s="2" t="str">
        <x:v>Croppable area</x:v>
      </x:c>
      <x:c r="C138" s="2" t="n">
        <x:v>2040</x:v>
      </x:c>
      <x:c r="D138" s="16" t="n">
        <x:f>Inputs!H14</x:f>
        <x:v>428750.00000000006</x:v>
      </x:c>
      <x:c r="E138" s="16" t="n">
        <x:f>D138*'Cohort factors'!C48</x:f>
        <x:v>17864.583333333336</x:v>
      </x:c>
      <x:c r="F138" s="16" t="n">
        <x:f>D138*'Cohort factors'!D48</x:f>
        <x:v>250104.16666666672</x:v>
      </x:c>
      <x:c r="G138" s="16" t="n">
        <x:f>F138*Inputs!D14</x:f>
        <x:v>11909722.222222226</x:v>
      </x:c>
      <x:c r="H138" s="16" t="n">
        <x:f>D138*Inputs!D14*'Cohort factors'!E48*Inputs!$B$5/1000</x:f>
        <x:v>639575.8508740732</x:v>
      </x:c>
      <x:c r="I138" s="16" t="n">
        <x:f>H138*Inputs!$B$10</x:f>
        <x:v>159684.4374602467</x:v>
      </x:c>
      <x:c r="J138" s="16" t="n">
        <x:f>D138*T138*Inputs!$B$8*U138</x:f>
        <x:v>81410.53111292097</x:v>
      </x:c>
      <x:c r="K138" s="16" t="n">
        <x:f>SUM(H138:J138)</x:f>
        <x:v>880670.8194472409</x:v>
      </x:c>
      <x:c r="L138" s="16" t="n">
        <x:f>H138-H137</x:f>
        <x:v>113529.52533287008</x:v>
      </x:c>
      <x:c r="M138" s="16" t="n">
        <x:f>K138-K137</x:f>
        <x:v>152729.45183811907</x:v>
      </x:c>
      <x:c r="N138" s="16" t="n">
        <x:f>H138*44/12/1000000</x:f>
        <x:v>2.345111453204935</x:v>
      </x:c>
      <x:c r="O138" s="16" t="n">
        <x:f>K138*44/12/1000000</x:f>
        <x:v>3.2291263379732165</x:v>
      </x:c>
      <x:c r="P138" s="16" t="n">
        <x:f>L138*44/12/1000000</x:f>
        <x:v>0.41627492622052364</x:v>
      </x:c>
      <x:c r="Q138" s="16" t="n">
        <x:f>M138*44/12/1000000</x:f>
        <x:v>0.5600079900731033</x:v>
      </x:c>
      <x:c r="R138" s="16" t="n">
        <x:f>O138</x:f>
        <x:v>3.2291263379732165</x:v>
      </x:c>
      <x:c r="S138" s="16" t="n">
        <x:f>Q138</x:f>
        <x:v>0.5600079900731033</x:v>
      </x:c>
      <x:c r="T138" s="2" t="n">
        <x:f>Inputs!E14/Inputs!F14</x:f>
        <x:v>0.06666666666666667</x:v>
      </x:c>
      <x:c r="U138" s="2" t="n">
        <x:f>'Cohort factors'!F48</x:f>
        <x:v>4.375</x:v>
      </x:c>
      <x:c r="V138" s="2" t="n">
        <x:f>D138*Inputs!D14*'Cohort factors'!G48*Inputs!$B$5/1000*44/12/1000000</x:f>
        <x:v>0.24547057068605405</x:v>
      </x:c>
    </x:row>
    <x:row r="139" ht="22" customHeight="1">
      <x:c r="A139" s="2" t="str">
        <x:v>CB_STEADY</x:v>
      </x:c>
      <x:c r="B139" s="2" t="str">
        <x:v>Croppable area</x:v>
      </x:c>
      <x:c r="C139" s="2" t="n">
        <x:v>2041</x:v>
      </x:c>
      <x:c r="D139" s="16" t="n">
        <x:f>Inputs!H14</x:f>
        <x:v>428750.00000000006</x:v>
      </x:c>
      <x:c r="E139" s="16" t="n">
        <x:f>D139*'Cohort factors'!C49</x:f>
        <x:v>17864.583333333336</x:v>
      </x:c>
      <x:c r="F139" s="16" t="n">
        <x:f>D139*'Cohort factors'!D49</x:f>
        <x:v>267968.75000000006</x:v>
      </x:c>
      <x:c r="G139" s="16" t="n">
        <x:f>F139*Inputs!D14</x:f>
        <x:v>12760416.66666667</x:v>
      </x:c>
      <x:c r="H139" s="16" t="n">
        <x:f>D139*Inputs!D14*'Cohort factors'!E49*Inputs!$B$5/1000</x:f>
        <x:v>768164.1970138883</x:v>
      </x:c>
      <x:c r="I139" s="16" t="n">
        <x:f>H139*Inputs!$B$10</x:f>
        <x:v>191789.39841087945</x:v>
      </x:c>
      <x:c r="J139" s="16" t="n">
        <x:f>D139*T139*Inputs!$B$8*U139</x:f>
        <x:v>93040.6069861954</x:v>
      </x:c>
      <x:c r="K139" s="16" t="n">
        <x:f>SUM(H139:J139)</x:f>
        <x:v>1052994.2024109631</x:v>
      </x:c>
      <x:c r="L139" s="16" t="n">
        <x:f>H139-H138</x:f>
        <x:v>128588.34613981505</x:v>
      </x:c>
      <x:c r="M139" s="16" t="n">
        <x:f>K139-K138</x:f>
        <x:v>172323.38296372222</x:v>
      </x:c>
      <x:c r="N139" s="16" t="n">
        <x:f>H139*44/12/1000000</x:f>
        <x:v>2.8166020557175906</x:v>
      </x:c>
      <x:c r="O139" s="16" t="n">
        <x:f>K139*44/12/1000000</x:f>
        <x:v>3.8609787421735318</x:v>
      </x:c>
      <x:c r="P139" s="16" t="n">
        <x:f>L139*44/12/1000000</x:f>
        <x:v>0.4714906025126551</x:v>
      </x:c>
      <x:c r="Q139" s="16" t="n">
        <x:f>M139*44/12/1000000</x:f>
        <x:v>0.6318524042003149</x:v>
      </x:c>
      <x:c r="R139" s="16" t="n">
        <x:f>O139</x:f>
        <x:v>3.8609787421735318</x:v>
      </x:c>
      <x:c r="S139" s="16" t="n">
        <x:f>Q139</x:f>
        <x:v>0.6318524042003149</x:v>
      </x:c>
      <x:c r="T139" s="2" t="n">
        <x:f>Inputs!E14/Inputs!F14</x:f>
        <x:v>0.06666666666666667</x:v>
      </x:c>
      <x:c r="U139" s="2" t="n">
        <x:f>'Cohort factors'!F49</x:f>
        <x:v>5</x:v>
      </x:c>
      <x:c r="V139" s="2" t="n">
        <x:f>D139*Inputs!D14*'Cohort factors'!G49*Inputs!$B$5/1000*44/12/1000000</x:f>
        <x:v>0.27690327752023103</x:v>
      </x:c>
    </x:row>
    <x:row r="140" ht="22" customHeight="1">
      <x:c r="A140" s="2" t="str">
        <x:v>CB_STEADY</x:v>
      </x:c>
      <x:c r="B140" s="2" t="str">
        <x:v>Croppable area</x:v>
      </x:c>
      <x:c r="C140" s="2" t="n">
        <x:v>2042</x:v>
      </x:c>
      <x:c r="D140" s="16" t="n">
        <x:f>Inputs!H14</x:f>
        <x:v>428750.00000000006</x:v>
      </x:c>
      <x:c r="E140" s="16" t="n">
        <x:f>D140*'Cohort factors'!C50</x:f>
        <x:v>17864.583333333336</x:v>
      </x:c>
      <x:c r="F140" s="16" t="n">
        <x:f>D140*'Cohort factors'!D50</x:f>
        <x:v>285833.3333333334</x:v>
      </x:c>
      <x:c r="G140" s="16" t="n">
        <x:f>F140*Inputs!D14</x:f>
        <x:v>13611111.111111114</x:v>
      </x:c>
      <x:c r="H140" s="16" t="n">
        <x:f>D140*Inputs!D14*'Cohort factors'!E50*Inputs!$B$5/1000</x:f>
        <x:v>913078.7231449068</x:v>
      </x:c>
      <x:c r="I140" s="16" t="n">
        <x:f>H140*Inputs!$B$10</x:f>
        <x:v>227970.55589739952</x:v>
      </x:c>
      <x:c r="J140" s="16" t="n">
        <x:f>D140*T140*Inputs!$B$8*U140</x:f>
        <x:v>105446.02125102146</x:v>
      </x:c>
      <x:c r="K140" s="16" t="n">
        <x:f>SUM(H140:J140)</x:f>
        <x:v>1246495.3002933278</x:v>
      </x:c>
      <x:c r="L140" s="16" t="n">
        <x:f>H140-H139</x:f>
        <x:v>144914.52613101853</x:v>
      </x:c>
      <x:c r="M140" s="16" t="n">
        <x:f>K140-K139</x:f>
        <x:v>193501.09788236464</x:v>
      </x:c>
      <x:c r="N140" s="16" t="n">
        <x:f>H140*44/12/1000000</x:f>
        <x:v>3.3479553181979917</x:v>
      </x:c>
      <x:c r="O140" s="16" t="n">
        <x:f>K140*44/12/1000000</x:f>
        <x:v>4.5704827677422015</x:v>
      </x:c>
      <x:c r="P140" s="16" t="n">
        <x:f>L140*44/12/1000000</x:f>
        <x:v>0.5313532624804013</x:v>
      </x:c>
      <x:c r="Q140" s="16" t="n">
        <x:f>M140*44/12/1000000</x:f>
        <x:v>0.7095040255686702</x:v>
      </x:c>
      <x:c r="R140" s="16" t="n">
        <x:f>O140</x:f>
        <x:v>4.5704827677422015</x:v>
      </x:c>
      <x:c r="S140" s="16" t="n">
        <x:f>Q140</x:f>
        <x:v>0.7095040255686702</x:v>
      </x:c>
      <x:c r="T140" s="2" t="n">
        <x:f>Inputs!E14/Inputs!F14</x:f>
        <x:v>0.06666666666666667</x:v>
      </x:c>
      <x:c r="U140" s="2" t="n">
        <x:f>'Cohort factors'!F50</x:f>
        <x:v>5.666666666666667</x:v>
      </x:c>
      <x:c r="V140" s="2" t="n">
        <x:f>D140*Inputs!D14*'Cohort factors'!G50*Inputs!$B$5/1000*44/12/1000000</x:f>
        <x:v>0.31011285642525604</x:v>
      </x:c>
    </x:row>
    <x:row r="141" ht="22" customHeight="1">
      <x:c r="A141" s="2" t="str">
        <x:v>CB_STEADY</x:v>
      </x:c>
      <x:c r="B141" s="2" t="str">
        <x:v>Croppable area</x:v>
      </x:c>
      <x:c r="C141" s="2" t="n">
        <x:v>2043</x:v>
      </x:c>
      <x:c r="D141" s="16" t="n">
        <x:f>Inputs!H14</x:f>
        <x:v>428750.00000000006</x:v>
      </x:c>
      <x:c r="E141" s="16" t="n">
        <x:f>D141*'Cohort factors'!C51</x:f>
        <x:v>17864.583333333336</x:v>
      </x:c>
      <x:c r="F141" s="16" t="n">
        <x:f>D141*'Cohort factors'!D51</x:f>
        <x:v>303697.91666666674</x:v>
      </x:c>
      <x:c r="G141" s="16" t="n">
        <x:f>F141*Inputs!D14</x:f>
        <x:v>14461805.55555556</x:v>
      </x:c>
      <x:c r="H141" s="16" t="n">
        <x:f>D141*Inputs!D14*'Cohort factors'!E51*Inputs!$B$5/1000</x:f>
        <x:v>1073209.8136731475</x:v>
      </x:c>
      <x:c r="I141" s="16" t="n">
        <x:f>H141*Inputs!$B$10</x:f>
        <x:v>267950.86953174364</x:v>
      </x:c>
      <x:c r="J141" s="16" t="n">
        <x:f>D141*T141*Inputs!$B$8*U141</x:f>
        <x:v>118626.77390739914</x:v>
      </x:c>
      <x:c r="K141" s="16" t="n">
        <x:f>SUM(H141:J141)</x:f>
        <x:v>1459787.4571122902</x:v>
      </x:c>
      <x:c r="L141" s="16" t="n">
        <x:f>H141-H140</x:f>
        <x:v>160131.09052824066</x:v>
      </x:c>
      <x:c r="M141" s="16" t="n">
        <x:f>K141-K140</x:f>
        <x:v>213292.15681896242</x:v>
      </x:c>
      <x:c r="N141" s="16" t="n">
        <x:f>H141*44/12/1000000</x:f>
        <x:v>3.935102650134874</x:v>
      </x:c>
      <x:c r="O141" s="16" t="n">
        <x:f>K141*44/12/1000000</x:f>
        <x:v>5.3525540094117305</x:v>
      </x:c>
      <x:c r="P141" s="16" t="n">
        <x:f>L141*44/12/1000000</x:f>
        <x:v>0.5871473319368825</x:v>
      </x:c>
      <x:c r="Q141" s="16" t="n">
        <x:f>M141*44/12/1000000</x:f>
        <x:v>0.7820712416695288</x:v>
      </x:c>
      <x:c r="R141" s="16" t="n">
        <x:f>O141</x:f>
        <x:v>5.3525540094117305</x:v>
      </x:c>
      <x:c r="S141" s="16" t="n">
        <x:f>Q141</x:f>
        <x:v>0.7820712416695288</x:v>
      </x:c>
      <x:c r="T141" s="2" t="n">
        <x:f>Inputs!E14/Inputs!F14</x:f>
        <x:v>0.06666666666666667</x:v>
      </x:c>
      <x:c r="U141" s="2" t="n">
        <x:f>'Cohort factors'!F51</x:f>
        <x:v>6.375</x:v>
      </x:c>
      <x:c r="V141" s="2" t="n">
        <x:f>D141*Inputs!D14*'Cohort factors'!G51*Inputs!$B$5/1000*44/12/1000000</x:f>
        <x:v>0.3446509347744845</x:v>
      </x:c>
    </x:row>
    <x:row r="142" ht="22" customHeight="1">
      <x:c r="A142" s="2" t="str">
        <x:v>CB_STEADY</x:v>
      </x:c>
      <x:c r="B142" s="2" t="str">
        <x:v>Croppable area</x:v>
      </x:c>
      <x:c r="C142" s="2" t="n">
        <x:v>2044</x:v>
      </x:c>
      <x:c r="D142" s="16" t="n">
        <x:f>Inputs!H14</x:f>
        <x:v>428750.00000000006</x:v>
      </x:c>
      <x:c r="E142" s="16" t="n">
        <x:f>D142*'Cohort factors'!C52</x:f>
        <x:v>17864.583333333336</x:v>
      </x:c>
      <x:c r="F142" s="16" t="n">
        <x:f>D142*'Cohort factors'!D52</x:f>
        <x:v>321562.50000000006</x:v>
      </x:c>
      <x:c r="G142" s="16" t="n">
        <x:f>F142*Inputs!D14</x:f>
        <x:v>15312500.000000004</x:v>
      </x:c>
      <x:c r="H142" s="16" t="n">
        <x:f>D142*Inputs!D14*'Cohort factors'!E52*Inputs!$B$5/1000</x:f>
        <x:v>1250053.0181740732</x:v>
      </x:c>
      <x:c r="I142" s="16" t="n">
        <x:f>H142*Inputs!$B$10</x:f>
        <x:v>312103.73676524666</x:v>
      </x:c>
      <x:c r="J142" s="16" t="n">
        <x:f>D142*T142*Inputs!$B$8*U142</x:f>
        <x:v>132582.86495532843</x:v>
      </x:c>
      <x:c r="K142" s="16" t="n">
        <x:f>SUM(H142:J142)</x:f>
        <x:v>1694739.6198946482</x:v>
      </x:c>
      <x:c r="L142" s="16" t="n">
        <x:f>H142-H141</x:f>
        <x:v>176843.20450092573</x:v>
      </x:c>
      <x:c r="M142" s="16" t="n">
        <x:f>K142-K141</x:f>
        <x:v>234952.162782358</x:v>
      </x:c>
      <x:c r="N142" s="16" t="n">
        <x:f>H142*44/12/1000000</x:f>
        <x:v>4.583527733304935</x:v>
      </x:c>
      <x:c r="O142" s="16" t="n">
        <x:f>K142*44/12/1000000</x:f>
        <x:v>6.214045272947043</x:v>
      </x:c>
      <x:c r="P142" s="16" t="n">
        <x:f>L142*44/12/1000000</x:f>
        <x:v>0.648425083170061</x:v>
      </x:c>
      <x:c r="Q142" s="16" t="n">
        <x:f>M142*44/12/1000000</x:f>
        <x:v>0.8614912635353127</x:v>
      </x:c>
      <x:c r="R142" s="16" t="n">
        <x:f>O142</x:f>
        <x:v>6.214045272947043</x:v>
      </x:c>
      <x:c r="S142" s="16" t="n">
        <x:f>Q142</x:f>
        <x:v>0.8614912635353127</x:v>
      </x:c>
      <x:c r="T142" s="2" t="n">
        <x:f>Inputs!E14/Inputs!F14</x:f>
        <x:v>0.06666666666666667</x:v>
      </x:c>
      <x:c r="U142" s="2" t="n">
        <x:f>'Cohort factors'!F52</x:f>
        <x:v>7.125</x:v>
      </x:c>
      <x:c r="V142" s="2" t="n">
        <x:f>D142*Inputs!D14*'Cohort factors'!G52*Inputs!$B$5/1000*44/12/1000000</x:f>
        <x:v>0.38067455050615456</x:v>
      </x:c>
    </x:row>
    <x:row r="143" ht="22" customHeight="1">
      <x:c r="A143" s="2" t="str">
        <x:v>CB_STEADY</x:v>
      </x:c>
      <x:c r="B143" s="2" t="str">
        <x:v>Croppable area</x:v>
      </x:c>
      <x:c r="C143" s="2" t="n">
        <x:v>2045</x:v>
      </x:c>
      <x:c r="D143" s="16" t="n">
        <x:f>Inputs!H14</x:f>
        <x:v>428750.00000000006</x:v>
      </x:c>
      <x:c r="E143" s="16" t="n">
        <x:f>D143*'Cohort factors'!C53</x:f>
        <x:v>17864.583333333336</x:v>
      </x:c>
      <x:c r="F143" s="16" t="n">
        <x:f>D143*'Cohort factors'!D53</x:f>
        <x:v>339427.0833333334</x:v>
      </x:c>
      <x:c r="G143" s="16" t="n">
        <x:f>F143*Inputs!D14</x:f>
        <x:v>16163194.444444446</x:v>
      </x:c>
      <x:c r="H143" s="16" t="n">
        <x:f>D143*Inputs!D14*'Cohort factors'!E53*Inputs!$B$5/1000</x:f>
        <x:v>1438749.132368981</x:v>
      </x:c>
      <x:c r="I143" s="16" t="n">
        <x:f>H143*Inputs!$B$10</x:f>
        <x:v>359215.9484051464</x:v>
      </x:c>
      <x:c r="J143" s="16" t="n">
        <x:f>D143*T143*Inputs!$B$8*U143</x:f>
        <x:v>147314.29439480937</x:v>
      </x:c>
      <x:c r="K143" s="16" t="n">
        <x:f>SUM(H143:J143)</x:f>
        <x:v>1945279.3751689366</x:v>
      </x:c>
      <x:c r="L143" s="16" t="n">
        <x:f>H143-H142</x:f>
        <x:v>188696.1141949077</x:v>
      </x:c>
      <x:c r="M143" s="16" t="n">
        <x:f>K143-K142</x:f>
        <x:v>250539.75527428836</x:v>
      </x:c>
      <x:c r="N143" s="16" t="n">
        <x:f>H143*44/12/1000000</x:f>
        <x:v>5.27541348535293</x:v>
      </x:c>
      <x:c r="O143" s="16" t="n">
        <x:f>K143*44/12/1000000</x:f>
        <x:v>7.132691042286101</x:v>
      </x:c>
      <x:c r="P143" s="16" t="n">
        <x:f>L143*44/12/1000000</x:f>
        <x:v>0.691885752047995</x:v>
      </x:c>
      <x:c r="Q143" s="16" t="n">
        <x:f>M143*44/12/1000000</x:f>
        <x:v>0.9186457693390573</x:v>
      </x:c>
      <x:c r="R143" s="16" t="n">
        <x:f>O143</x:f>
        <x:v>7.132691042286101</x:v>
      </x:c>
      <x:c r="S143" s="16" t="n">
        <x:f>Q143</x:f>
        <x:v>0.9186457693390573</x:v>
      </x:c>
      <x:c r="T143" s="2" t="n">
        <x:f>Inputs!E14/Inputs!F14</x:f>
        <x:v>0.06666666666666667</x:v>
      </x:c>
      <x:c r="U143" s="2" t="n">
        <x:f>'Cohort factors'!F53</x:f>
        <x:v>7.916666666666667</x:v>
      </x:c>
      <x:c r="V143" s="2" t="n">
        <x:f>D143*Inputs!D14*'Cohort factors'!G53*Inputs!$B$5/1000*44/12/1000000</x:f>
        <x:v>0.41708959008762797</x:v>
      </x:c>
    </x:row>
    <x:row r="144" ht="22" customHeight="1">
      <x:c r="A144" s="2" t="str">
        <x:v>CB_STEADY</x:v>
      </x:c>
      <x:c r="B144" s="2" t="str">
        <x:v>Croppable area</x:v>
      </x:c>
      <x:c r="C144" s="2" t="n">
        <x:v>2046</x:v>
      </x:c>
      <x:c r="D144" s="16" t="n">
        <x:f>Inputs!H14</x:f>
        <x:v>428750.00000000006</x:v>
      </x:c>
      <x:c r="E144" s="16" t="n">
        <x:f>D144*'Cohort factors'!C54</x:f>
        <x:v>17864.583333333336</x:v>
      </x:c>
      <x:c r="F144" s="16" t="n">
        <x:f>D144*'Cohort factors'!D54</x:f>
        <x:v>357291.66666666674</x:v>
      </x:c>
      <x:c r="G144" s="16" t="n">
        <x:f>F144*Inputs!D14</x:f>
        <x:v>17013888.88888889</x:v>
      </x:c>
      <x:c r="H144" s="16" t="n">
        <x:f>D144*Inputs!D14*'Cohort factors'!E54*Inputs!$B$5/1000</x:f>
        <x:v>1634423.9577976845</x:v>
      </x:c>
      <x:c r="I144" s="16" t="n">
        <x:f>H144*Inputs!$B$10</x:f>
        <x:v>408070.55162540876</x:v>
      </x:c>
      <x:c r="J144" s="16" t="n">
        <x:f>D144*T144*Inputs!$B$8*U144</x:f>
        <x:v>162821.06222584195</x:v>
      </x:c>
      <x:c r="K144" s="16" t="n">
        <x:f>SUM(H144:J144)</x:f>
        <x:v>2205315.5716489353</x:v>
      </x:c>
      <x:c r="L144" s="16" t="n">
        <x:f>H144-H143</x:f>
        <x:v>195674.82542870357</x:v>
      </x:c>
      <x:c r="M144" s="16" t="n">
        <x:f>K144-K143</x:f>
        <x:v>260036.19647999876</x:v>
      </x:c>
      <x:c r="N144" s="16" t="n">
        <x:f>H144*44/12/1000000</x:f>
        <x:v>5.992887845258176</x:v>
      </x:c>
      <x:c r="O144" s="16" t="n">
        <x:f>K144*44/12/1000000</x:f>
        <x:v>8.086157096046097</x:v>
      </x:c>
      <x:c r="P144" s="16" t="n">
        <x:f>L144*44/12/1000000</x:f>
        <x:v>0.7174743599052463</x:v>
      </x:c>
      <x:c r="Q144" s="16" t="n">
        <x:f>M144*44/12/1000000</x:f>
        <x:v>0.9534660537599955</x:v>
      </x:c>
      <x:c r="R144" s="16" t="n">
        <x:f>O144</x:f>
        <x:v>8.086157096046097</x:v>
      </x:c>
      <x:c r="S144" s="16" t="n">
        <x:f>Q144</x:f>
        <x:v>0.9534660537599955</x:v>
      </x:c>
      <x:c r="T144" s="2" t="n">
        <x:f>Inputs!E14/Inputs!F14</x:f>
        <x:v>0.06666666666666667</x:v>
      </x:c>
      <x:c r="U144" s="2" t="n">
        <x:f>'Cohort factors'!F54</x:f>
        <x:v>8.75</x:v>
      </x:c>
      <x:c r="V144" s="2" t="n">
        <x:f>D144*Inputs!D14*'Cohort factors'!G54*Inputs!$B$5/1000*44/12/1000000</x:f>
        <x:v>0.4529633080828903</x:v>
      </x:c>
    </x:row>
    <x:row r="145" ht="22" customHeight="1">
      <x:c r="A145" s="2" t="str">
        <x:v>CB_STEADY</x:v>
      </x:c>
      <x:c r="B145" s="2" t="str">
        <x:v>Croppable area</x:v>
      </x:c>
      <x:c r="C145" s="2" t="n">
        <x:v>2047</x:v>
      </x:c>
      <x:c r="D145" s="16" t="n">
        <x:f>Inputs!H14</x:f>
        <x:v>428750.00000000006</x:v>
      </x:c>
      <x:c r="E145" s="16" t="n">
        <x:f>D145*'Cohort factors'!C55</x:f>
        <x:v>17864.583333333336</x:v>
      </x:c>
      <x:c r="F145" s="16" t="n">
        <x:f>D145*'Cohort factors'!D55</x:f>
        <x:v>375156.25000000006</x:v>
      </x:c>
      <x:c r="G145" s="16" t="n">
        <x:f>F145*Inputs!D14</x:f>
        <x:v>17864583.333333336</x:v>
      </x:c>
      <x:c r="H145" s="16" t="n">
        <x:f>D145*Inputs!D14*'Cohort factors'!E55*Inputs!$B$5/1000</x:f>
        <x:v>1841354.464700462</x:v>
      </x:c>
      <x:c r="I145" s="16" t="n">
        <x:f>H145*Inputs!$B$10</x:f>
        <x:v>459735.3878492513</x:v>
      </x:c>
      <x:c r="J145" s="16" t="n">
        <x:f>D145*T145*Inputs!$B$8*U145</x:f>
        <x:v>179103.16844842615</x:v>
      </x:c>
      <x:c r="K145" s="16" t="n">
        <x:f>SUM(H145:J145)</x:f>
        <x:v>2480193.0209981394</x:v>
      </x:c>
      <x:c r="L145" s="16" t="n">
        <x:f>H145-H144</x:f>
        <x:v>206930.5069027776</x:v>
      </x:c>
      <x:c r="M145" s="16" t="n">
        <x:f>K145-K144</x:f>
        <x:v>274877.4493492041</x:v>
      </x:c>
      <x:c r="N145" s="16" t="n">
        <x:f>H145*44/12/1000000</x:f>
        <x:v>6.751633037235028</x:v>
      </x:c>
      <x:c r="O145" s="16" t="n">
        <x:f>K145*44/12/1000000</x:f>
        <x:v>9.094041076993177</x:v>
      </x:c>
      <x:c r="P145" s="16" t="n">
        <x:f>L145*44/12/1000000</x:f>
        <x:v>0.7587451919768512</x:v>
      </x:c>
      <x:c r="Q145" s="16" t="n">
        <x:f>M145*44/12/1000000</x:f>
        <x:v>1.0078839809470816</x:v>
      </x:c>
      <x:c r="R145" s="16" t="n">
        <x:f>O145</x:f>
        <x:v>9.094041076993177</x:v>
      </x:c>
      <x:c r="S145" s="16" t="n">
        <x:f>Q145</x:f>
        <x:v>1.0078839809470816</x:v>
      </x:c>
      <x:c r="T145" s="2" t="n">
        <x:f>Inputs!E14/Inputs!F14</x:f>
        <x:v>0.06666666666666667</x:v>
      </x:c>
      <x:c r="U145" s="2" t="n">
        <x:f>'Cohort factors'!F55</x:f>
        <x:v>9.625</x:v>
      </x:c>
      <x:c r="V145" s="2" t="n">
        <x:f>D145*Inputs!D14*'Cohort factors'!G55*Inputs!$B$5/1000*44/12/1000000</x:f>
        <x:v>0.4890940315103593</x:v>
      </x:c>
    </x:row>
    <x:row r="146" ht="22" customHeight="1">
      <x:c r="A146" s="2" t="str">
        <x:v>CB_STEADY</x:v>
      </x:c>
      <x:c r="B146" s="2" t="str">
        <x:v>Croppable area</x:v>
      </x:c>
      <x:c r="C146" s="2" t="n">
        <x:v>2048</x:v>
      </x:c>
      <x:c r="D146" s="16" t="n">
        <x:f>Inputs!H14</x:f>
        <x:v>428750.00000000006</x:v>
      </x:c>
      <x:c r="E146" s="16" t="n">
        <x:f>D146*'Cohort factors'!C56</x:f>
        <x:v>17864.583333333336</x:v>
      </x:c>
      <x:c r="F146" s="16" t="n">
        <x:f>D146*'Cohort factors'!D56</x:f>
        <x:v>393020.8333333334</x:v>
      </x:c>
      <x:c r="G146" s="16" t="n">
        <x:f>F146*Inputs!D14</x:f>
        <x:v>18715277.77777778</x:v>
      </x:c>
      <x:c r="H146" s="16" t="n">
        <x:f>D146*Inputs!D14*'Cohort factors'!E56*Inputs!$B$5/1000</x:f>
        <x:v>2060928.067274999</x:v>
      </x:c>
      <x:c r="I146" s="16" t="n">
        <x:f>H146*Inputs!$B$10</x:f>
        <x:v>514556.85610874975</x:v>
      </x:c>
      <x:c r="J146" s="16" t="n">
        <x:f>D146*T146*Inputs!$B$8*U146</x:f>
        <x:v>196160.61306256196</x:v>
      </x:c>
      <x:c r="K146" s="16" t="n">
        <x:f>SUM(H146:J146)</x:f>
        <x:v>2771645.536446311</x:v>
      </x:c>
      <x:c r="L146" s="16" t="n">
        <x:f>H146-H145</x:f>
        <x:v>219573.60257453704</x:v>
      </x:c>
      <x:c r="M146" s="16" t="n">
        <x:f>K146-K145</x:f>
        <x:v>291452.51544817165</x:v>
      </x:c>
      <x:c r="N146" s="16" t="n">
        <x:f>H146*44/12/1000000</x:f>
        <x:v>7.556736246674997</x:v>
      </x:c>
      <x:c r="O146" s="16" t="n">
        <x:f>K146*44/12/1000000</x:f>
        <x:v>10.162700300303142</x:v>
      </x:c>
      <x:c r="P146" s="16" t="n">
        <x:f>L146*44/12/1000000</x:f>
        <x:v>0.8051032094399692</x:v>
      </x:c>
      <x:c r="Q146" s="16" t="n">
        <x:f>M146*44/12/1000000</x:f>
        <x:v>1.0686592233099628</x:v>
      </x:c>
      <x:c r="R146" s="16" t="n">
        <x:f>O146</x:f>
        <x:v>10.162700300303142</x:v>
      </x:c>
      <x:c r="S146" s="16" t="n">
        <x:f>Q146</x:f>
        <x:v>1.0686592233099628</x:v>
      </x:c>
      <x:c r="T146" s="2" t="n">
        <x:f>Inputs!E14/Inputs!F14</x:f>
        <x:v>0.06666666666666667</x:v>
      </x:c>
      <x:c r="U146" s="2" t="n">
        <x:f>'Cohort factors'!F56</x:f>
        <x:v>10.541666666666666</x:v>
      </x:c>
      <x:c r="V146" s="2" t="n">
        <x:f>D146*Inputs!D14*'Cohort factors'!G56*Inputs!$B$5/1000*44/12/1000000</x:f>
        <x:v>0.5256896319394488</x:v>
      </x:c>
    </x:row>
    <x:row r="147" ht="22" customHeight="1">
      <x:c r="A147" s="2" t="str">
        <x:v>CB_STEADY</x:v>
      </x:c>
      <x:c r="B147" s="2" t="str">
        <x:v>Croppable area</x:v>
      </x:c>
      <x:c r="C147" s="2" t="n">
        <x:v>2049</x:v>
      </x:c>
      <x:c r="D147" s="16" t="n">
        <x:f>Inputs!H14</x:f>
        <x:v>428750.00000000006</x:v>
      </x:c>
      <x:c r="E147" s="16" t="n">
        <x:f>D147*'Cohort factors'!C57</x:f>
        <x:v>17864.583333333336</x:v>
      </x:c>
      <x:c r="F147" s="16" t="n">
        <x:f>D147*'Cohort factors'!D57</x:f>
        <x:v>410885.41666666674</x:v>
      </x:c>
      <x:c r="G147" s="16" t="n">
        <x:f>F147*Inputs!D14</x:f>
        <x:v>19565972.222222228</x:v>
      </x:c>
      <x:c r="H147" s="16" t="n">
        <x:f>D147*Inputs!D14*'Cohort factors'!E57*Inputs!$B$5/1000</x:f>
        <x:v>2294201.2459462956</x:v>
      </x:c>
      <x:c r="I147" s="16" t="n">
        <x:f>H147*Inputs!$B$10</x:f>
        <x:v>572798.7304068208</x:v>
      </x:c>
      <x:c r="J147" s="16" t="n">
        <x:f>D147*T147*Inputs!$B$8*U147</x:f>
        <x:v>213993.39606824942</x:v>
      </x:c>
      <x:c r="K147" s="16" t="n">
        <x:f>SUM(H147:J147)</x:f>
        <x:v>3080993.3724213657</x:v>
      </x:c>
      <x:c r="L147" s="16" t="n">
        <x:f>H147-H146</x:f>
        <x:v>233273.17867129645</x:v>
      </x:c>
      <x:c r="M147" s="16" t="n">
        <x:f>K147-K146</x:f>
        <x:v>309347.83597505465</x:v>
      </x:c>
      <x:c r="N147" s="16" t="n">
        <x:f>H147*44/12/1000000</x:f>
        <x:v>8.412071235136418</x:v>
      </x:c>
      <x:c r="O147" s="16" t="n">
        <x:f>K147*44/12/1000000</x:f>
        <x:v>11.29697569887834</x:v>
      </x:c>
      <x:c r="P147" s="16" t="n">
        <x:f>L147*44/12/1000000</x:f>
        <x:v>0.8553349884614203</x:v>
      </x:c>
      <x:c r="Q147" s="16" t="n">
        <x:f>M147*44/12/1000000</x:f>
        <x:v>1.1342753985752005</x:v>
      </x:c>
      <x:c r="R147" s="16" t="n">
        <x:f>O147</x:f>
        <x:v>11.29697569887834</x:v>
      </x:c>
      <x:c r="S147" s="16" t="n">
        <x:f>Q147</x:f>
        <x:v>1.1342753985752005</x:v>
      </x:c>
      <x:c r="T147" s="2" t="n">
        <x:f>Inputs!E14/Inputs!F14</x:f>
        <x:v>0.06666666666666667</x:v>
      </x:c>
      <x:c r="U147" s="2" t="n">
        <x:f>'Cohort factors'!F57</x:f>
        <x:v>11.5</x:v>
      </x:c>
      <x:c r="V147" s="2" t="n">
        <x:f>D147*Inputs!D14*'Cohort factors'!G57*Inputs!$B$5/1000*44/12/1000000</x:f>
        <x:v>0.5628781096986412</x:v>
      </x:c>
    </x:row>
    <x:row r="148" ht="22" customHeight="1">
      <x:c r="A148" s="2" t="str">
        <x:v>CB_STEADY</x:v>
      </x:c>
      <x:c r="B148" s="2" t="str">
        <x:v>Croppable area</x:v>
      </x:c>
      <x:c r="C148" s="2" t="n">
        <x:v>2050</x:v>
      </x:c>
      <x:c r="D148" s="16" t="n">
        <x:f>Inputs!H14</x:f>
        <x:v>428750.00000000006</x:v>
      </x:c>
      <x:c r="E148" s="16" t="n">
        <x:f>D148*'Cohort factors'!C58</x:f>
        <x:v>17864.583333333336</x:v>
      </x:c>
      <x:c r="F148" s="16" t="n">
        <x:f>D148*'Cohort factors'!D58</x:f>
        <x:v>428750.00000000006</x:v>
      </x:c>
      <x:c r="G148" s="16" t="n">
        <x:f>F148*Inputs!D14</x:f>
        <x:v>20416666.66666667</x:v>
      </x:c>
      <x:c r="H148" s="16" t="n">
        <x:f>D148*Inputs!D14*'Cohort factors'!E58*Inputs!$B$5/1000</x:f>
        <x:v>2538825.0015333323</x:v>
      </x:c>
      <x:c r="I148" s="16" t="n">
        <x:f>H148*Inputs!$B$10</x:f>
        <x:v>633874.5304811108</x:v>
      </x:c>
      <x:c r="J148" s="16" t="n">
        <x:f>D148*T148*Inputs!$B$8*U148</x:f>
        <x:v>232601.5174654885</x:v>
      </x:c>
      <x:c r="K148" s="16" t="n">
        <x:f>SUM(H148:J148)</x:f>
        <x:v>3405301.0494799316</x:v>
      </x:c>
      <x:c r="L148" s="16" t="n">
        <x:f>H148-H147</x:f>
        <x:v>244623.75558703672</x:v>
      </x:c>
      <x:c r="M148" s="16" t="n">
        <x:f>K148-K147</x:f>
        <x:v>324307.6770585659</x:v>
      </x:c>
      <x:c r="N148" s="16" t="n">
        <x:f>H148*44/12/1000000</x:f>
        <x:v>9.309025005622217</x:v>
      </x:c>
      <x:c r="O148" s="16" t="n">
        <x:f>K148*44/12/1000000</x:f>
        <x:v>12.486103848093084</x:v>
      </x:c>
      <x:c r="P148" s="16" t="n">
        <x:f>L148*44/12/1000000</x:f>
        <x:v>0.8969537704858013</x:v>
      </x:c>
      <x:c r="Q148" s="16" t="n">
        <x:f>M148*44/12/1000000</x:f>
        <x:v>1.1891281492147416</x:v>
      </x:c>
      <x:c r="R148" s="16" t="n">
        <x:f>O148</x:f>
        <x:v>12.486103848093084</x:v>
      </x:c>
      <x:c r="S148" s="16" t="n">
        <x:f>Q148</x:f>
        <x:v>1.1891281492147416</x:v>
      </x:c>
      <x:c r="T148" s="2" t="n">
        <x:f>Inputs!E14/Inputs!F14</x:f>
        <x:v>0.06666666666666667</x:v>
      </x:c>
      <x:c r="U148" s="2" t="n">
        <x:f>'Cohort factors'!F58</x:f>
        <x:v>12.5</x:v>
      </x:c>
      <x:c r="V148" s="2" t="n">
        <x:f>D148*Inputs!D14*'Cohort factors'!G58*Inputs!$B$5/1000*44/12/1000000</x:f>
        <x:v>0.6002511834688828</x:v>
      </x:c>
    </x:row>
    <x:row r="149" ht="22" customHeight="1">
      <x:c r="A149" s="2" t="str">
        <x:v>CB_STEADY</x:v>
      </x:c>
      <x:c r="B149" s="2" t="str">
        <x:v>Croppable area</x:v>
      </x:c>
      <x:c r="C149" s="2" t="n">
        <x:v>2051</x:v>
      </x:c>
      <x:c r="D149" s="16" t="n">
        <x:f>Inputs!H14</x:f>
        <x:v>428750.00000000006</x:v>
      </x:c>
      <x:c r="E149" s="16" t="n">
        <x:f>D149*'Cohort factors'!C59</x:f>
        <x:v>0</x:v>
      </x:c>
      <x:c r="F149" s="16" t="n">
        <x:f>D149*'Cohort factors'!D59</x:f>
        <x:v>428750.00000000006</x:v>
      </x:c>
      <x:c r="G149" s="16" t="n">
        <x:f>F149*Inputs!D14</x:f>
        <x:v>20416666.66666667</x:v>
      </x:c>
      <x:c r="H149" s="16" t="n">
        <x:f>D149*Inputs!D14*'Cohort factors'!E59*Inputs!$B$5/1000</x:f>
        <x:v>2793645.991568054</x:v>
      </x:c>
      <x:c r="I149" s="16" t="n">
        <x:f>H149*Inputs!$B$10</x:f>
        <x:v>697496.2985499764</x:v>
      </x:c>
      <x:c r="J149" s="16" t="n">
        <x:f>D149*T149*Inputs!$B$8*U149</x:f>
        <x:v>251209.6388627276</x:v>
      </x:c>
      <x:c r="K149" s="16" t="n">
        <x:f>SUM(H149:J149)</x:f>
        <x:v>3742351.928980758</x:v>
      </x:c>
      <x:c r="L149" s="16" t="n">
        <x:f>H149-H148</x:f>
        <x:v>254820.9900347218</x:v>
      </x:c>
      <x:c r="M149" s="16" t="n">
        <x:f>K149-K148</x:f>
        <x:v>337050.87950082636</x:v>
      </x:c>
      <x:c r="N149" s="16" t="n">
        <x:f>H149*44/12/1000000</x:f>
        <x:v>10.243368635749531</x:v>
      </x:c>
      <x:c r="O149" s="16" t="n">
        <x:f>K149*44/12/1000000</x:f>
        <x:v>13.721957072929447</x:v>
      </x:c>
      <x:c r="P149" s="16" t="n">
        <x:f>L149*44/12/1000000</x:f>
        <x:v>0.9343436301273133</x:v>
      </x:c>
      <x:c r="Q149" s="16" t="n">
        <x:f>M149*44/12/1000000</x:f>
        <x:v>1.2358532248363632</x:v>
      </x:c>
      <x:c r="R149" s="16" t="n">
        <x:f>O149</x:f>
        <x:v>13.721957072929447</x:v>
      </x:c>
      <x:c r="S149" s="16" t="n">
        <x:f>Q149</x:f>
        <x:v>1.2358532248363632</x:v>
      </x:c>
      <x:c r="T149" s="2" t="n">
        <x:f>Inputs!E14/Inputs!F14</x:f>
        <x:v>0.06666666666666667</x:v>
      </x:c>
      <x:c r="U149" s="2" t="n">
        <x:f>'Cohort factors'!F59</x:f>
        <x:v>13.5</x:v>
      </x:c>
      <x:c r="V149" s="2" t="n">
        <x:f>D149*Inputs!D14*'Cohort factors'!G59*Inputs!$B$5/1000*44/12/1000000</x:f>
        <x:v>0.6361324447807902</x:v>
      </x:c>
    </x:row>
    <x:row r="150" ht="22" customHeight="1">
      <x:c r="A150" s="2" t="str">
        <x:v>CB_STEADY</x:v>
      </x:c>
      <x:c r="B150" s="2" t="str">
        <x:v>Croppable area</x:v>
      </x:c>
      <x:c r="C150" s="2" t="n">
        <x:v>2052</x:v>
      </x:c>
      <x:c r="D150" s="16" t="n">
        <x:f>Inputs!H14</x:f>
        <x:v>428750.00000000006</x:v>
      </x:c>
      <x:c r="E150" s="16" t="n">
        <x:f>D150*'Cohort factors'!C60</x:f>
        <x:v>0</x:v>
      </x:c>
      <x:c r="F150" s="16" t="n">
        <x:f>D150*'Cohort factors'!D60</x:f>
        <x:v>428750.00000000006</x:v>
      </x:c>
      <x:c r="G150" s="16" t="n">
        <x:f>F150*Inputs!D14</x:f>
        <x:v>20416666.66666667</x:v>
      </x:c>
      <x:c r="H150" s="16" t="n">
        <x:f>D150*Inputs!D14*'Cohort factors'!E60*Inputs!$B$5/1000</x:f>
        <x:v>3061020.2414458324</x:v>
      </x:c>
      <x:c r="I150" s="16" t="n">
        <x:f>H150*Inputs!$B$10</x:f>
        <x:v>764252.2691275692</x:v>
      </x:c>
      <x:c r="J150" s="16" t="n">
        <x:f>D150*T150*Inputs!$B$8*U150</x:f>
        <x:v>269817.76025996666</x:v>
      </x:c>
      <x:c r="K150" s="16" t="n">
        <x:f>SUM(H150:J150)</x:f>
        <x:v>4095090.2708333684</x:v>
      </x:c>
      <x:c r="L150" s="16" t="n">
        <x:f>H150-H149</x:f>
        <x:v>267374.24987777835</x:v>
      </x:c>
      <x:c r="M150" s="16" t="n">
        <x:f>K150-K149</x:f>
        <x:v>352738.34185261047</x:v>
      </x:c>
      <x:c r="N150" s="16" t="n">
        <x:f>H150*44/12/1000000</x:f>
        <x:v>11.223740885301387</x:v>
      </x:c>
      <x:c r="O150" s="16" t="n">
        <x:f>K150*44/12/1000000</x:f>
        <x:v>15.015330993055684</x:v>
      </x:c>
      <x:c r="P150" s="16" t="n">
        <x:f>L150*44/12/1000000</x:f>
        <x:v>0.980372249551854</x:v>
      </x:c>
      <x:c r="Q150" s="16" t="n">
        <x:f>M150*44/12/1000000</x:f>
        <x:v>1.2933739201262384</x:v>
      </x:c>
      <x:c r="R150" s="16" t="n">
        <x:f>O150</x:f>
        <x:v>15.015330993055684</x:v>
      </x:c>
      <x:c r="S150" s="16" t="n">
        <x:f>Q150</x:f>
        <x:v>1.2933739201262384</x:v>
      </x:c>
      <x:c r="T150" s="2" t="n">
        <x:f>Inputs!E14/Inputs!F14</x:f>
        <x:v>0.06666666666666667</x:v>
      </x:c>
      <x:c r="U150" s="2" t="n">
        <x:f>'Cohort factors'!F60</x:f>
        <x:v>14.5</x:v>
      </x:c>
      <x:c r="V150" s="2" t="n">
        <x:f>D150*Inputs!D14*'Cohort factors'!G60*Inputs!$B$5/1000*44/12/1000000</x:f>
        <x:v>0.6711420787267304</x:v>
      </x:c>
    </x:row>
    <x:row r="151" ht="22" customHeight="1">
      <x:c r="A151" s="2" t="str">
        <x:v>CB_STEADY</x:v>
      </x:c>
      <x:c r="B151" s="2" t="str">
        <x:v>Croppable area</x:v>
      </x:c>
      <x:c r="C151" s="2" t="n">
        <x:v>2053</x:v>
      </x:c>
      <x:c r="D151" s="16" t="n">
        <x:f>Inputs!H14</x:f>
        <x:v>428750.00000000006</x:v>
      </x:c>
      <x:c r="E151" s="16" t="n">
        <x:f>D151*'Cohort factors'!C61</x:f>
        <x:v>0</x:v>
      </x:c>
      <x:c r="F151" s="16" t="n">
        <x:f>D151*'Cohort factors'!D61</x:f>
        <x:v>428750.00000000006</x:v>
      </x:c>
      <x:c r="G151" s="16" t="n">
        <x:f>F151*Inputs!D14</x:f>
        <x:v>20416666.66666667</x:v>
      </x:c>
      <x:c r="H151" s="16" t="n">
        <x:f>D151*Inputs!D14*'Cohort factors'!E61*Inputs!$B$5/1000</x:f>
        <x:v>3334148.3699740726</x:v>
      </x:c>
      <x:c r="I151" s="16" t="n">
        <x:f>H151*Inputs!$B$10</x:f>
        <x:v>832444.8243952465</x:v>
      </x:c>
      <x:c r="J151" s="16" t="n">
        <x:f>D151*T151*Inputs!$B$8*U151</x:f>
        <x:v>288425.88165720575</x:v>
      </x:c>
      <x:c r="K151" s="16" t="n">
        <x:f>SUM(H151:J151)</x:f>
        <x:v>4455019.076026524</x:v>
      </x:c>
      <x:c r="L151" s="16" t="n">
        <x:f>H151-H150</x:f>
        <x:v>273128.12852824014</x:v>
      </x:c>
      <x:c r="M151" s="16" t="n">
        <x:f>K151-K150</x:f>
        <x:v>359928.805193156</x:v>
      </x:c>
      <x:c r="N151" s="16" t="n">
        <x:f>H151*44/12/1000000</x:f>
        <x:v>12.225210689904934</x:v>
      </x:c>
      <x:c r="O151" s="16" t="n">
        <x:f>K151*44/12/1000000</x:f>
        <x:v>16.33506994543059</x:v>
      </x:c>
      <x:c r="P151" s="16" t="n">
        <x:f>L151*44/12/1000000</x:f>
        <x:v>1.0014698046035473</x:v>
      </x:c>
      <x:c r="Q151" s="16" t="n">
        <x:f>M151*44/12/1000000</x:f>
        <x:v>1.3197389523749052</x:v>
      </x:c>
      <x:c r="R151" s="16" t="n">
        <x:f>O151</x:f>
        <x:v>16.33506994543059</x:v>
      </x:c>
      <x:c r="S151" s="16" t="n">
        <x:f>Q151</x:f>
        <x:v>1.3197389523749052</x:v>
      </x:c>
      <x:c r="T151" s="2" t="n">
        <x:f>Inputs!E14/Inputs!F14</x:f>
        <x:v>0.06666666666666667</x:v>
      </x:c>
      <x:c r="U151" s="2" t="n">
        <x:f>'Cohort factors'!F61</x:f>
        <x:v>15.5</x:v>
      </x:c>
      <x:c r="V151" s="2" t="n">
        <x:f>D151*Inputs!D14*'Cohort factors'!G61*Inputs!$B$5/1000*44/12/1000000</x:f>
        <x:v>0.7029964865195459</x:v>
      </x:c>
    </x:row>
    <x:row r="152" ht="22" customHeight="1">
      <x:c r="A152" s="2" t="str">
        <x:v>CB_STEADY</x:v>
      </x:c>
      <x:c r="B152" s="2" t="str">
        <x:v>Croppable area</x:v>
      </x:c>
      <x:c r="C152" s="2" t="n">
        <x:v>2054</x:v>
      </x:c>
      <x:c r="D152" s="16" t="n">
        <x:f>Inputs!H14</x:f>
        <x:v>428750.00000000006</x:v>
      </x:c>
      <x:c r="E152" s="16" t="n">
        <x:f>D152*'Cohort factors'!C62</x:f>
        <x:v>0</x:v>
      </x:c>
      <x:c r="F152" s="16" t="n">
        <x:f>D152*'Cohort factors'!D62</x:f>
        <x:v>428750.00000000006</x:v>
      </x:c>
      <x:c r="G152" s="16" t="n">
        <x:f>F152*Inputs!D14</x:f>
        <x:v>20416666.66666667</x:v>
      </x:c>
      <x:c r="H152" s="16" t="n">
        <x:f>D152*Inputs!D14*'Cohort factors'!E62*Inputs!$B$5/1000</x:f>
        <x:v>3612147.049978703</x:v>
      </x:c>
      <x:c r="I152" s="16" t="n">
        <x:f>H152*Inputs!$B$10</x:f>
        <x:v>901853.4219377621</x:v>
      </x:c>
      <x:c r="J152" s="16" t="n">
        <x:f>D152*T152*Inputs!$B$8*U152</x:f>
        <x:v>307034.0030544448</x:v>
      </x:c>
      <x:c r="K152" s="16" t="n">
        <x:f>SUM(H152:J152)</x:f>
        <x:v>4821034.47497091</x:v>
      </x:c>
      <x:c r="L152" s="16" t="n">
        <x:f>H152-H151</x:f>
        <x:v>277998.68000463024</x:v>
      </x:c>
      <x:c r="M152" s="16" t="n">
        <x:f>K152-K151</x:f>
        <x:v>366015.39894438535</x:v>
      </x:c>
      <x:c r="N152" s="16" t="n">
        <x:f>H152*44/12/1000000</x:f>
        <x:v>13.244539183255242</x:v>
      </x:c>
      <x:c r="O152" s="16" t="n">
        <x:f>K152*44/12/1000000</x:f>
        <x:v>17.67712640822667</x:v>
      </x:c>
      <x:c r="P152" s="16" t="n">
        <x:f>L152*44/12/1000000</x:f>
        <x:v>1.0193284933503108</x:v>
      </x:c>
      <x:c r="Q152" s="16" t="n">
        <x:f>M152*44/12/1000000</x:f>
        <x:v>1.3420564627960796</x:v>
      </x:c>
      <x:c r="R152" s="16" t="n">
        <x:f>O152</x:f>
        <x:v>17.67712640822667</x:v>
      </x:c>
      <x:c r="S152" s="16" t="n">
        <x:f>Q152</x:f>
        <x:v>1.3420564627960796</x:v>
      </x:c>
      <x:c r="T152" s="2" t="n">
        <x:f>Inputs!E14/Inputs!F14</x:f>
        <x:v>0.06666666666666667</x:v>
      </x:c>
      <x:c r="U152" s="2" t="n">
        <x:f>'Cohort factors'!F62</x:f>
        <x:v>16.5</x:v>
      </x:c>
      <x:c r="V152" s="2" t="n">
        <x:f>D152*Inputs!D14*'Cohort factors'!G62*Inputs!$B$5/1000*44/12/1000000</x:f>
        <x:v>0.7319221030161508</x:v>
      </x:c>
    </x:row>
    <x:row r="153" ht="22" customHeight="1">
      <x:c r="A153" s="2" t="str">
        <x:v>CB_STEADY</x:v>
      </x:c>
      <x:c r="B153" s="2" t="str">
        <x:v>Croppable area</x:v>
      </x:c>
      <x:c r="C153" s="2" t="n">
        <x:v>2055</x:v>
      </x:c>
      <x:c r="D153" s="16" t="n">
        <x:f>Inputs!H14</x:f>
        <x:v>428750.00000000006</x:v>
      </x:c>
      <x:c r="E153" s="16" t="n">
        <x:f>D153*'Cohort factors'!C63</x:f>
        <x:v>0</x:v>
      </x:c>
      <x:c r="F153" s="16" t="n">
        <x:f>D153*'Cohort factors'!D63</x:f>
        <x:v>428750.00000000006</x:v>
      </x:c>
      <x:c r="G153" s="16" t="n">
        <x:f>F153*Inputs!D14</x:f>
        <x:v>20416666.66666667</x:v>
      </x:c>
      <x:c r="H153" s="16" t="n">
        <x:f>D153*Inputs!D14*'Cohort factors'!E63*Inputs!$B$5/1000</x:f>
        <x:v>3900450.425809259</x:v>
      </x:c>
      <x:c r="I153" s="16" t="n">
        <x:f>H153*Inputs!$B$10</x:f>
        <x:v>973834.8176150307</x:v>
      </x:c>
      <x:c r="J153" s="16" t="n">
        <x:f>D153*T153*Inputs!$B$8*U153</x:f>
        <x:v>325642.1244516839</x:v>
      </x:c>
      <x:c r="K153" s="16" t="n">
        <x:f>SUM(H153:J153)</x:f>
        <x:v>5199927.367875974</x:v>
      </x:c>
      <x:c r="L153" s="16" t="n">
        <x:f>H153-H152</x:f>
        <x:v>288303.37583055627</x:v>
      </x:c>
      <x:c r="M153" s="16" t="n">
        <x:f>K153-K152</x:f>
        <x:v>378892.8929050639</x:v>
      </x:c>
      <x:c r="N153" s="16" t="n">
        <x:f>H153*44/12/1000000</x:f>
        <x:v>14.301651561300615</x:v>
      </x:c>
      <x:c r="O153" s="16" t="n">
        <x:f>K153*44/12/1000000</x:f>
        <x:v>19.06640034887857</x:v>
      </x:c>
      <x:c r="P153" s="16" t="n">
        <x:f>L153*44/12/1000000</x:f>
        <x:v>1.0571123780453728</x:v>
      </x:c>
      <x:c r="Q153" s="16" t="n">
        <x:f>M153*44/12/1000000</x:f>
        <x:v>1.389273940651901</x:v>
      </x:c>
      <x:c r="R153" s="16" t="n">
        <x:f>O153</x:f>
        <x:v>19.06640034887857</x:v>
      </x:c>
      <x:c r="S153" s="16" t="n">
        <x:f>Q153</x:f>
        <x:v>1.389273940651901</x:v>
      </x:c>
      <x:c r="T153" s="2" t="n">
        <x:f>Inputs!E14/Inputs!F14</x:f>
        <x:v>0.06666666666666667</x:v>
      </x:c>
      <x:c r="U153" s="2" t="n">
        <x:f>'Cohort factors'!F63</x:f>
        <x:v>17.5</x:v>
      </x:c>
      <x:c r="V153" s="2" t="n">
        <x:f>D153*Inputs!D14*'Cohort factors'!G63*Inputs!$B$5/1000*44/12/1000000</x:f>
        <x:v>0.7573201521760806</x:v>
      </x:c>
    </x:row>
    <x:row r="154" ht="22" customHeight="1">
      <x:c r="A154" s="2" t="str">
        <x:v>CB_STEADY</x:v>
      </x:c>
      <x:c r="B154" s="2" t="str">
        <x:v>Croppable area</x:v>
      </x:c>
      <x:c r="C154" s="2" t="n">
        <x:v>2056</x:v>
      </x:c>
      <x:c r="D154" s="16" t="n">
        <x:f>Inputs!H14</x:f>
        <x:v>428750.00000000006</x:v>
      </x:c>
      <x:c r="E154" s="16" t="n">
        <x:f>D154*'Cohort factors'!C64</x:f>
        <x:v>0</x:v>
      </x:c>
      <x:c r="F154" s="16" t="n">
        <x:f>D154*'Cohort factors'!D64</x:f>
        <x:v>428750.00000000006</x:v>
      </x:c>
      <x:c r="G154" s="16" t="n">
        <x:f>F154*Inputs!D14</x:f>
        <x:v>20416666.66666667</x:v>
      </x:c>
      <x:c r="H154" s="16" t="n">
        <x:f>D154*Inputs!D14*'Cohort factors'!E64*Inputs!$B$5/1000</x:f>
        <x:v>4186035.173726388</x:v>
      </x:c>
      <x:c r="I154" s="16" t="n">
        <x:f>H154*Inputs!$B$10</x:f>
        <x:v>1045137.4469373376</x:v>
      </x:c>
      <x:c r="J154" s="16" t="n">
        <x:f>D154*T154*Inputs!$B$8*U154</x:f>
        <x:v>344250.245848923</x:v>
      </x:c>
      <x:c r="K154" s="16" t="n">
        <x:f>SUM(H154:J154)</x:f>
        <x:v>5575422.866512649</x:v>
      </x:c>
      <x:c r="L154" s="16" t="n">
        <x:f>H154-H153</x:f>
        <x:v>285584.7479171287</x:v>
      </x:c>
      <x:c r="M154" s="16" t="n">
        <x:f>K154-K153</x:f>
        <x:v>375495.49863667507</x:v>
      </x:c>
      <x:c r="N154" s="16" t="n">
        <x:f>H154*44/12/1000000</x:f>
        <x:v>15.348795636996755</x:v>
      </x:c>
      <x:c r="O154" s="16" t="n">
        <x:f>K154*44/12/1000000</x:f>
        <x:v>20.443217177213047</x:v>
      </x:c>
      <x:c r="P154" s="16" t="n">
        <x:f>L154*44/12/1000000</x:f>
        <x:v>1.0471440756961388</x:v>
      </x:c>
      <x:c r="Q154" s="16" t="n">
        <x:f>M154*44/12/1000000</x:f>
        <x:v>1.3768168283344753</x:v>
      </x:c>
      <x:c r="R154" s="16" t="n">
        <x:f>O154</x:f>
        <x:v>20.443217177213047</x:v>
      </x:c>
      <x:c r="S154" s="16" t="n">
        <x:f>Q154</x:f>
        <x:v>1.3768168283344753</x:v>
      </x:c>
      <x:c r="T154" s="2" t="n">
        <x:f>Inputs!E14/Inputs!F14</x:f>
        <x:v>0.06666666666666667</x:v>
      </x:c>
      <x:c r="U154" s="2" t="n">
        <x:f>'Cohort factors'!F64</x:f>
        <x:v>18.5</x:v>
      </x:c>
      <x:c r="V154" s="2" t="n">
        <x:f>D154*Inputs!D14*'Cohort factors'!G64*Inputs!$B$5/1000*44/12/1000000</x:f>
        <x:v>0.7765775570771454</x:v>
      </x:c>
    </x:row>
    <x:row r="155" ht="22" customHeight="1">
      <x:c r="A155" s="2" t="str">
        <x:v>CB_STEADY</x:v>
      </x:c>
      <x:c r="B155" s="2" t="str">
        <x:v>UK total</x:v>
      </x:c>
      <x:c r="C155" s="2" t="n">
        <x:v>2027</x:v>
      </x:c>
      <x:c r="D155" s="16" t="n">
        <x:f>D95+D125</x:f>
        <x:v>1266650.0000000002</x:v>
      </x:c>
      <x:c r="E155" s="16" t="n">
        <x:f>E95+E125</x:f>
        <x:v>52777.083333333336</x:v>
      </x:c>
      <x:c r="F155" s="16" t="n">
        <x:f>F95+F125</x:f>
        <x:v>52777.083333333336</x:v>
      </x:c>
      <x:c r="G155" s="16" t="n">
        <x:f>G95+G125</x:f>
        <x:v>6646169.444444445</x:v>
      </x:c>
      <x:c r="H155" s="16" t="n">
        <x:f>H95+H125</x:f>
        <x:v>3312.568000924518</x:v>
      </x:c>
      <x:c r="I155" s="16" t="n">
        <x:f>I95+I125</x:f>
        <x:v>827.0568018688282</x:v>
      </x:c>
      <x:c r="J155" s="16" t="n">
        <x:f>J95+J125</x:f>
        <x:v>775.3383915516283</x:v>
      </x:c>
      <x:c r="K155" s="16" t="n">
        <x:f>K95+K125</x:f>
        <x:v>4914.963194344975</x:v>
      </x:c>
      <x:c r="L155" s="16" t="n">
        <x:f>L95+L125</x:f>
        <x:v>3312.568000924518</x:v>
      </x:c>
      <x:c r="M155" s="16" t="n">
        <x:f>M95+M125</x:f>
        <x:v>4914.963194344975</x:v>
      </x:c>
      <x:c r="N155" s="16" t="n">
        <x:f>N95+N125</x:f>
        <x:v>0.012146082670056567</x:v>
      </x:c>
      <x:c r="O155" s="16" t="n">
        <x:f>O95+O125</x:f>
        <x:v>0.01802153171259824</x:v>
      </x:c>
      <x:c r="P155" s="16" t="n">
        <x:f>P95+P125</x:f>
        <x:v>0.012146082670056567</x:v>
      </x:c>
      <x:c r="Q155" s="16" t="n">
        <x:f>Q95+Q125</x:f>
        <x:v>0.01802153171259824</x:v>
      </x:c>
      <x:c r="R155" s="16" t="n">
        <x:f>R95+R125</x:f>
        <x:v>0.01802153171259824</x:v>
      </x:c>
      <x:c r="S155" s="16" t="n">
        <x:f>S95+S125</x:f>
        <x:v>0.01802153171259824</x:v>
      </x:c>
      <x:c r="T155" s="2"/>
      <x:c r="U155" s="2"/>
      <x:c r="V155" s="2" t="n">
        <x:f>V95+V125</x:f>
        <x:v>0.012146082670056567</x:v>
      </x:c>
    </x:row>
    <x:row r="156" ht="22" customHeight="1">
      <x:c r="A156" s="2" t="str">
        <x:v>CB_STEADY</x:v>
      </x:c>
      <x:c r="B156" s="2" t="str">
        <x:v>UK total</x:v>
      </x:c>
      <x:c r="C156" s="2" t="n">
        <x:v>2028</x:v>
      </x:c>
      <x:c r="D156" s="16" t="n">
        <x:f>D96+D126</x:f>
        <x:v>1266650.0000000002</x:v>
      </x:c>
      <x:c r="E156" s="16" t="n">
        <x:f>E96+E126</x:f>
        <x:v>52777.083333333336</x:v>
      </x:c>
      <x:c r="F156" s="16" t="n">
        <x:f>F96+F126</x:f>
        <x:v>105554.16666666667</x:v>
      </x:c>
      <x:c r="G156" s="16" t="n">
        <x:f>G96+G126</x:f>
        <x:v>13292338.88888889</x:v>
      </x:c>
      <x:c r="H156" s="16" t="n">
        <x:f>H96+H126</x:f>
        <x:v>15763.388941881776</x:v>
      </x:c>
      <x:c r="I156" s="16" t="n">
        <x:f>I96+I126</x:f>
        <x:v>3935.683144088992</x:v>
      </x:c>
      <x:c r="J156" s="16" t="n">
        <x:f>J96+J126</x:f>
        <x:v>2326.015174654885</x:v>
      </x:c>
      <x:c r="K156" s="16" t="n">
        <x:f>K96+K126</x:f>
        <x:v>22025.087260625653</x:v>
      </x:c>
      <x:c r="L156" s="16" t="n">
        <x:f>L96+L126</x:f>
        <x:v>12450.820940957257</x:v>
      </x:c>
      <x:c r="M156" s="16" t="n">
        <x:f>M96+M126</x:f>
        <x:v>17110.12406628068</x:v>
      </x:c>
      <x:c r="N156" s="16" t="n">
        <x:f>N96+N126</x:f>
        <x:v>0.05779909278689985</x:v>
      </x:c>
      <x:c r="O156" s="16" t="n">
        <x:f>O96+O126</x:f>
        <x:v>0.08075865328896074</x:v>
      </x:c>
      <x:c r="P156" s="16" t="n">
        <x:f>P96+P126</x:f>
        <x:v>0.04565301011684328</x:v>
      </x:c>
      <x:c r="Q156" s="16" t="n">
        <x:f>Q96+Q126</x:f>
        <x:v>0.06273712157636249</x:v>
      </x:c>
      <x:c r="R156" s="16" t="n">
        <x:f>R96+R126</x:f>
        <x:v>0.08075865328896074</x:v>
      </x:c>
      <x:c r="S156" s="16" t="n">
        <x:f>S96+S126</x:f>
        <x:v>0.06273712157636249</x:v>
      </x:c>
      <x:c r="T156" s="2"/>
      <x:c r="U156" s="2"/>
      <x:c r="V156" s="2" t="n">
        <x:f>V96+V126</x:f>
        <x:v>0.0349725877284782</x:v>
      </x:c>
    </x:row>
    <x:row r="157" ht="22" customHeight="1">
      <x:c r="A157" s="2" t="str">
        <x:v>CB_STEADY</x:v>
      </x:c>
      <x:c r="B157" s="2" t="str">
        <x:v>UK total</x:v>
      </x:c>
      <x:c r="C157" s="2" t="n">
        <x:v>2029</x:v>
      </x:c>
      <x:c r="D157" s="16" t="n">
        <x:f>D97+D127</x:f>
        <x:v>1266650.0000000002</x:v>
      </x:c>
      <x:c r="E157" s="16" t="n">
        <x:f>E97+E127</x:f>
        <x:v>52777.083333333336</x:v>
      </x:c>
      <x:c r="F157" s="16" t="n">
        <x:f>F97+F127</x:f>
        <x:v>158331.25000000003</x:v>
      </x:c>
      <x:c r="G157" s="16" t="n">
        <x:f>G97+G127</x:f>
        <x:v>19938508.333333336</x:v>
      </x:c>
      <x:c r="H157" s="16" t="n">
        <x:f>H97+H127</x:f>
        <x:v>53424.076468452135</x:v>
      </x:c>
      <x:c r="I157" s="16" t="n">
        <x:f>I97+I127</x:f>
        <x:v>13338.517372160222</x:v>
      </x:c>
      <x:c r="J157" s="16" t="n">
        <x:f>J97+J127</x:f>
        <x:v>4652.03034930977</x:v>
      </x:c>
      <x:c r="K157" s="16" t="n">
        <x:f>K97+K127</x:f>
        <x:v>71414.62418992212</x:v>
      </x:c>
      <x:c r="L157" s="16" t="n">
        <x:f>L97+L127</x:f>
        <x:v>37660.68752657036</x:v>
      </x:c>
      <x:c r="M157" s="16" t="n">
        <x:f>M97+M127</x:f>
        <x:v>49389.53692929647</x:v>
      </x:c>
      <x:c r="N157" s="16" t="n">
        <x:f>N97+N127</x:f>
        <x:v>0.19588828038432446</x:v>
      </x:c>
      <x:c r="O157" s="16" t="n">
        <x:f>O97+O127</x:f>
        <x:v>0.26185362202971446</x:v>
      </x:c>
      <x:c r="P157" s="16" t="n">
        <x:f>P97+P127</x:f>
        <x:v>0.13808918759742467</x:v>
      </x:c>
      <x:c r="Q157" s="16" t="n">
        <x:f>Q97+Q127</x:f>
        <x:v>0.18109496874075373</x:v>
      </x:c>
      <x:c r="R157" s="16" t="n">
        <x:f>R97+R127</x:f>
        <x:v>0.26185362202971446</x:v>
      </x:c>
      <x:c r="S157" s="16" t="n">
        <x:f>S97+S127</x:f>
        <x:v>0.18109496874075373</x:v>
      </x:c>
      <x:c r="T157" s="2"/>
      <x:c r="U157" s="2"/>
      <x:c r="V157" s="2" t="n">
        <x:f>V97+V127</x:f>
        <x:v>0.08100231692761975</x:v>
      </x:c>
    </x:row>
    <x:row r="158" ht="22" customHeight="1">
      <x:c r="A158" s="2" t="str">
        <x:v>CB_STEADY</x:v>
      </x:c>
      <x:c r="B158" s="2" t="str">
        <x:v>UK total</x:v>
      </x:c>
      <x:c r="C158" s="2" t="n">
        <x:v>2030</x:v>
      </x:c>
      <x:c r="D158" s="16" t="n">
        <x:f>D98+D128</x:f>
        <x:v>1266650.0000000002</x:v>
      </x:c>
      <x:c r="E158" s="16" t="n">
        <x:f>E98+E128</x:f>
        <x:v>52777.083333333336</x:v>
      </x:c>
      <x:c r="F158" s="16" t="n">
        <x:f>F98+F128</x:f>
        <x:v>211108.33333333334</x:v>
      </x:c>
      <x:c r="G158" s="16" t="n">
        <x:f>G98+G128</x:f>
        <x:v>26584677.77777778</x:v>
      </x:c>
      <x:c r="H158" s="16" t="n">
        <x:f>H98+H128</x:f>
        <x:v>127790.19297933202</x:v>
      </x:c>
      <x:c r="I158" s="16" t="n">
        <x:f>I98+I128</x:f>
        <x:v>31905.684135748867</x:v>
      </x:c>
      <x:c r="J158" s="16" t="n">
        <x:f>J98+J128</x:f>
        <x:v>7753.383915516283</x:v>
      </x:c>
      <x:c r="K158" s="16" t="n">
        <x:f>K98+K128</x:f>
        <x:v>167449.26103059718</x:v>
      </x:c>
      <x:c r="L158" s="16" t="n">
        <x:f>L98+L128</x:f>
        <x:v>74366.11651087989</x:v>
      </x:c>
      <x:c r="M158" s="16" t="n">
        <x:f>M98+M128</x:f>
        <x:v>96034.63684067506</x:v>
      </x:c>
      <x:c r="N158" s="16" t="n">
        <x:f>N98+N128</x:f>
        <x:v>0.4685640409242175</x:v>
      </x:c>
      <x:c r="O158" s="16" t="n">
        <x:f>O98+O128</x:f>
        <x:v>0.6139806237788563</x:v>
      </x:c>
      <x:c r="P158" s="16" t="n">
        <x:f>P98+P128</x:f>
        <x:v>0.2726757605398929</x:v>
      </x:c>
      <x:c r="Q158" s="16" t="n">
        <x:f>Q98+Q128</x:f>
        <x:v>0.35212700174914185</x:v>
      </x:c>
      <x:c r="R158" s="16" t="n">
        <x:f>R98+R128</x:f>
        <x:v>0.6139806237788563</x:v>
      </x:c>
      <x:c r="S158" s="16" t="n">
        <x:f>S98+S128</x:f>
        <x:v>0.3521270017491418</x:v>
      </x:c>
      <x:c r="T158" s="2"/>
      <x:c r="U158" s="2"/>
      <x:c r="V158" s="2" t="n">
        <x:f>V98+V128</x:f>
        <x:v>0.14917125706259302</x:v>
      </x:c>
    </x:row>
    <x:row r="159" ht="22" customHeight="1">
      <x:c r="A159" s="2" t="str">
        <x:v>CB_STEADY</x:v>
      </x:c>
      <x:c r="B159" s="2" t="str">
        <x:v>UK total</x:v>
      </x:c>
      <x:c r="C159" s="2" t="n">
        <x:v>2031</x:v>
      </x:c>
      <x:c r="D159" s="16" t="n">
        <x:f>D99+D129</x:f>
        <x:v>1266650.0000000002</x:v>
      </x:c>
      <x:c r="E159" s="16" t="n">
        <x:f>E99+E129</x:f>
        <x:v>52777.083333333336</x:v>
      </x:c>
      <x:c r="F159" s="16" t="n">
        <x:f>F99+F129</x:f>
        <x:v>263885.41666666674</x:v>
      </x:c>
      <x:c r="G159" s="16" t="n">
        <x:f>G99+G129</x:f>
        <x:v>33230847.222222228</x:v>
      </x:c>
      <x:c r="H159" s="16" t="n">
        <x:f>H99+H129</x:f>
        <x:v>270090.75095298025</x:v>
      </x:c>
      <x:c r="I159" s="16" t="n">
        <x:f>I99+I129</x:f>
        <x:v>67434.20591975104</x:v>
      </x:c>
      <x:c r="J159" s="16" t="n">
        <x:f>J99+J129</x:f>
        <x:v>11630.075873274425</x:v>
      </x:c>
      <x:c r="K159" s="16" t="n">
        <x:f>K99+K129</x:f>
        <x:v>349155.0327460057</x:v>
      </x:c>
      <x:c r="L159" s="16" t="n">
        <x:f>L99+L129</x:f>
        <x:v>142300.55797364822</x:v>
      </x:c>
      <x:c r="M159" s="16" t="n">
        <x:f>M99+M129</x:f>
        <x:v>181705.77171540854</x:v>
      </x:c>
      <x:c r="N159" s="16" t="n">
        <x:f>N99+N129</x:f>
        <x:v>0.9903327534942608</x:v>
      </x:c>
      <x:c r="O159" s="16" t="n">
        <x:f>O99+O129</x:f>
        <x:v>1.2802351200686877</x:v>
      </x:c>
      <x:c r="P159" s="16" t="n">
        <x:f>P99+P129</x:f>
        <x:v>0.5217687125700434</x:v>
      </x:c>
      <x:c r="Q159" s="16" t="n">
        <x:f>Q99+Q129</x:f>
        <x:v>0.6662544962898314</x:v>
      </x:c>
      <x:c r="R159" s="16" t="n">
        <x:f>R99+R129</x:f>
        <x:v>1.2802351200686877</x:v>
      </x:c>
      <x:c r="S159" s="16" t="n">
        <x:f>S99+S129</x:f>
        <x:v>0.6662544962898314</x:v>
      </x:c>
      <x:c r="T159" s="2"/>
      <x:c r="U159" s="2"/>
      <x:c r="V159" s="2" t="n">
        <x:f>V99+V129</x:f>
        <x:v>0.2535249995766017</x:v>
      </x:c>
    </x:row>
    <x:row r="160" ht="22" customHeight="1">
      <x:c r="A160" s="2" t="str">
        <x:v>CB_STEADY</x:v>
      </x:c>
      <x:c r="B160" s="2" t="str">
        <x:v>UK total</x:v>
      </x:c>
      <x:c r="C160" s="2" t="n">
        <x:v>2032</x:v>
      </x:c>
      <x:c r="D160" s="16" t="n">
        <x:f>D100+D130</x:f>
        <x:v>1266650.0000000002</x:v>
      </x:c>
      <x:c r="E160" s="16" t="n">
        <x:f>E100+E130</x:f>
        <x:v>52777.083333333336</x:v>
      </x:c>
      <x:c r="F160" s="16" t="n">
        <x:f>F100+F130</x:f>
        <x:v>316662.50000000006</x:v>
      </x:c>
      <x:c r="G160" s="16" t="n">
        <x:f>G100+G130</x:f>
        <x:v>39877016.66666667</x:v>
      </x:c>
      <x:c r="H160" s="16" t="n">
        <x:f>H100+H130</x:f>
        <x:v>520142.42391382507</x:v>
      </x:c>
      <x:c r="I160" s="16" t="n">
        <x:f>I100+I130</x:f>
        <x:v>129865.20714998327</x:v>
      </x:c>
      <x:c r="J160" s="16" t="n">
        <x:f>J100+J130</x:f>
        <x:v>16282.106222584194</x:v>
      </x:c>
      <x:c r="K160" s="16" t="n">
        <x:f>K100+K130</x:f>
        <x:v>666289.7372863926</x:v>
      </x:c>
      <x:c r="L160" s="16" t="n">
        <x:f>L100+L130</x:f>
        <x:v>250051.67296084485</x:v>
      </x:c>
      <x:c r="M160" s="16" t="n">
        <x:f>M100+M130</x:f>
        <x:v>317134.70454038685</x:v>
      </x:c>
      <x:c r="N160" s="16" t="n">
        <x:f>N100+N130</x:f>
        <x:v>1.9071888876840253</x:v>
      </x:c>
      <x:c r="O160" s="16" t="n">
        <x:f>O100+O130</x:f>
        <x:v>2.4430623700501064</x:v>
      </x:c>
      <x:c r="P160" s="16" t="n">
        <x:f>P100+P130</x:f>
        <x:v>0.9168561341897645</x:v>
      </x:c>
      <x:c r="Q160" s="16" t="n">
        <x:f>Q100+Q130</x:f>
        <x:v>1.1628272499814183</x:v>
      </x:c>
      <x:c r="R160" s="16" t="n">
        <x:f>R100+R130</x:f>
        <x:v>2.4430623700501064</x:v>
      </x:c>
      <x:c r="S160" s="16" t="n">
        <x:f>S100+S130</x:f>
        <x:v>1.1628272499814187</x:v>
      </x:c>
      <x:c r="T160" s="2"/>
      <x:c r="U160" s="2"/>
      <x:c r="V160" s="2" t="n">
        <x:f>V100+V130</x:f>
        <x:v>0.4063343552748957</x:v>
      </x:c>
    </x:row>
    <x:row r="161" ht="22" customHeight="1">
      <x:c r="A161" s="2" t="str">
        <x:v>CB_STEADY</x:v>
      </x:c>
      <x:c r="B161" s="2" t="str">
        <x:v>UK total</x:v>
      </x:c>
      <x:c r="C161" s="2" t="n">
        <x:v>2033</x:v>
      </x:c>
      <x:c r="D161" s="16" t="n">
        <x:f>D101+D131</x:f>
        <x:v>1266650.0000000002</x:v>
      </x:c>
      <x:c r="E161" s="16" t="n">
        <x:f>E101+E131</x:f>
        <x:v>52777.083333333336</x:v>
      </x:c>
      <x:c r="F161" s="16" t="n">
        <x:f>F101+F131</x:f>
        <x:v>369439.58333333343</x:v>
      </x:c>
      <x:c r="G161" s="16" t="n">
        <x:f>G101+G131</x:f>
        <x:v>46523186.11111112</x:v>
      </x:c>
      <x:c r="H161" s="16" t="n">
        <x:f>H101+H131</x:f>
        <x:v>816518.0168836497</x:v>
      </x:c>
      <x:c r="I161" s="16" t="n">
        <x:f>I101+I131</x:f>
        <x:v>203862.01265108975</x:v>
      </x:c>
      <x:c r="J161" s="16" t="n">
        <x:f>J101+J131</x:f>
        <x:v>21709.474963445595</x:v>
      </x:c>
      <x:c r="K161" s="16" t="n">
        <x:f>K101+K131</x:f>
        <x:v>1042089.5044981851</x:v>
      </x:c>
      <x:c r="L161" s="16" t="n">
        <x:f>L101+L131</x:f>
        <x:v>296375.5929698247</x:v>
      </x:c>
      <x:c r="M161" s="16" t="n">
        <x:f>M101+M131</x:f>
        <x:v>375799.7672117925</x:v>
      </x:c>
      <x:c r="N161" s="16" t="n">
        <x:f>N101+N131</x:f>
        <x:v>2.9938993952400494</x:v>
      </x:c>
      <x:c r="O161" s="16" t="n">
        <x:f>O101+O131</x:f>
        <x:v>3.8209948498266786</x:v>
      </x:c>
      <x:c r="P161" s="16" t="n">
        <x:f>P101+P131</x:f>
        <x:v>1.0867105075560237</x:v>
      </x:c>
      <x:c r="Q161" s="16" t="n">
        <x:f>Q101+Q131</x:f>
        <x:v>1.3779324797765724</x:v>
      </x:c>
      <x:c r="R161" s="16" t="n">
        <x:f>R101+R131</x:f>
        <x:v>3.8209948498266786</x:v>
      </x:c>
      <x:c r="S161" s="16" t="n">
        <x:f>S101+S131</x:f>
        <x:v>1.3779324797765722</x:v>
      </x:c>
      <x:c r="T161" s="2"/>
      <x:c r="U161" s="2"/>
      <x:c r="V161" s="2" t="n">
        <x:f>V101+V131</x:f>
        <x:v>0.561578713497185</x:v>
      </x:c>
    </x:row>
    <x:row r="162" ht="22" customHeight="1">
      <x:c r="A162" s="2" t="str">
        <x:v>CB_STEADY</x:v>
      </x:c>
      <x:c r="B162" s="2" t="str">
        <x:v>UK total</x:v>
      </x:c>
      <x:c r="C162" s="2" t="n">
        <x:v>2034</x:v>
      </x:c>
      <x:c r="D162" s="16" t="n">
        <x:f>D102+D132</x:f>
        <x:v>1266650.0000000002</x:v>
      </x:c>
      <x:c r="E162" s="16" t="n">
        <x:f>E102+E132</x:f>
        <x:v>52777.083333333336</x:v>
      </x:c>
      <x:c r="F162" s="16" t="n">
        <x:f>F102+F132</x:f>
        <x:v>422216.6666666667</x:v>
      </x:c>
      <x:c r="G162" s="16" t="n">
        <x:f>G102+G132</x:f>
        <x:v>53169355.55555556</x:v>
      </x:c>
      <x:c r="H162" s="16" t="n">
        <x:f>H102+H132</x:f>
        <x:v>1159217.5298624546</x:v>
      </x:c>
      <x:c r="I162" s="16" t="n">
        <x:f>I102+I132</x:f>
        <x:v>289424.62242307066</x:v>
      </x:c>
      <x:c r="J162" s="16" t="n">
        <x:f>J102+J132</x:f>
        <x:v>27912.182095858618</x:v>
      </x:c>
      <x:c r="K162" s="16" t="n">
        <x:f>K102+K132</x:f>
        <x:v>1476554.3343813838</x:v>
      </x:c>
      <x:c r="L162" s="16" t="n">
        <x:f>L102+L132</x:f>
        <x:v>342699.512978805</x:v>
      </x:c>
      <x:c r="M162" s="16" t="n">
        <x:f>M102+M132</x:f>
        <x:v>434464.82988319884</x:v>
      </x:c>
      <x:c r="N162" s="16" t="n">
        <x:f>N102+N132</x:f>
        <x:v>4.250464276162334</x:v>
      </x:c>
      <x:c r="O162" s="16" t="n">
        <x:f>O102+O132</x:f>
        <x:v>5.414032559398407</x:v>
      </x:c>
      <x:c r="P162" s="16" t="n">
        <x:f>P102+P132</x:f>
        <x:v>1.256564880922285</x:v>
      </x:c>
      <x:c r="Q162" s="16" t="n">
        <x:f>Q102+Q132</x:f>
        <x:v>1.5930377095717287</x:v>
      </x:c>
      <x:c r="R162" s="16" t="n">
        <x:f>R102+R132</x:f>
        <x:v>5.414032559398407</x:v>
      </x:c>
      <x:c r="S162" s="16" t="n">
        <x:f>S102+S132</x:f>
        <x:v>1.593037709571729</x:v>
      </x:c>
      <x:c r="T162" s="2"/>
      <x:c r="U162" s="2"/>
      <x:c r="V162" s="2" t="n">
        <x:f>V102+V132</x:f>
        <x:v>0.7186493236124704</x:v>
      </x:c>
    </x:row>
    <x:row r="163" ht="22" customHeight="1">
      <x:c r="A163" s="2" t="str">
        <x:v>CB_STEADY</x:v>
      </x:c>
      <x:c r="B163" s="2" t="str">
        <x:v>UK total</x:v>
      </x:c>
      <x:c r="C163" s="2" t="n">
        <x:v>2035</x:v>
      </x:c>
      <x:c r="D163" s="16" t="n">
        <x:f>D103+D133</x:f>
        <x:v>1266650.0000000002</x:v>
      </x:c>
      <x:c r="E163" s="16" t="n">
        <x:f>E103+E133</x:f>
        <x:v>52777.083333333336</x:v>
      </x:c>
      <x:c r="F163" s="16" t="n">
        <x:f>F103+F133</x:f>
        <x:v>474993.7500000001</x:v>
      </x:c>
      <x:c r="G163" s="16" t="n">
        <x:f>G103+G133</x:f>
        <x:v>59815525.00000001</x:v>
      </x:c>
      <x:c r="H163" s="16" t="n">
        <x:f>H103+H133</x:f>
        <x:v>1548240.9628502396</x:v>
      </x:c>
      <x:c r="I163" s="16" t="n">
        <x:f>I103+I133</x:f>
        <x:v>386553.03646592586</x:v>
      </x:c>
      <x:c r="J163" s="16" t="n">
        <x:f>J103+J133</x:f>
        <x:v>34890.22761982327</x:v>
      </x:c>
      <x:c r="K163" s="16" t="n">
        <x:f>K103+K133</x:f>
        <x:v>1969684.2269359888</x:v>
      </x:c>
      <x:c r="L163" s="16" t="n">
        <x:f>L103+L133</x:f>
        <x:v>389023.43298778485</x:v>
      </x:c>
      <x:c r="M163" s="16" t="n">
        <x:f>M103+M133</x:f>
        <x:v>493129.8925546049</x:v>
      </x:c>
      <x:c r="N163" s="16" t="n">
        <x:f>N103+N133</x:f>
        <x:v>5.676883530450879</x:v>
      </x:c>
      <x:c r="O163" s="16" t="n">
        <x:f>O103+O133</x:f>
        <x:v>7.222175498765292</x:v>
      </x:c>
      <x:c r="P163" s="16" t="n">
        <x:f>P103+P133</x:f>
        <x:v>1.4264192542885443</x:v>
      </x:c>
      <x:c r="Q163" s="16" t="n">
        <x:f>Q103+Q133</x:f>
        <x:v>1.8081429393668846</x:v>
      </x:c>
      <x:c r="R163" s="16" t="n">
        <x:f>R103+R133</x:f>
        <x:v>7.222175498765292</x:v>
      </x:c>
      <x:c r="S163" s="16" t="n">
        <x:f>S103+S133</x:f>
        <x:v>1.8081429393668849</x:v>
      </x:c>
      <x:c r="T163" s="2"/>
      <x:c r="U163" s="2"/>
      <x:c r="V163" s="2" t="n">
        <x:f>V103+V133</x:f>
        <x:v>0.8771403518667533</x:v>
      </x:c>
    </x:row>
    <x:row r="164" ht="22" customHeight="1">
      <x:c r="A164" s="2" t="str">
        <x:v>CB_STEADY</x:v>
      </x:c>
      <x:c r="B164" s="2" t="str">
        <x:v>UK total</x:v>
      </x:c>
      <x:c r="C164" s="2" t="n">
        <x:v>2036</x:v>
      </x:c>
      <x:c r="D164" s="16" t="n">
        <x:f>D104+D134</x:f>
        <x:v>1266650.0000000002</x:v>
      </x:c>
      <x:c r="E164" s="16" t="n">
        <x:f>E104+E134</x:f>
        <x:v>52777.083333333336</x:v>
      </x:c>
      <x:c r="F164" s="16" t="n">
        <x:f>F104+F134</x:f>
        <x:v>527770.8333333335</x:v>
      </x:c>
      <x:c r="G164" s="16" t="n">
        <x:f>G104+G134</x:f>
        <x:v>66461694.444444455</x:v>
      </x:c>
      <x:c r="H164" s="16" t="n">
        <x:f>H104+H134</x:f>
        <x:v>2015623.6560763433</x:v>
      </x:c>
      <x:c r="I164" s="16" t="n">
        <x:f>I104+I134</x:f>
        <x:v>503245.5950490362</x:v>
      </x:c>
      <x:c r="J164" s="16" t="n">
        <x:f>J104+J134</x:f>
        <x:v>42643.61153533956</x:v>
      </x:c>
      <x:c r="K164" s="16" t="n">
        <x:f>K104+K134</x:f>
        <x:v>2561512.862660719</x:v>
      </x:c>
      <x:c r="L164" s="16" t="n">
        <x:f>L104+L134</x:f>
        <x:v>467382.6932261038</x:v>
      </x:c>
      <x:c r="M164" s="16" t="n">
        <x:f>M104+M134</x:f>
        <x:v>591828.6357247304</x:v>
      </x:c>
      <x:c r="N164" s="16" t="n">
        <x:f>N104+N134</x:f>
        <x:v>7.390620072279925</x:v>
      </x:c>
      <x:c r="O164" s="16" t="n">
        <x:f>O104+O134</x:f>
        <x:v>9.39221382975597</x:v>
      </x:c>
      <x:c r="P164" s="16" t="n">
        <x:f>P104+P134</x:f>
        <x:v>1.713736541829047</x:v>
      </x:c>
      <x:c r="Q164" s="16" t="n">
        <x:f>Q104+Q134</x:f>
        <x:v>2.1700383309906783</x:v>
      </x:c>
      <x:c r="R164" s="16" t="n">
        <x:f>R104+R134</x:f>
        <x:v>9.39221382975597</x:v>
      </x:c>
      <x:c r="S164" s="16" t="n">
        <x:f>S104+S134</x:f>
        <x:v>2.1700383309906788</x:v>
      </x:c>
      <x:c r="T164" s="2"/>
      <x:c r="U164" s="2"/>
      <x:c r="V164" s="2" t="n">
        <x:f>V104+V134</x:f>
        <x:v>1.048514006049658</x:v>
      </x:c>
    </x:row>
    <x:row r="165" ht="22" customHeight="1">
      <x:c r="A165" s="2" t="str">
        <x:v>CB_STEADY</x:v>
      </x:c>
      <x:c r="B165" s="2" t="str">
        <x:v>UK total</x:v>
      </x:c>
      <x:c r="C165" s="2" t="n">
        <x:v>2037</x:v>
      </x:c>
      <x:c r="D165" s="16" t="n">
        <x:f>D105+D135</x:f>
        <x:v>1266650.0000000002</x:v>
      </x:c>
      <x:c r="E165" s="16" t="n">
        <x:f>E105+E135</x:f>
        <x:v>52777.083333333336</x:v>
      </x:c>
      <x:c r="F165" s="16" t="n">
        <x:f>F105+F135</x:f>
        <x:v>580547.9166666667</x:v>
      </x:c>
      <x:c r="G165" s="16" t="n">
        <x:f>G105+G135</x:f>
        <x:v>73107863.8888889</x:v>
      </x:c>
      <x:c r="H165" s="16" t="n">
        <x:f>H105+H135</x:f>
        <x:v>2598346.1541393753</x:v>
      </x:c>
      <x:c r="I165" s="16" t="n">
        <x:f>I105+I135</x:f>
        <x:v>648735.3194835286</x:v>
      </x:c>
      <x:c r="J165" s="16" t="n">
        <x:f>J105+J135</x:f>
        <x:v>51172.33384240747</x:v>
      </x:c>
      <x:c r="K165" s="16" t="n">
        <x:f>K105+K135</x:f>
        <x:v>3298253.807465311</x:v>
      </x:c>
      <x:c r="L165" s="16" t="n">
        <x:f>L105+L135</x:f>
        <x:v>582722.4980630317</x:v>
      </x:c>
      <x:c r="M165" s="16" t="n">
        <x:f>M105+M135</x:f>
        <x:v>736740.9448045918</x:v>
      </x:c>
      <x:c r="N165" s="16" t="n">
        <x:f>N105+N135</x:f>
        <x:v>9.527269231844375</x:v>
      </x:c>
      <x:c r="O165" s="16" t="n">
        <x:f>O105+O135</x:f>
        <x:v>12.093597294039474</x:v>
      </x:c>
      <x:c r="P165" s="16" t="n">
        <x:f>P105+P135</x:f>
        <x:v>2.1366491595644495</x:v>
      </x:c>
      <x:c r="Q165" s="16" t="n">
        <x:f>Q105+Q135</x:f>
        <x:v>2.701383464283503</x:v>
      </x:c>
      <x:c r="R165" s="16" t="n">
        <x:f>R105+R135</x:f>
        <x:v>12.093597294039474</x:v>
      </x:c>
      <x:c r="S165" s="16" t="n">
        <x:f>S105+S135</x:f>
        <x:v>2.701383464283504</x:v>
      </x:c>
      <x:c r="T165" s="2"/>
      <x:c r="U165" s="2"/>
      <x:c r="V165" s="2" t="n">
        <x:f>V105+V135</x:f>
        <x:v>1.2427548387373353</x:v>
      </x:c>
    </x:row>
    <x:row r="166" ht="22" customHeight="1">
      <x:c r="A166" s="2" t="str">
        <x:v>CB_STEADY</x:v>
      </x:c>
      <x:c r="B166" s="2" t="str">
        <x:v>UK total</x:v>
      </x:c>
      <x:c r="C166" s="2" t="n">
        <x:v>2038</x:v>
      </x:c>
      <x:c r="D166" s="16" t="n">
        <x:f>D106+D136</x:f>
        <x:v>1266650.0000000002</x:v>
      </x:c>
      <x:c r="E166" s="16" t="n">
        <x:f>E106+E136</x:f>
        <x:v>52777.083333333336</x:v>
      </x:c>
      <x:c r="F166" s="16" t="n">
        <x:f>F106+F136</x:f>
        <x:v>633325.0000000001</x:v>
      </x:c>
      <x:c r="G166" s="16" t="n">
        <x:f>G106+G136</x:f>
        <x:v>79754033.33333334</x:v>
      </x:c>
      <x:c r="H166" s="16" t="n">
        <x:f>H106+H136</x:f>
        <x:v>3296408.4570393367</x:v>
      </x:c>
      <x:c r="I166" s="16" t="n">
        <x:f>I106+I136</x:f>
        <x:v>823022.2097694036</x:v>
      </x:c>
      <x:c r="J166" s="16" t="n">
        <x:f>J106+J136</x:f>
        <x:v>60476.39454102701</x:v>
      </x:c>
      <x:c r="K166" s="16" t="n">
        <x:f>K106+K136</x:f>
        <x:v>4179907.0613497673</x:v>
      </x:c>
      <x:c r="L166" s="16" t="n">
        <x:f>L106+L136</x:f>
        <x:v>698062.3028999614</x:v>
      </x:c>
      <x:c r="M166" s="16" t="n">
        <x:f>M106+M136</x:f>
        <x:v>881653.2538844562</x:v>
      </x:c>
      <x:c r="N166" s="16" t="n">
        <x:f>N106+N136</x:f>
        <x:v>12.086831009144232</x:v>
      </x:c>
      <x:c r="O166" s="16" t="n">
        <x:f>O106+O136</x:f>
        <x:v>15.326325891615815</x:v>
      </x:c>
      <x:c r="P166" s="16" t="n">
        <x:f>P106+P136</x:f>
        <x:v>2.5595617772998587</x:v>
      </x:c>
      <x:c r="Q166" s="16" t="n">
        <x:f>Q106+Q136</x:f>
        <x:v>3.2327285975763393</x:v>
      </x:c>
      <x:c r="R166" s="16" t="n">
        <x:f>R106+R136</x:f>
        <x:v>15.326325891615815</x:v>
      </x:c>
      <x:c r="S166" s="16" t="n">
        <x:f>S106+S136</x:f>
        <x:v>3.232728597576339</x:v>
      </x:c>
      <x:c r="T166" s="2"/>
      <x:c r="U166" s="2"/>
      <x:c r="V166" s="2" t="n">
        <x:f>V106+V136</x:f>
        <x:v>1.4560516535123236</x:v>
      </x:c>
    </x:row>
    <x:row r="167" ht="22" customHeight="1">
      <x:c r="A167" s="2" t="str">
        <x:v>CB_STEADY</x:v>
      </x:c>
      <x:c r="B167" s="2" t="str">
        <x:v>UK total</x:v>
      </x:c>
      <x:c r="C167" s="2" t="n">
        <x:v>2039</x:v>
      </x:c>
      <x:c r="D167" s="16" t="n">
        <x:f>D107+D137</x:f>
        <x:v>1266650.0000000002</x:v>
      </x:c>
      <x:c r="E167" s="16" t="n">
        <x:f>E107+E137</x:f>
        <x:v>52777.083333333336</x:v>
      </x:c>
      <x:c r="F167" s="16" t="n">
        <x:f>F107+F137</x:f>
        <x:v>686102.0833333334</x:v>
      </x:c>
      <x:c r="G167" s="16" t="n">
        <x:f>G107+G137</x:f>
        <x:v>86400202.77777779</x:v>
      </x:c>
      <x:c r="H167" s="16" t="n">
        <x:f>H107+H137</x:f>
        <x:v>4109810.564776225</x:v>
      </x:c>
      <x:c r="I167" s="16" t="n">
        <x:f>I107+I137</x:f>
        <x:v>1026106.2659066604</x:v>
      </x:c>
      <x:c r="J167" s="16" t="n">
        <x:f>J107+J137</x:f>
        <x:v>70555.79363119818</x:v>
      </x:c>
      <x:c r="K167" s="16" t="n">
        <x:f>K107+K137</x:f>
        <x:v>5206472.624314084</x:v>
      </x:c>
      <x:c r="L167" s="16" t="n">
        <x:f>L107+L137</x:f>
        <x:v>813402.1077368888</x:v>
      </x:c>
      <x:c r="M167" s="16" t="n">
        <x:f>M107+M137</x:f>
        <x:v>1026565.5629643165</x:v>
      </x:c>
      <x:c r="N167" s="16" t="n">
        <x:f>N107+N137</x:f>
        <x:v>15.069305404179493</x:v>
      </x:c>
      <x:c r="O167" s="16" t="n">
        <x:f>O107+O137</x:f>
        <x:v>19.090399622484973</x:v>
      </x:c>
      <x:c r="P167" s="16" t="n">
        <x:f>P107+P137</x:f>
        <x:v>2.982474395035259</x:v>
      </x:c>
      <x:c r="Q167" s="16" t="n">
        <x:f>Q107+Q137</x:f>
        <x:v>3.7640737308691605</x:v>
      </x:c>
      <x:c r="R167" s="16" t="n">
        <x:f>R107+R137</x:f>
        <x:v>19.090399622484973</x:v>
      </x:c>
      <x:c r="S167" s="16" t="n">
        <x:f>S107+S137</x:f>
        <x:v>3.7640737308691596</x:v>
      </x:c>
      <x:c r="T167" s="2"/>
      <x:c r="U167" s="2"/>
      <x:c r="V167" s="2" t="n">
        <x:f>V107+V137</x:f>
        <x:v>1.685472760822728</x:v>
      </x:c>
    </x:row>
    <x:row r="168" ht="22" customHeight="1">
      <x:c r="A168" s="2" t="str">
        <x:v>CB_STEADY</x:v>
      </x:c>
      <x:c r="B168" s="2" t="str">
        <x:v>UK total</x:v>
      </x:c>
      <x:c r="C168" s="2" t="n">
        <x:v>2040</x:v>
      </x:c>
      <x:c r="D168" s="16" t="n">
        <x:f>D108+D138</x:f>
        <x:v>1266650.0000000002</x:v>
      </x:c>
      <x:c r="E168" s="16" t="n">
        <x:f>E108+E138</x:f>
        <x:v>52777.083333333336</x:v>
      </x:c>
      <x:c r="F168" s="16" t="n">
        <x:f>F108+F138</x:f>
        <x:v>738879.1666666669</x:v>
      </x:c>
      <x:c r="G168" s="16" t="n">
        <x:f>G108+G138</x:f>
        <x:v>93046372.22222224</x:v>
      </x:c>
      <x:c r="H168" s="16" t="n">
        <x:f>H108+H138</x:f>
        <x:v>4996775.875572819</x:v>
      </x:c>
      <x:c r="I168" s="16" t="n">
        <x:f>I108+I138</x:f>
        <x:v>1247557.0234794219</x:v>
      </x:c>
      <x:c r="J168" s="16" t="n">
        <x:f>J108+J138</x:f>
        <x:v>81410.53111292097</x:v>
      </x:c>
      <x:c r="K168" s="16" t="n">
        <x:f>K108+K138</x:f>
        <x:v>6325743.430165162</x:v>
      </x:c>
      <x:c r="L168" s="16" t="n">
        <x:f>L108+L138</x:f>
        <x:v>886965.3107965944</x:v>
      </x:c>
      <x:c r="M168" s="16" t="n">
        <x:f>M108+M138</x:f>
        <x:v>1119270.8058510786</x:v>
      </x:c>
      <x:c r="N168" s="16" t="n">
        <x:f>N108+N138</x:f>
        <x:v>18.321511543767006</x:v>
      </x:c>
      <x:c r="O168" s="16" t="n">
        <x:f>O108+O138</x:f>
        <x:v>23.194392577272264</x:v>
      </x:c>
      <x:c r="P168" s="16" t="n">
        <x:f>P108+P138</x:f>
        <x:v>3.2522061395875124</x:v>
      </x:c>
      <x:c r="Q168" s="16" t="n">
        <x:f>Q108+Q138</x:f>
        <x:v>4.103992954787289</x:v>
      </x:c>
      <x:c r="R168" s="16" t="n">
        <x:f>R108+R138</x:f>
        <x:v>23.194392577272264</x:v>
      </x:c>
      <x:c r="S168" s="16" t="n">
        <x:f>S108+S138</x:f>
        <x:v>4.103992954787291</x:v>
      </x:c>
      <x:c r="T168" s="2"/>
      <x:c r="U168" s="2"/>
      <x:c r="V168" s="2" t="n">
        <x:f>V108+V138</x:f>
        <x:v>1.9177731993646931</x:v>
      </x:c>
    </x:row>
    <x:row r="169" ht="22" customHeight="1">
      <x:c r="A169" s="2" t="str">
        <x:v>CB_STEADY</x:v>
      </x:c>
      <x:c r="B169" s="2" t="str">
        <x:v>UK total</x:v>
      </x:c>
      <x:c r="C169" s="2" t="n">
        <x:v>2041</x:v>
      </x:c>
      <x:c r="D169" s="16" t="n">
        <x:f>D109+D139</x:f>
        <x:v>1266650.0000000002</x:v>
      </x:c>
      <x:c r="E169" s="16" t="n">
        <x:f>E109+E139</x:f>
        <x:v>52777.083333333336</x:v>
      </x:c>
      <x:c r="F169" s="16" t="n">
        <x:f>F109+F139</x:f>
        <x:v>791656.2500000001</x:v>
      </x:c>
      <x:c r="G169" s="16" t="n">
        <x:f>G109+G139</x:f>
        <x:v>99692541.66666669</x:v>
      </x:c>
      <x:c r="H169" s="16" t="n">
        <x:f>H109+H139</x:f>
        <x:v>6001390.332158584</x:v>
      </x:c>
      <x:c r="I169" s="16" t="n">
        <x:f>I109+I139</x:f>
        <x:v>1498381.5256007733</x:v>
      </x:c>
      <x:c r="J169" s="16" t="n">
        <x:f>J109+J139</x:f>
        <x:v>93040.6069861954</x:v>
      </x:c>
      <x:c r="K169" s="16" t="n">
        <x:f>K109+K139</x:f>
        <x:v>7592812.464745552</x:v>
      </x:c>
      <x:c r="L169" s="16" t="n">
        <x:f>L109+L139</x:f>
        <x:v>1004614.4565857643</x:v>
      </x:c>
      <x:c r="M169" s="16" t="n">
        <x:f>M109+M139</x:f>
        <x:v>1267069.0345803895</x:v>
      </x:c>
      <x:c r="N169" s="16" t="n">
        <x:f>N109+N139</x:f>
        <x:v>22.005097884581478</x:v>
      </x:c>
      <x:c r="O169" s="16" t="n">
        <x:f>O109+O139</x:f>
        <x:v>27.84031237073369</x:v>
      </x:c>
      <x:c r="P169" s="16" t="n">
        <x:f>P109+P139</x:f>
        <x:v>3.6835863408144687</x:v>
      </x:c>
      <x:c r="Q169" s="16" t="n">
        <x:f>Q109+Q139</x:f>
        <x:v>4.645919793461429</x:v>
      </x:c>
      <x:c r="R169" s="16" t="n">
        <x:f>R109+R139</x:f>
        <x:v>27.84031237073369</x:v>
      </x:c>
      <x:c r="S169" s="16" t="n">
        <x:f>S109+S139</x:f>
        <x:v>4.645919793461426</x:v>
      </x:c>
      <x:c r="T169" s="2"/>
      <x:c r="U169" s="2"/>
      <x:c r="V169" s="2" t="n">
        <x:f>V109+V139</x:f>
        <x:v>2.1633456220856577</x:v>
      </x:c>
    </x:row>
    <x:row r="170" ht="22" customHeight="1">
      <x:c r="A170" s="2" t="str">
        <x:v>CB_STEADY</x:v>
      </x:c>
      <x:c r="B170" s="2" t="str">
        <x:v>UK total</x:v>
      </x:c>
      <x:c r="C170" s="2" t="n">
        <x:v>2042</x:v>
      </x:c>
      <x:c r="D170" s="16" t="n">
        <x:f>D110+D140</x:f>
        <x:v>1266650.0000000002</x:v>
      </x:c>
      <x:c r="E170" s="16" t="n">
        <x:f>E110+E140</x:f>
        <x:v>52777.083333333336</x:v>
      </x:c>
      <x:c r="F170" s="16" t="n">
        <x:f>F110+F140</x:f>
        <x:v>844433.3333333334</x:v>
      </x:c>
      <x:c r="G170" s="16" t="n">
        <x:f>G110+G140</x:f>
        <x:v>106338711.11111112</x:v>
      </x:c>
      <x:c r="H170" s="16" t="n">
        <x:f>H110+H140</x:f>
        <x:v>7133555.355590824</x:v>
      </x:c>
      <x:c r="I170" s="16" t="n">
        <x:f>I110+I140</x:f>
        <x:v>1781051.8838262593</x:v>
      </x:c>
      <x:c r="J170" s="16" t="n">
        <x:f>J110+J140</x:f>
        <x:v>105446.02125102146</x:v>
      </x:c>
      <x:c r="K170" s="16" t="n">
        <x:f>K110+K140</x:f>
        <x:v>9020053.260668105</x:v>
      </x:c>
      <x:c r="L170" s="16" t="n">
        <x:f>L110+L140</x:f>
        <x:v>1132165.0234322404</x:v>
      </x:c>
      <x:c r="M170" s="16" t="n">
        <x:f>M110+M140</x:f>
        <x:v>1427240.795922553</x:v>
      </x:c>
      <x:c r="N170" s="16" t="n">
        <x:f>N110+N140</x:f>
        <x:v>26.15636963716636</x:v>
      </x:c>
      <x:c r="O170" s="16" t="n">
        <x:f>O110+O140</x:f>
        <x:v>33.073528622449714</x:v>
      </x:c>
      <x:c r="P170" s="16" t="n">
        <x:f>P110+P140</x:f>
        <x:v>4.151271752584882</x:v>
      </x:c>
      <x:c r="Q170" s="16" t="n">
        <x:f>Q110+Q140</x:f>
        <x:v>5.233216251716028</x:v>
      </x:c>
      <x:c r="R170" s="16" t="n">
        <x:f>R110+R140</x:f>
        <x:v>33.073528622449714</x:v>
      </x:c>
      <x:c r="S170" s="16" t="n">
        <x:f>S110+S140</x:f>
        <x:v>5.233216251716023</x:v>
      </x:c>
      <x:c r="T170" s="2"/>
      <x:c r="U170" s="2"/>
      <x:c r="V170" s="2" t="n">
        <x:f>V110+V140</x:f>
        <x:v>2.422800106622213</x:v>
      </x:c>
    </x:row>
    <x:row r="171" ht="22" customHeight="1">
      <x:c r="A171" s="2" t="str">
        <x:v>CB_STEADY</x:v>
      </x:c>
      <x:c r="B171" s="2" t="str">
        <x:v>UK total</x:v>
      </x:c>
      <x:c r="C171" s="2" t="n">
        <x:v>2043</x:v>
      </x:c>
      <x:c r="D171" s="16" t="n">
        <x:f>D111+D141</x:f>
        <x:v>1266650.0000000002</x:v>
      </x:c>
      <x:c r="E171" s="16" t="n">
        <x:f>E111+E141</x:f>
        <x:v>52777.083333333336</x:v>
      </x:c>
      <x:c r="F171" s="16" t="n">
        <x:f>F111+F141</x:f>
        <x:v>897210.4166666669</x:v>
      </x:c>
      <x:c r="G171" s="16" t="n">
        <x:f>G111+G141</x:f>
        <x:v>112984880.55555558</x:v>
      </x:c>
      <x:c r="H171" s="16" t="n">
        <x:f>H111+H141</x:f>
        <x:v>8384601.918695379</x:v>
      </x:c>
      <x:c r="I171" s="16" t="n">
        <x:f>I111+I141</x:f>
        <x:v>2093403.6813384818</x:v>
      </x:c>
      <x:c r="J171" s="16" t="n">
        <x:f>J111+J141</x:f>
        <x:v>118626.77390739914</x:v>
      </x:c>
      <x:c r="K171" s="16" t="n">
        <x:f>K111+K141</x:f>
        <x:v>10596632.37394126</x:v>
      </x:c>
      <x:c r="L171" s="16" t="n">
        <x:f>L111+L141</x:f>
        <x:v>1251046.5631045552</x:v>
      </x:c>
      <x:c r="M171" s="16" t="n">
        <x:f>M111+M141</x:f>
        <x:v>1576579.1132731547</x:v>
      </x:c>
      <x:c r="N171" s="16" t="n">
        <x:f>N111+N141</x:f>
        <x:v>30.743540368549727</x:v>
      </x:c>
      <x:c r="O171" s="16" t="n">
        <x:f>O111+O141</x:f>
        <x:v>38.85431870445129</x:v>
      </x:c>
      <x:c r="P171" s="16" t="n">
        <x:f>P111+P141</x:f>
        <x:v>4.587170731383369</x:v>
      </x:c>
      <x:c r="Q171" s="16" t="n">
        <x:f>Q111+Q141</x:f>
        <x:v>5.780790082001568</x:v>
      </x:c>
      <x:c r="R171" s="16" t="n">
        <x:f>R111+R141</x:f>
        <x:v>38.85431870445129</x:v>
      </x:c>
      <x:c r="S171" s="16" t="n">
        <x:f>S111+S141</x:f>
        <x:v>5.780790082001571</x:v>
      </x:c>
      <x:c r="T171" s="2"/>
      <x:c r="U171" s="2"/>
      <x:c r="V171" s="2" t="n">
        <x:f>V111+V141</x:f>
        <x:v>2.6926336790565286</x:v>
      </x:c>
    </x:row>
    <x:row r="172" ht="22" customHeight="1">
      <x:c r="A172" s="2" t="str">
        <x:v>CB_STEADY</x:v>
      </x:c>
      <x:c r="B172" s="2" t="str">
        <x:v>UK total</x:v>
      </x:c>
      <x:c r="C172" s="2" t="n">
        <x:v>2044</x:v>
      </x:c>
      <x:c r="D172" s="16" t="n">
        <x:f>D112+D142</x:f>
        <x:v>1266650.0000000002</x:v>
      </x:c>
      <x:c r="E172" s="16" t="n">
        <x:f>E112+E142</x:f>
        <x:v>52777.083333333336</x:v>
      </x:c>
      <x:c r="F172" s="16" t="n">
        <x:f>F112+F142</x:f>
        <x:v>949987.5000000002</x:v>
      </x:c>
      <x:c r="G172" s="16" t="n">
        <x:f>G112+G142</x:f>
        <x:v>119631050.00000001</x:v>
      </x:c>
      <x:c r="H172" s="16" t="n">
        <x:f>H112+H142</x:f>
        <x:v>9766214.211907493</x:v>
      </x:c>
      <x:c r="I172" s="16" t="n">
        <x:f>I112+I142</x:f>
        <x:v>2438354.1380016375</x:v>
      </x:c>
      <x:c r="J172" s="16" t="n">
        <x:f>J112+J142</x:f>
        <x:v>132582.86495532843</x:v>
      </x:c>
      <x:c r="K172" s="16" t="n">
        <x:f>K112+K142</x:f>
        <x:v>12337151.214864459</x:v>
      </x:c>
      <x:c r="L172" s="16" t="n">
        <x:f>L112+L142</x:f>
        <x:v>1381612.293212114</x:v>
      </x:c>
      <x:c r="M172" s="16" t="n">
        <x:f>M112+M142</x:f>
        <x:v>1740518.8409231994</x:v>
      </x:c>
      <x:c r="N172" s="16" t="n">
        <x:f>N112+N142</x:f>
        <x:v>35.80945211032747</x:v>
      </x:c>
      <x:c r="O172" s="16" t="n">
        <x:f>O112+O142</x:f>
        <x:v>45.23622112116968</x:v>
      </x:c>
      <x:c r="P172" s="16" t="n">
        <x:f>P112+P142</x:f>
        <x:v>5.065911741777751</x:v>
      </x:c>
      <x:c r="Q172" s="16" t="n">
        <x:f>Q112+Q142</x:f>
        <x:v>6.381902416718398</x:v>
      </x:c>
      <x:c r="R172" s="16" t="n">
        <x:f>R112+R142</x:f>
        <x:v>45.23622112116968</x:v>
      </x:c>
      <x:c r="S172" s="16" t="n">
        <x:f>S112+S142</x:f>
        <x:v>6.381902416718396</x:v>
      </x:c>
      <x:c r="T172" s="2"/>
      <x:c r="U172" s="2"/>
      <x:c r="V172" s="2" t="n">
        <x:f>V112+V142</x:f>
        <x:v>2.974073220266403</x:v>
      </x:c>
    </x:row>
    <x:row r="173" ht="22" customHeight="1">
      <x:c r="A173" s="2" t="str">
        <x:v>CB_STEADY</x:v>
      </x:c>
      <x:c r="B173" s="2" t="str">
        <x:v>UK total</x:v>
      </x:c>
      <x:c r="C173" s="2" t="n">
        <x:v>2045</x:v>
      </x:c>
      <x:c r="D173" s="16" t="n">
        <x:f>D113+D143</x:f>
        <x:v>1266650.0000000002</x:v>
      </x:c>
      <x:c r="E173" s="16" t="n">
        <x:f>E113+E143</x:f>
        <x:v>52777.083333333336</x:v>
      </x:c>
      <x:c r="F173" s="16" t="n">
        <x:f>F113+F143</x:f>
        <x:v>1002764.5833333335</x:v>
      </x:c>
      <x:c r="G173" s="16" t="n">
        <x:f>G113+G143</x:f>
        <x:v>126277219.44444446</x:v>
      </x:c>
      <x:c r="H173" s="16" t="n">
        <x:f>H113+H143</x:f>
        <x:v>11240429.021511193</x:v>
      </x:c>
      <x:c r="I173" s="16" t="n">
        <x:f>I113+I143</x:f>
        <x:v>2806424.887147983</x:v>
      </x:c>
      <x:c r="J173" s="16" t="n">
        <x:f>J113+J143</x:f>
        <x:v>147314.29439480937</x:v>
      </x:c>
      <x:c r="K173" s="16" t="n">
        <x:f>K113+K143</x:f>
        <x:v>14194168.203053987</x:v>
      </x:c>
      <x:c r="L173" s="16" t="n">
        <x:f>L113+L143</x:f>
        <x:v>1474214.8096037009</x:v>
      </x:c>
      <x:c r="M173" s="16" t="n">
        <x:f>M113+M143</x:f>
        <x:v>1857016.9881895278</x:v>
      </x:c>
      <x:c r="N173" s="16" t="n">
        <x:f>N113+N143</x:f>
        <x:v>41.21490641220771</x:v>
      </x:c>
      <x:c r="O173" s="16" t="n">
        <x:f>O113+O143</x:f>
        <x:v>52.04528341119796</x:v>
      </x:c>
      <x:c r="P173" s="16" t="n">
        <x:f>P113+P143</x:f>
        <x:v>5.405454301880236</x:v>
      </x:c>
      <x:c r="Q173" s="16" t="n">
        <x:f>Q113+Q143</x:f>
        <x:v>6.809062290028269</x:v>
      </x:c>
      <x:c r="R173" s="16" t="n">
        <x:f>R113+R143</x:f>
        <x:v>52.04528341119796</x:v>
      </x:c>
      <x:c r="S173" s="16" t="n">
        <x:f>S113+S143</x:f>
        <x:v>6.809062290028272</x:v>
      </x:c>
      <x:c r="T173" s="2"/>
      <x:c r="U173" s="2"/>
      <x:c r="V173" s="2" t="n">
        <x:f>V113+V143</x:f>
        <x:v>3.258570815102206</x:v>
      </x:c>
    </x:row>
    <x:row r="174" ht="22" customHeight="1">
      <x:c r="A174" s="2" t="str">
        <x:v>CB_STEADY</x:v>
      </x:c>
      <x:c r="B174" s="2" t="str">
        <x:v>UK total</x:v>
      </x:c>
      <x:c r="C174" s="2" t="n">
        <x:v>2046</x:v>
      </x:c>
      <x:c r="D174" s="16" t="n">
        <x:f>D114+D144</x:f>
        <x:v>1266650.0000000002</x:v>
      </x:c>
      <x:c r="E174" s="16" t="n">
        <x:f>E114+E144</x:f>
        <x:v>52777.083333333336</x:v>
      </x:c>
      <x:c r="F174" s="16" t="n">
        <x:f>F114+F144</x:f>
        <x:v>1055541.666666667</x:v>
      </x:c>
      <x:c r="G174" s="16" t="n">
        <x:f>G114+G144</x:f>
        <x:v>132923388.88888891</x:v>
      </x:c>
      <x:c r="H174" s="16" t="n">
        <x:f>H114+H144</x:f>
        <x:v>12769165.9896485</x:v>
      </x:c>
      <x:c r="I174" s="16" t="n">
        <x:f>I114+I144</x:f>
        <x:v>3188108.3144507334</x:v>
      </x:c>
      <x:c r="J174" s="16" t="n">
        <x:f>J114+J144</x:f>
        <x:v>162821.06222584195</x:v>
      </x:c>
      <x:c r="K174" s="16" t="n">
        <x:f>K114+K144</x:f>
        <x:v>16120095.366325077</x:v>
      </x:c>
      <x:c r="L174" s="16" t="n">
        <x:f>L114+L144</x:f>
        <x:v>1528736.9681373069</x:v>
      </x:c>
      <x:c r="M174" s="16" t="n">
        <x:f>M114+M144</x:f>
        <x:v>1925927.1632710902</x:v>
      </x:c>
      <x:c r="N174" s="16" t="n">
        <x:f>N114+N144</x:f>
        <x:v>46.82027529537783</x:v>
      </x:c>
      <x:c r="O174" s="16" t="n">
        <x:f>O114+O144</x:f>
        <x:v>59.10701634319196</x:v>
      </x:c>
      <x:c r="P174" s="16" t="n">
        <x:f>P114+P144</x:f>
        <x:v>5.605368883170125</x:v>
      </x:c>
      <x:c r="Q174" s="16" t="n">
        <x:f>Q114+Q144</x:f>
        <x:v>7.061732931993997</x:v>
      </x:c>
      <x:c r="R174" s="16" t="n">
        <x:f>R114+R144</x:f>
        <x:v>59.10701634319196</x:v>
      </x:c>
      <x:c r="S174" s="16" t="n">
        <x:f>S114+S144</x:f>
        <x:v>7.061732931994</x:v>
      </x:c>
      <x:c r="T174" s="2"/>
      <x:c r="U174" s="2"/>
      <x:c r="V174" s="2" t="n">
        <x:f>V114+V144</x:f>
        <x:v>3.5388392592607114</x:v>
      </x:c>
    </x:row>
    <x:row r="175" ht="22" customHeight="1">
      <x:c r="A175" s="2" t="str">
        <x:v>CB_STEADY</x:v>
      </x:c>
      <x:c r="B175" s="2" t="str">
        <x:v>UK total</x:v>
      </x:c>
      <x:c r="C175" s="2" t="n">
        <x:v>2047</x:v>
      </x:c>
      <x:c r="D175" s="16" t="n">
        <x:f>D115+D145</x:f>
        <x:v>1266650.0000000002</x:v>
      </x:c>
      <x:c r="E175" s="16" t="n">
        <x:f>E115+E145</x:f>
        <x:v>52777.083333333336</x:v>
      </x:c>
      <x:c r="F175" s="16" t="n">
        <x:f>F115+F145</x:f>
        <x:v>1108318.7500000002</x:v>
      </x:c>
      <x:c r="G175" s="16" t="n">
        <x:f>G115+G145</x:f>
        <x:v>139569558.33333334</x:v>
      </x:c>
      <x:c r="H175" s="16" t="n">
        <x:f>H115+H145</x:f>
        <x:v>14385839.545097418</x:v>
      </x:c>
      <x:c r="I175" s="16" t="n">
        <x:f>I115+I145</x:f>
        <x:v>3591747.0805265745</x:v>
      </x:c>
      <x:c r="J175" s="16" t="n">
        <x:f>J115+J145</x:f>
        <x:v>179103.16844842615</x:v>
      </x:c>
      <x:c r="K175" s="16" t="n">
        <x:f>K115+K145</x:f>
        <x:v>18156689.79407242</x:v>
      </x:c>
      <x:c r="L175" s="16" t="n">
        <x:f>L115+L145</x:f>
        <x:v>1616673.5554489167</x:v>
      </x:c>
      <x:c r="M175" s="16" t="n">
        <x:f>M115+M145</x:f>
        <x:v>2036594.4277473409</x:v>
      </x:c>
      <x:c r="N175" s="16" t="n">
        <x:f>N115+N145</x:f>
        <x:v>52.748078332023866</x:v>
      </x:c>
      <x:c r="O175" s="16" t="n">
        <x:f>O115+O145</x:f>
        <x:v>66.5745292449322</x:v>
      </x:c>
      <x:c r="P175" s="16" t="n">
        <x:f>P115+P145</x:f>
        <x:v>5.927803036646028</x:v>
      </x:c>
      <x:c r="Q175" s="16" t="n">
        <x:f>Q115+Q145</x:f>
        <x:v>7.46751290174025</x:v>
      </x:c>
      <x:c r="R175" s="16" t="n">
        <x:f>R115+R145</x:f>
        <x:v>66.5745292449322</x:v>
      </x:c>
      <x:c r="S175" s="16" t="n">
        <x:f>S115+S145</x:f>
        <x:v>7.467512901740239</x:v>
      </x:c>
      <x:c r="T175" s="2"/>
      <x:c r="U175" s="2"/>
      <x:c r="V175" s="2" t="n">
        <x:f>V115+V145</x:f>
        <x:v>3.821115594339094</x:v>
      </x:c>
    </x:row>
    <x:row r="176" ht="22" customHeight="1">
      <x:c r="A176" s="2" t="str">
        <x:v>CB_STEADY</x:v>
      </x:c>
      <x:c r="B176" s="2" t="str">
        <x:v>UK total</x:v>
      </x:c>
      <x:c r="C176" s="2" t="n">
        <x:v>2048</x:v>
      </x:c>
      <x:c r="D176" s="16" t="n">
        <x:f>D116+D146</x:f>
        <x:v>1266650.0000000002</x:v>
      </x:c>
      <x:c r="E176" s="16" t="n">
        <x:f>E116+E146</x:f>
        <x:v>52777.083333333336</x:v>
      </x:c>
      <x:c r="F176" s="16" t="n">
        <x:f>F116+F146</x:f>
        <x:v>1161095.8333333335</x:v>
      </x:c>
      <x:c r="G176" s="16" t="n">
        <x:f>G116+G146</x:f>
        <x:v>146215727.7777778</x:v>
      </x:c>
      <x:c r="H176" s="16" t="n">
        <x:f>H116+H146</x:f>
        <x:v>16101289.055515347</x:v>
      </x:c>
      <x:c r="I176" s="16" t="n">
        <x:f>I116+I146</x:f>
        <x:v>4020047.476309462</x:v>
      </x:c>
      <x:c r="J176" s="16" t="n">
        <x:f>J116+J146</x:f>
        <x:v>196160.61306256196</x:v>
      </x:c>
      <x:c r="K176" s="16" t="n">
        <x:f>K116+K146</x:f>
        <x:v>20317497.144887373</x:v>
      </x:c>
      <x:c r="L176" s="16" t="n">
        <x:f>L116+L146</x:f>
        <x:v>1715449.5104179294</x:v>
      </x:c>
      <x:c r="M176" s="16" t="n">
        <x:f>M116+M146</x:f>
        <x:v>2160807.3508149553</x:v>
      </x:c>
      <x:c r="N176" s="16" t="n">
        <x:f>N116+N146</x:f>
        <x:v>59.03805987022294</x:v>
      </x:c>
      <x:c r="O176" s="16" t="n">
        <x:f>O116+O146</x:f>
        <x:v>74.4974895312537</x:v>
      </x:c>
      <x:c r="P176" s="16" t="n">
        <x:f>P116+P146</x:f>
        <x:v>6.289981538199074</x:v>
      </x:c>
      <x:c r="Q176" s="16" t="n">
        <x:f>Q116+Q146</x:f>
        <x:v>7.922960286321502</x:v>
      </x:c>
      <x:c r="R176" s="16" t="n">
        <x:f>R116+R146</x:f>
        <x:v>74.4974895312537</x:v>
      </x:c>
      <x:c r="S176" s="16" t="n">
        <x:f>S116+S146</x:f>
        <x:v>7.92296028632151</x:v>
      </x:c>
      <x:c r="T176" s="2"/>
      <x:c r="U176" s="2"/>
      <x:c r="V176" s="2" t="n">
        <x:f>V116+V146</x:f>
        <x:v>4.107023846075416</x:v>
      </x:c>
    </x:row>
    <x:row r="177" ht="22" customHeight="1">
      <x:c r="A177" s="2" t="str">
        <x:v>CB_STEADY</x:v>
      </x:c>
      <x:c r="B177" s="2" t="str">
        <x:v>UK total</x:v>
      </x:c>
      <x:c r="C177" s="2" t="n">
        <x:v>2049</x:v>
      </x:c>
      <x:c r="D177" s="16" t="n">
        <x:f>D117+D147</x:f>
        <x:v>1266650.0000000002</x:v>
      </x:c>
      <x:c r="E177" s="16" t="n">
        <x:f>E117+E147</x:f>
        <x:v>52777.083333333336</x:v>
      </x:c>
      <x:c r="F177" s="16" t="n">
        <x:f>F117+F147</x:f>
        <x:v>1213872.916666667</x:v>
      </x:c>
      <x:c r="G177" s="16" t="n">
        <x:f>G117+G147</x:f>
        <x:v>152861897.22222224</x:v>
      </x:c>
      <x:c r="H177" s="16" t="n">
        <x:f>H117+H147</x:f>
        <x:v>17923768.42212987</x:v>
      </x:c>
      <x:c r="I177" s="16" t="n">
        <x:f>I117+I147</x:f>
        <x:v>4475070.273125544</x:v>
      </x:c>
      <x:c r="J177" s="16" t="n">
        <x:f>J117+J147</x:f>
        <x:v>213993.39606824942</x:v>
      </x:c>
      <x:c r="K177" s="16" t="n">
        <x:f>K117+K147</x:f>
        <x:v>22612832.091323663</x:v>
      </x:c>
      <x:c r="L177" s="16" t="n">
        <x:f>L117+L147</x:f>
        <x:v>1822479.3666145203</x:v>
      </x:c>
      <x:c r="M177" s="16" t="n">
        <x:f>M117+M147</x:f>
        <x:v>2295334.9464362897</x:v>
      </x:c>
      <x:c r="N177" s="16" t="n">
        <x:f>N117+N147</x:f>
        <x:v>65.72048421447619</x:v>
      </x:c>
      <x:c r="O177" s="16" t="n">
        <x:f>O117+O147</x:f>
        <x:v>82.91371766818676</x:v>
      </x:c>
      <x:c r="P177" s="16" t="n">
        <x:f>P117+P147</x:f>
        <x:v>6.682424344253241</x:v>
      </x:c>
      <x:c r="Q177" s="16" t="n">
        <x:f>Q117+Q147</x:f>
        <x:v>8.416228136933062</x:v>
      </x:c>
      <x:c r="R177" s="16" t="n">
        <x:f>R117+R147</x:f>
        <x:v>82.91371766818676</x:v>
      </x:c>
      <x:c r="S177" s="16" t="n">
        <x:f>S117+S147</x:f>
        <x:v>8.416228136933059</x:v>
      </x:c>
      <x:c r="T177" s="2"/>
      <x:c r="U177" s="2"/>
      <x:c r="V177" s="2" t="n">
        <x:f>V117+V147</x:f>
        <x:v>4.397564034955991</x:v>
      </x:c>
    </x:row>
    <x:row r="178" ht="22" customHeight="1">
      <x:c r="A178" s="2" t="str">
        <x:v>CB_STEADY</x:v>
      </x:c>
      <x:c r="B178" s="2" t="str">
        <x:v>UK total</x:v>
      </x:c>
      <x:c r="C178" s="2" t="n">
        <x:v>2050</x:v>
      </x:c>
      <x:c r="D178" s="16" t="n">
        <x:f>D118+D148</x:f>
        <x:v>1266650.0000000002</x:v>
      </x:c>
      <x:c r="E178" s="16" t="n">
        <x:f>E118+E148</x:f>
        <x:v>52777.083333333336</x:v>
      </x:c>
      <x:c r="F178" s="16" t="n">
        <x:f>F118+F148</x:f>
        <x:v>1266650.0000000002</x:v>
      </x:c>
      <x:c r="G178" s="16" t="n">
        <x:f>G118+G148</x:f>
        <x:v>159508066.6666667</x:v>
      </x:c>
      <x:c r="H178" s="16" t="n">
        <x:f>H118+H148</x:f>
        <x:v>19834925.759979375</x:v>
      </x:c>
      <x:c r="I178" s="16" t="n">
        <x:f>I118+I148</x:f>
        <x:v>4952233.511817945</x:v>
      </x:c>
      <x:c r="J178" s="16" t="n">
        <x:f>J118+J148</x:f>
        <x:v>232601.5174654885</x:v>
      </x:c>
      <x:c r="K178" s="16" t="n">
        <x:f>K118+K148</x:f>
        <x:v>25019760.78926281</x:v>
      </x:c>
      <x:c r="L178" s="16" t="n">
        <x:f>L118+L148</x:f>
        <x:v>1911157.3378495062</x:v>
      </x:c>
      <x:c r="M178" s="16" t="n">
        <x:f>M118+M148</x:f>
        <x:v>2406928.697939146</x:v>
      </x:c>
      <x:c r="N178" s="16" t="n">
        <x:f>N118+N148</x:f>
        <x:v>72.72806111992438</x:v>
      </x:c>
      <x:c r="O178" s="16" t="n">
        <x:f>O118+O148</x:f>
        <x:v>91.73912289396364</x:v>
      </x:c>
      <x:c r="P178" s="16" t="n">
        <x:f>P118+P148</x:f>
        <x:v>7.007576905448189</x:v>
      </x:c>
      <x:c r="Q178" s="16" t="n">
        <x:f>Q118+Q148</x:f>
        <x:v>8.825405225776867</x:v>
      </x:c>
      <x:c r="R178" s="16" t="n">
        <x:f>R118+R148</x:f>
        <x:v>91.73912289396364</x:v>
      </x:c>
      <x:c r="S178" s="16" t="n">
        <x:f>S118+S148</x:f>
        <x:v>8.82540522577688</x:v>
      </x:c>
      <x:c r="T178" s="2"/>
      <x:c r="U178" s="2"/>
      <x:c r="V178" s="2" t="n">
        <x:f>V118+V148</x:f>
        <x:v>4.689546406016333</x:v>
      </x:c>
    </x:row>
    <x:row r="179" ht="22" customHeight="1">
      <x:c r="A179" s="2" t="str">
        <x:v>CB_STEADY</x:v>
      </x:c>
      <x:c r="B179" s="2" t="str">
        <x:v>UK total</x:v>
      </x:c>
      <x:c r="C179" s="2" t="n">
        <x:v>2051</x:v>
      </x:c>
      <x:c r="D179" s="16" t="n">
        <x:f>D119+D149</x:f>
        <x:v>1266650.0000000002</x:v>
      </x:c>
      <x:c r="E179" s="16" t="n">
        <x:f>E119+E149</x:f>
        <x:v>0</x:v>
      </x:c>
      <x:c r="F179" s="16" t="n">
        <x:f>F119+F149</x:f>
        <x:v>1266650.0000000002</x:v>
      </x:c>
      <x:c r="G179" s="16" t="n">
        <x:f>G119+G149</x:f>
        <x:v>159508066.6666667</x:v>
      </x:c>
      <x:c r="H179" s="16" t="n">
        <x:f>H119+H149</x:f>
        <x:v>21825750.419564247</x:v>
      </x:c>
      <x:c r="I179" s="16" t="n">
        <x:f>I119+I149</x:f>
        <x:v>5449287.481903489</x:v>
      </x:c>
      <x:c r="J179" s="16" t="n">
        <x:f>J119+J149</x:f>
        <x:v>251209.6388627276</x:v>
      </x:c>
      <x:c r="K179" s="16" t="n">
        <x:f>K119+K149</x:f>
        <x:v>27526247.540330462</x:v>
      </x:c>
      <x:c r="L179" s="16" t="n">
        <x:f>L119+L149</x:f>
        <x:v>1990824.6595848724</x:v>
      </x:c>
      <x:c r="M179" s="16" t="n">
        <x:f>M119+M149</x:f>
        <x:v>2506486.7510676547</x:v>
      </x:c>
      <x:c r="N179" s="16" t="n">
        <x:f>N119+N149</x:f>
        <x:v>80.02775153840223</x:v>
      </x:c>
      <x:c r="O179" s="16" t="n">
        <x:f>O119+O149</x:f>
        <x:v>100.92957431454502</x:v>
      </x:c>
      <x:c r="P179" s="16" t="n">
        <x:f>P119+P149</x:f>
        <x:v>7.299690418477866</x:v>
      </x:c>
      <x:c r="Q179" s="16" t="n">
        <x:f>Q119+Q149</x:f>
        <x:v>9.1904514205814</x:v>
      </x:c>
      <x:c r="R179" s="16" t="n">
        <x:f>R119+R149</x:f>
        <x:v>100.92957431454502</x:v>
      </x:c>
      <x:c r="S179" s="16" t="n">
        <x:f>S119+S149</x:f>
        <x:v>9.190451420581384</x:v>
      </x:c>
      <x:c r="T179" s="2"/>
      <x:c r="U179" s="2"/>
      <x:c r="V179" s="2" t="n">
        <x:f>V119+V149</x:f>
        <x:v>4.969873783392193</x:v>
      </x:c>
    </x:row>
    <x:row r="180" ht="22" customHeight="1">
      <x:c r="A180" s="2" t="str">
        <x:v>CB_STEADY</x:v>
      </x:c>
      <x:c r="B180" s="2" t="str">
        <x:v>UK total</x:v>
      </x:c>
      <x:c r="C180" s="2" t="n">
        <x:v>2052</x:v>
      </x:c>
      <x:c r="D180" s="16" t="n">
        <x:f>D120+D150</x:f>
        <x:v>1266650.0000000002</x:v>
      </x:c>
      <x:c r="E180" s="16" t="n">
        <x:f>E120+E150</x:f>
        <x:v>0</x:v>
      </x:c>
      <x:c r="F180" s="16" t="n">
        <x:f>F120+F150</x:f>
        <x:v>1266650.0000000002</x:v>
      </x:c>
      <x:c r="G180" s="16" t="n">
        <x:f>G120+G150</x:f>
        <x:v>159508066.6666667</x:v>
      </x:c>
      <x:c r="H180" s="16" t="n">
        <x:f>H120+H150</x:f>
        <x:v>23914649.179129366</x:v>
      </x:c>
      <x:c r="I180" s="16" t="n">
        <x:f>I120+I150</x:f>
        <x:v>5970827.847876811</x:v>
      </x:c>
      <x:c r="J180" s="16" t="n">
        <x:f>J120+J150</x:f>
        <x:v>269817.76025996666</x:v>
      </x:c>
      <x:c r="K180" s="16" t="n">
        <x:f>K120+K150</x:f>
        <x:v>30155294.787266146</x:v>
      </x:c>
      <x:c r="L180" s="16" t="n">
        <x:f>L120+L150</x:f>
        <x:v>2088898.75956512</x:v>
      </x:c>
      <x:c r="M180" s="16" t="n">
        <x:f>M120+M150</x:f>
        <x:v>2629047.246935682</x:v>
      </x:c>
      <x:c r="N180" s="16" t="n">
        <x:f>N120+N150</x:f>
        <x:v>87.687046990141</x:v>
      </x:c>
      <x:c r="O180" s="16" t="n">
        <x:f>O120+O150</x:f>
        <x:v>110.56941421997587</x:v>
      </x:c>
      <x:c r="P180" s="16" t="n">
        <x:f>P120+P150</x:f>
        <x:v>7.659295451738774</x:v>
      </x:c>
      <x:c r="Q180" s="16" t="n">
        <x:f>Q120+Q150</x:f>
        <x:v>9.639839905430835</x:v>
      </x:c>
      <x:c r="R180" s="16" t="n">
        <x:f>R120+R150</x:f>
        <x:v>110.56941421997587</x:v>
      </x:c>
      <x:c r="S180" s="16" t="n">
        <x:f>S120+S150</x:f>
        <x:v>9.639839905430843</x:v>
      </x:c>
      <x:c r="T180" s="2"/>
      <x:c r="U180" s="2"/>
      <x:c r="V180" s="2" t="n">
        <x:f>V120+V150</x:f>
        <x:v>5.243391449943603</x:v>
      </x:c>
    </x:row>
    <x:row r="181" ht="22" customHeight="1">
      <x:c r="A181" s="2" t="str">
        <x:v>CB_STEADY</x:v>
      </x:c>
      <x:c r="B181" s="2" t="str">
        <x:v>UK total</x:v>
      </x:c>
      <x:c r="C181" s="2" t="n">
        <x:v>2053</x:v>
      </x:c>
      <x:c r="D181" s="16" t="n">
        <x:f>D121+D151</x:f>
        <x:v>1266650.0000000002</x:v>
      </x:c>
      <x:c r="E181" s="16" t="n">
        <x:f>E121+E151</x:f>
        <x:v>0</x:v>
      </x:c>
      <x:c r="F181" s="16" t="n">
        <x:f>F121+F151</x:f>
        <x:v>1266650.0000000002</x:v>
      </x:c>
      <x:c r="G181" s="16" t="n">
        <x:f>G121+G151</x:f>
        <x:v>159508066.6666667</x:v>
      </x:c>
      <x:c r="H181" s="16" t="n">
        <x:f>H121+H151</x:f>
        <x:v>26048500.921194237</x:v>
      </x:c>
      <x:c r="I181" s="16" t="n">
        <x:f>I121+I151</x:f>
        <x:v>6503591.732863278</x:v>
      </x:c>
      <x:c r="J181" s="16" t="n">
        <x:f>J121+J151</x:f>
        <x:v>288425.88165720575</x:v>
      </x:c>
      <x:c r="K181" s="16" t="n">
        <x:f>K121+K151</x:f>
        <x:v>32840518.53571472</x:v>
      </x:c>
      <x:c r="L181" s="16" t="n">
        <x:f>L121+L151</x:f>
        <x:v>2133851.74206487</x:v>
      </x:c>
      <x:c r="M181" s="16" t="n">
        <x:f>M121+M151</x:f>
        <x:v>2685223.748448573</x:v>
      </x:c>
      <x:c r="N181" s="16" t="n">
        <x:f>N121+N151</x:f>
        <x:v>95.51117004437887</x:v>
      </x:c>
      <x:c r="O181" s="16" t="n">
        <x:f>O121+O151</x:f>
        <x:v>120.41523463095396</x:v>
      </x:c>
      <x:c r="P181" s="16" t="n">
        <x:f>P121+P151</x:f>
        <x:v>7.824123054237857</x:v>
      </x:c>
      <x:c r="Q181" s="16" t="n">
        <x:f>Q121+Q151</x:f>
        <x:v>9.845820410978101</x:v>
      </x:c>
      <x:c r="R181" s="16" t="n">
        <x:f>R121+R151</x:f>
        <x:v>120.41523463095396</x:v>
      </x:c>
      <x:c r="S181" s="16" t="n">
        <x:f>S121+S151</x:f>
        <x:v>9.845820410978092</x:v>
      </x:c>
      <x:c r="T181" s="2"/>
      <x:c r="U181" s="2"/>
      <x:c r="V181" s="2" t="n">
        <x:f>V121+V151</x:f>
        <x:v>5.492258470442066</x:v>
      </x:c>
    </x:row>
    <x:row r="182" ht="22" customHeight="1">
      <x:c r="A182" s="2" t="str">
        <x:v>CB_STEADY</x:v>
      </x:c>
      <x:c r="B182" s="2" t="str">
        <x:v>UK total</x:v>
      </x:c>
      <x:c r="C182" s="2" t="n">
        <x:v>2054</x:v>
      </x:c>
      <x:c r="D182" s="16" t="n">
        <x:f>D122+D152</x:f>
        <x:v>1266650.0000000002</x:v>
      </x:c>
      <x:c r="E182" s="16" t="n">
        <x:f>E122+E152</x:f>
        <x:v>0</x:v>
      </x:c>
      <x:c r="F182" s="16" t="n">
        <x:f>F122+F152</x:f>
        <x:v>1266650.0000000002</x:v>
      </x:c>
      <x:c r="G182" s="16" t="n">
        <x:f>G122+G152</x:f>
        <x:v>159508066.6666667</x:v>
      </x:c>
      <x:c r="H182" s="16" t="n">
        <x:f>H122+H152</x:f>
        <x:v>28220404.528545618</x:v>
      </x:c>
      <x:c r="I182" s="16" t="n">
        <x:f>I122+I152</x:f>
        <x:v>7045856.118367839</x:v>
      </x:c>
      <x:c r="J182" s="16" t="n">
        <x:f>J122+J152</x:f>
        <x:v>307034.0030544448</x:v>
      </x:c>
      <x:c r="K182" s="16" t="n">
        <x:f>K122+K152</x:f>
        <x:v>35573294.6499679</x:v>
      </x:c>
      <x:c r="L182" s="16" t="n">
        <x:f>L122+L152</x:f>
        <x:v>2171903.6073513813</x:v>
      </x:c>
      <x:c r="M182" s="16" t="n">
        <x:f>M122+M152</x:f>
        <x:v>2732776.114253182</x:v>
      </x:c>
      <x:c r="N182" s="16" t="n">
        <x:f>N122+N152</x:f>
        <x:v>103.47481660466728</x:v>
      </x:c>
      <x:c r="O182" s="16" t="n">
        <x:f>O122+O152</x:f>
        <x:v>130.43541371654896</x:v>
      </x:c>
      <x:c r="P182" s="16" t="n">
        <x:f>P122+P152</x:f>
        <x:v>7.963646560288398</x:v>
      </x:c>
      <x:c r="Q182" s="16" t="n">
        <x:f>Q122+Q152</x:f>
        <x:v>10.020179085595002</x:v>
      </x:c>
      <x:c r="R182" s="16" t="n">
        <x:f>R122+R152</x:f>
        <x:v>130.43541371654896</x:v>
      </x:c>
      <x:c r="S182" s="16" t="n">
        <x:f>S122+S152</x:f>
        <x:v>10.020179085595004</x:v>
      </x:c>
      <x:c r="T182" s="2"/>
      <x:c r="U182" s="2"/>
      <x:c r="V182" s="2" t="n">
        <x:f>V122+V152</x:f>
        <x:v>5.7182438989081</x:v>
      </x:c>
    </x:row>
    <x:row r="183" ht="22" customHeight="1">
      <x:c r="A183" s="2" t="str">
        <x:v>CB_STEADY</x:v>
      </x:c>
      <x:c r="B183" s="2" t="str">
        <x:v>UK total</x:v>
      </x:c>
      <x:c r="C183" s="2" t="n">
        <x:v>2055</x:v>
      </x:c>
      <x:c r="D183" s="16" t="n">
        <x:f>D123+D153</x:f>
        <x:v>1266650.0000000002</x:v>
      </x:c>
      <x:c r="E183" s="16" t="n">
        <x:f>E123+E153</x:f>
        <x:v>0</x:v>
      </x:c>
      <x:c r="F183" s="16" t="n">
        <x:f>F123+F153</x:f>
        <x:v>1266650.0000000002</x:v>
      </x:c>
      <x:c r="G183" s="16" t="n">
        <x:f>G123+G153</x:f>
        <x:v>159508066.6666667</x:v>
      </x:c>
      <x:c r="H183" s="16" t="n">
        <x:f>H123+H153</x:f>
        <x:v>30472815.01469445</x:v>
      </x:c>
      <x:c r="I183" s="16" t="n">
        <x:f>I123+I153</x:f>
        <x:v>7608220.849491892</x:v>
      </x:c>
      <x:c r="J183" s="16" t="n">
        <x:f>J123+J153</x:f>
        <x:v>325642.1244516839</x:v>
      </x:c>
      <x:c r="K183" s="16" t="n">
        <x:f>K123+K153</x:f>
        <x:v>38406677.98863802</x:v>
      </x:c>
      <x:c r="L183" s="16" t="n">
        <x:f>L123+L153</x:f>
        <x:v>2252410.4861488296</x:v>
      </x:c>
      <x:c r="M183" s="16" t="n">
        <x:f>M123+M153</x:f>
        <x:v>2833383.3386701234</x:v>
      </x:c>
      <x:c r="N183" s="16" t="n">
        <x:f>N123+N153</x:f>
        <x:v>111.73365505387964</x:v>
      </x:c>
      <x:c r="O183" s="16" t="n">
        <x:f>O123+O153</x:f>
        <x:v>140.8244859583394</x:v>
      </x:c>
      <x:c r="P183" s="16" t="n">
        <x:f>P123+P153</x:f>
        <x:v>8.258838449212377</x:v>
      </x:c>
      <x:c r="Q183" s="16" t="n">
        <x:f>Q123+Q153</x:f>
        <x:v>10.389072241790453</x:v>
      </x:c>
      <x:c r="R183" s="16" t="n">
        <x:f>R123+R153</x:f>
        <x:v>140.8244859583394</x:v>
      </x:c>
      <x:c r="S183" s="16" t="n">
        <x:f>S123+S153</x:f>
        <x:v>10.389072241790455</x:v>
      </x:c>
      <x:c r="T183" s="2"/>
      <x:c r="U183" s="2"/>
      <x:c r="V183" s="2" t="n">
        <x:f>V123+V153</x:f>
        <x:v>5.916669713696933</x:v>
      </x:c>
    </x:row>
    <x:row r="184" ht="22" customHeight="1">
      <x:c r="A184" s="2" t="str">
        <x:v>CB_STEADY</x:v>
      </x:c>
      <x:c r="B184" s="2" t="str">
        <x:v>UK total</x:v>
      </x:c>
      <x:c r="C184" s="2" t="n">
        <x:v>2056</x:v>
      </x:c>
      <x:c r="D184" s="16" t="n">
        <x:f>D124+D154</x:f>
        <x:v>1266650.0000000002</x:v>
      </x:c>
      <x:c r="E184" s="16" t="n">
        <x:f>E124+E154</x:f>
        <x:v>0</x:v>
      </x:c>
      <x:c r="F184" s="16" t="n">
        <x:f>F124+F154</x:f>
        <x:v>1266650.0000000002</x:v>
      </x:c>
      <x:c r="G184" s="16" t="n">
        <x:f>G124+G154</x:f>
        <x:v>159508066.6666667</x:v>
      </x:c>
      <x:c r="H184" s="16" t="n">
        <x:f>H124+H154</x:f>
        <x:v>32703985.83966173</x:v>
      </x:c>
      <x:c r="I184" s="16" t="n">
        <x:f>I124+I154</x:f>
        <x:v>8165282.623440522</x:v>
      </x:c>
      <x:c r="J184" s="16" t="n">
        <x:f>J124+J154</x:f>
        <x:v>344250.245848923</x:v>
      </x:c>
      <x:c r="K184" s="16" t="n">
        <x:f>K124+K154</x:f>
        <x:v>41213518.708951175</x:v>
      </x:c>
      <x:c r="L184" s="16" t="n">
        <x:f>L124+L154</x:f>
        <x:v>2231170.824967282</x:v>
      </x:c>
      <x:c r="M184" s="16" t="n">
        <x:f>M124+M154</x:f>
        <x:v>2806840.7203131514</x:v>
      </x:c>
      <x:c r="N184" s="16" t="n">
        <x:f>N124+N154</x:f>
        <x:v>119.91461474542635</x:v>
      </x:c>
      <x:c r="O184" s="16" t="n">
        <x:f>O124+O154</x:f>
        <x:v>151.11623526615432</x:v>
      </x:c>
      <x:c r="P184" s="16" t="n">
        <x:f>P124+P154</x:f>
        <x:v>8.1809596915467</x:v>
      </x:c>
      <x:c r="Q184" s="16" t="n">
        <x:f>Q124+Q154</x:f>
        <x:v>10.291749307814888</x:v>
      </x:c>
      <x:c r="R184" s="16" t="n">
        <x:f>R124+R154</x:f>
        <x:v>151.11623526615432</x:v>
      </x:c>
      <x:c r="S184" s="16" t="n">
        <x:f>S124+S154</x:f>
        <x:v>10.291749307814888</x:v>
      </x:c>
      <x:c r="T184" s="2"/>
      <x:c r="U184" s="2"/>
      <x:c r="V184" s="2" t="n">
        <x:f>V124+V154</x:f>
        <x:v>6.067120885523188</x:v>
      </x:c>
    </x:row>
    <x:row r="185" ht="22" customHeight="1">
      <x:c r="A185" s="2" t="str">
        <x:v>CR_FAST</x:v>
      </x:c>
      <x:c r="B185" s="2" t="str">
        <x:v>Permanent grassland</x:v>
      </x:c>
      <x:c r="C185" s="2" t="n">
        <x:v>2027</x:v>
      </x:c>
      <x:c r="D185" s="16" t="n">
        <x:f>Inputs!H13</x:f>
        <x:v>837900.0000000001</x:v>
      </x:c>
      <x:c r="E185" s="16" t="n">
        <x:f>D185*'Cohort factors'!C5</x:f>
        <x:v>837900.0000000001</x:v>
      </x:c>
      <x:c r="F185" s="16" t="n">
        <x:f>D185*'Cohort factors'!D5</x:f>
        <x:v>837900.0000000001</x:v>
      </x:c>
      <x:c r="G185" s="16" t="n">
        <x:f>F185*Inputs!D13</x:f>
        <x:v>139091400.00000003</x:v>
      </x:c>
      <x:c r="H185" s="16" t="n">
        <x:f>D185*Inputs!D13*'Cohort factors'!E5*Inputs!$B$5/1000</x:f>
        <x:v>69325.60547774399</x:v>
      </x:c>
      <x:c r="I185" s="16" t="n">
        <x:f>H185*Inputs!$B$10</x:f>
        <x:v>17308.690278370395</x:v>
      </x:c>
      <x:c r="J185" s="16" t="n">
        <x:f>D185*T185*Inputs!$B$8*U185*0</x:f>
        <x:v>0</x:v>
      </x:c>
      <x:c r="K185" s="16" t="n">
        <x:f>SUM(H185:J185)</x:f>
        <x:v>86634.29575611438</x:v>
      </x:c>
      <x:c r="L185" s="16" t="n">
        <x:f>H185</x:f>
        <x:v>69325.60547774399</x:v>
      </x:c>
      <x:c r="M185" s="16" t="n">
        <x:f>K185</x:f>
        <x:v>86634.29575611438</x:v>
      </x:c>
      <x:c r="N185" s="16" t="n">
        <x:f>H185*44/12/1000000</x:f>
        <x:v>0.25419388675172794</x:v>
      </x:c>
      <x:c r="O185" s="16" t="n">
        <x:f>K185*44/12/1000000</x:f>
        <x:v>0.3176590844390861</x:v>
      </x:c>
      <x:c r="P185" s="16" t="n">
        <x:f>L185*44/12/1000000</x:f>
        <x:v>0.25419388675172794</x:v>
      </x:c>
      <x:c r="Q185" s="16" t="n">
        <x:f>M185*44/12/1000000</x:f>
        <x:v>0.3176590844390861</x:v>
      </x:c>
      <x:c r="R185" s="16" t="n">
        <x:f>(H185+I185)*44/12/1000000</x:f>
        <x:v>0.3176590844390861</x:v>
      </x:c>
      <x:c r="S185" s="16" t="n">
        <x:f>R185</x:f>
        <x:v>0.3176590844390861</x:v>
      </x:c>
      <x:c r="T185" s="2" t="n">
        <x:f>Inputs!E13/Inputs!F13</x:f>
        <x:v>0.2</x:v>
      </x:c>
      <x:c r="U185" s="2" t="n">
        <x:f>'Cohort factors'!F5</x:f>
        <x:v>1</x:v>
      </x:c>
      <x:c r="V185" s="2" t="n">
        <x:f>D185*Inputs!D13*'Cohort factors'!G5*Inputs!$B$5/1000*44/12/1000000</x:f>
        <x:v>0.25419388675172794</x:v>
      </x:c>
    </x:row>
    <x:row r="186" ht="22" customHeight="1">
      <x:c r="A186" s="2" t="str">
        <x:v>CR_FAST</x:v>
      </x:c>
      <x:c r="B186" s="2" t="str">
        <x:v>Permanent grassland</x:v>
      </x:c>
      <x:c r="C186" s="2" t="n">
        <x:v>2028</x:v>
      </x:c>
      <x:c r="D186" s="16" t="n">
        <x:f>Inputs!H13</x:f>
        <x:v>837900.0000000001</x:v>
      </x:c>
      <x:c r="E186" s="16" t="n">
        <x:f>D186*'Cohort factors'!C6</x:f>
        <x:v>0</x:v>
      </x:c>
      <x:c r="F186" s="16" t="n">
        <x:f>D186*'Cohort factors'!D6</x:f>
        <x:v>837900.0000000001</x:v>
      </x:c>
      <x:c r="G186" s="16" t="n">
        <x:f>F186*Inputs!D13</x:f>
        <x:v>139091400.00000003</x:v>
      </x:c>
      <x:c r="H186" s="16" t="n">
        <x:f>D186*Inputs!D13*'Cohort factors'!E6*Inputs!$B$5/1000</x:f>
        <x:v>260571.46606075193</x:v>
      </x:c>
      <x:c r="I186" s="16" t="n">
        <x:f>H186*Inputs!$B$10</x:f>
        <x:v>65057.50321754318</x:v>
      </x:c>
      <x:c r="J186" s="16" t="n">
        <x:f>D186*T186*Inputs!$B$8*U186*0</x:f>
        <x:v>0</x:v>
      </x:c>
      <x:c r="K186" s="16" t="n">
        <x:f>SUM(H186:J186)</x:f>
        <x:v>325628.9692782951</x:v>
      </x:c>
      <x:c r="L186" s="16" t="n">
        <x:f>H186-H185</x:f>
        <x:v>191245.86058300795</x:v>
      </x:c>
      <x:c r="M186" s="16" t="n">
        <x:f>K186-K185</x:f>
        <x:v>238994.67352218073</x:v>
      </x:c>
      <x:c r="N186" s="16" t="n">
        <x:f>H186*44/12/1000000</x:f>
        <x:v>0.9554287088894238</x:v>
      </x:c>
      <x:c r="O186" s="16" t="n">
        <x:f>K186*44/12/1000000</x:f>
        <x:v>1.1939728873537487</x:v>
      </x:c>
      <x:c r="P186" s="16" t="n">
        <x:f>L186*44/12/1000000</x:f>
        <x:v>0.7012348221376957</x:v>
      </x:c>
      <x:c r="Q186" s="16" t="n">
        <x:f>M186*44/12/1000000</x:f>
        <x:v>0.8763138029146628</x:v>
      </x:c>
      <x:c r="R186" s="16" t="n">
        <x:f>(H186+I186)*44/12/1000000</x:f>
        <x:v>1.1939728873537487</x:v>
      </x:c>
      <x:c r="S186" s="16" t="n">
        <x:f>R186-R185</x:f>
        <x:v>0.8763138029146627</x:v>
      </x:c>
      <x:c r="T186" s="2" t="n">
        <x:f>Inputs!E13/Inputs!F13</x:f>
        <x:v>0.2</x:v>
      </x:c>
      <x:c r="U186" s="2" t="n">
        <x:f>'Cohort factors'!F6</x:f>
        <x:v>2</x:v>
      </x:c>
      <x:c r="V186" s="2" t="n">
        <x:f>D186*Inputs!D13*'Cohort factors'!G6*Inputs!$B$5/1000*44/12/1000000</x:f>
        <x:v>0.4777143544447119</x:v>
      </x:c>
    </x:row>
    <x:row r="187" ht="22" customHeight="1">
      <x:c r="A187" s="2" t="str">
        <x:v>CR_FAST</x:v>
      </x:c>
      <x:c r="B187" s="2" t="str">
        <x:v>Permanent grassland</x:v>
      </x:c>
      <x:c r="C187" s="2" t="n">
        <x:v>2029</x:v>
      </x:c>
      <x:c r="D187" s="16" t="n">
        <x:f>Inputs!H13</x:f>
        <x:v>837900.0000000001</x:v>
      </x:c>
      <x:c r="E187" s="16" t="n">
        <x:f>D187*'Cohort factors'!C7</x:f>
        <x:v>0</x:v>
      </x:c>
      <x:c r="F187" s="16" t="n">
        <x:f>D187*'Cohort factors'!D7</x:f>
        <x:v>837900.0000000001</x:v>
      </x:c>
      <x:c r="G187" s="16" t="n">
        <x:f>F187*Inputs!D13</x:f>
        <x:v>139091400.00000003</x:v>
      </x:c>
      <x:c r="H187" s="16" t="n">
        <x:f>D187*Inputs!D13*'Cohort factors'!E7*Inputs!$B$5/1000</x:f>
        <x:v>788164.9417487998</x:v>
      </x:c>
      <x:c r="I187" s="16" t="n">
        <x:f>H187*Inputs!$B$10</x:f>
        <x:v>196783.03234407993</x:v>
      </x:c>
      <x:c r="J187" s="16" t="n">
        <x:f>D187*T187*Inputs!$B$8*U187*0</x:f>
        <x:v>0</x:v>
      </x:c>
      <x:c r="K187" s="16" t="n">
        <x:f>SUM(H187:J187)</x:f>
        <x:v>984947.9740928797</x:v>
      </x:c>
      <x:c r="L187" s="16" t="n">
        <x:f>H187-H186</x:f>
        <x:v>527593.4756880478</x:v>
      </x:c>
      <x:c r="M187" s="16" t="n">
        <x:f>K187-K186</x:f>
        <x:v>659319.0048145845</x:v>
      </x:c>
      <x:c r="N187" s="16" t="n">
        <x:f>H187*44/12/1000000</x:f>
        <x:v>2.889938119745599</x:v>
      </x:c>
      <x:c r="O187" s="16" t="n">
        <x:f>K187*44/12/1000000</x:f>
        <x:v>3.611475905007226</x:v>
      </x:c>
      <x:c r="P187" s="16" t="n">
        <x:f>L187*44/12/1000000</x:f>
        <x:v>1.9345094108561753</x:v>
      </x:c>
      <x:c r="Q187" s="16" t="n">
        <x:f>M187*44/12/1000000</x:f>
        <x:v>2.4175030176534764</x:v>
      </x:c>
      <x:c r="R187" s="16" t="n">
        <x:f>(H187+I187)*44/12/1000000</x:f>
        <x:v>3.611475905007226</x:v>
      </x:c>
      <x:c r="S187" s="16" t="n">
        <x:f>R187-R186</x:f>
        <x:v>2.4175030176534773</x:v>
      </x:c>
      <x:c r="T187" s="2" t="n">
        <x:f>Inputs!E13/Inputs!F13</x:f>
        <x:v>0.2</x:v>
      </x:c>
      <x:c r="U187" s="2" t="n">
        <x:f>'Cohort factors'!F7</x:f>
        <x:v>3</x:v>
      </x:c>
      <x:c r="V187" s="2" t="n">
        <x:f>D187*Inputs!D13*'Cohort factors'!G7*Inputs!$B$5/1000*44/12/1000000</x:f>
        <x:v>0.9633127065818664</x:v>
      </x:c>
    </x:row>
    <x:row r="188" ht="22" customHeight="1">
      <x:c r="A188" s="2" t="str">
        <x:v>CR_FAST</x:v>
      </x:c>
      <x:c r="B188" s="2" t="str">
        <x:v>Permanent grassland</x:v>
      </x:c>
      <x:c r="C188" s="2" t="n">
        <x:v>2030</x:v>
      </x:c>
      <x:c r="D188" s="16" t="n">
        <x:f>Inputs!H13</x:f>
        <x:v>837900.0000000001</x:v>
      </x:c>
      <x:c r="E188" s="16" t="n">
        <x:f>D188*'Cohort factors'!C8</x:f>
        <x:v>0</x:v>
      </x:c>
      <x:c r="F188" s="16" t="n">
        <x:f>D188*'Cohort factors'!D8</x:f>
        <x:v>837900.0000000001</x:v>
      </x:c>
      <x:c r="G188" s="16" t="n">
        <x:f>F188*Inputs!D13</x:f>
        <x:v>139091400.00000003</x:v>
      </x:c>
      <x:c r="H188" s="16" t="n">
        <x:f>D188*Inputs!D13*'Cohort factors'!E8*Inputs!$B$5/1000</x:f>
        <x:v>1556338.1801388953</x:v>
      </x:c>
      <x:c r="I188" s="16" t="n">
        <x:f>H188*Inputs!$B$10</x:f>
        <x:v>388574.6881370534</x:v>
      </x:c>
      <x:c r="J188" s="16" t="n">
        <x:f>D188*T188*Inputs!$B$8*U188*0</x:f>
        <x:v>0</x:v>
      </x:c>
      <x:c r="K188" s="16" t="n">
        <x:f>SUM(H188:J188)</x:f>
        <x:v>1944912.8682759488</x:v>
      </x:c>
      <x:c r="L188" s="16" t="n">
        <x:f>H188-H187</x:f>
        <x:v>768173.2383900955</x:v>
      </x:c>
      <x:c r="M188" s="16" t="n">
        <x:f>K188-K187</x:f>
        <x:v>959964.8941830691</x:v>
      </x:c>
      <x:c r="N188" s="16" t="n">
        <x:f>H188*44/12/1000000</x:f>
        <x:v>5.70657332717595</x:v>
      </x:c>
      <x:c r="O188" s="16" t="n">
        <x:f>K188*44/12/1000000</x:f>
        <x:v>7.1313471836784785</x:v>
      </x:c>
      <x:c r="P188" s="16" t="n">
        <x:f>L188*44/12/1000000</x:f>
        <x:v>2.81663520743035</x:v>
      </x:c>
      <x:c r="Q188" s="16" t="n">
        <x:f>M188*44/12/1000000</x:f>
        <x:v>3.5198712786712534</x:v>
      </x:c>
      <x:c r="R188" s="16" t="n">
        <x:f>(H188+I188)*44/12/1000000</x:f>
        <x:v>7.1313471836784785</x:v>
      </x:c>
      <x:c r="S188" s="16" t="n">
        <x:f>R188-R187</x:f>
        <x:v>3.5198712786712525</x:v>
      </x:c>
      <x:c r="T188" s="2" t="n">
        <x:f>Inputs!E13/Inputs!F13</x:f>
        <x:v>0.2</x:v>
      </x:c>
      <x:c r="U188" s="2" t="n">
        <x:f>'Cohort factors'!F8</x:f>
        <x:v>4</x:v>
      </x:c>
      <x:c r="V188" s="2" t="n">
        <x:f>D188*Inputs!D13*'Cohort factors'!G8*Inputs!$B$5/1000*44/12/1000000</x:f>
        <x:v>1.4266433317939875</x:v>
      </x:c>
    </x:row>
    <x:row r="189" ht="22" customHeight="1">
      <x:c r="A189" s="2" t="str">
        <x:v>CR_FAST</x:v>
      </x:c>
      <x:c r="B189" s="2" t="str">
        <x:v>Permanent grassland</x:v>
      </x:c>
      <x:c r="C189" s="2" t="n">
        <x:v>2031</x:v>
      </x:c>
      <x:c r="D189" s="16" t="n">
        <x:f>Inputs!H13</x:f>
        <x:v>837900.0000000001</x:v>
      </x:c>
      <x:c r="E189" s="16" t="n">
        <x:f>D189*'Cohort factors'!C9</x:f>
        <x:v>0</x:v>
      </x:c>
      <x:c r="F189" s="16" t="n">
        <x:f>D189*'Cohort factors'!D9</x:f>
        <x:v>837900.0000000001</x:v>
      </x:c>
      <x:c r="G189" s="16" t="n">
        <x:f>F189*Inputs!D13</x:f>
        <x:v>139091400.00000003</x:v>
      </x:c>
      <x:c r="H189" s="16" t="n">
        <x:f>D189*Inputs!D13*'Cohort factors'!E9*Inputs!$B$5/1000</x:f>
        <x:v>2978073.9108120017</x:v>
      </x:c>
      <x:c r="I189" s="16" t="n">
        <x:f>H189*Inputs!$B$10</x:f>
        <x:v>743542.8597142004</x:v>
      </x:c>
      <x:c r="J189" s="16" t="n">
        <x:f>D189*T189*Inputs!$B$8*U189*0</x:f>
        <x:v>0</x:v>
      </x:c>
      <x:c r="K189" s="16" t="n">
        <x:f>SUM(H189:J189)</x:f>
        <x:v>3721616.770526202</x:v>
      </x:c>
      <x:c r="L189" s="16" t="n">
        <x:f>H189-H188</x:f>
        <x:v>1421735.7306731064</x:v>
      </x:c>
      <x:c r="M189" s="16" t="n">
        <x:f>K189-K188</x:f>
        <x:v>1776703.9022502531</x:v>
      </x:c>
      <x:c r="N189" s="16" t="n">
        <x:f>H189*44/12/1000000</x:f>
        <x:v>10.919604339644005</x:v>
      </x:c>
      <x:c r="O189" s="16" t="n">
        <x:f>K189*44/12/1000000</x:f>
        <x:v>13.645928158596075</x:v>
      </x:c>
      <x:c r="P189" s="16" t="n">
        <x:f>L189*44/12/1000000</x:f>
        <x:v>5.213031012468057</x:v>
      </x:c>
      <x:c r="Q189" s="16" t="n">
        <x:f>M189*44/12/1000000</x:f>
        <x:v>6.514580974917594</x:v>
      </x:c>
      <x:c r="R189" s="16" t="n">
        <x:f>(H189+I189)*44/12/1000000</x:f>
        <x:v>13.645928158596075</x:v>
      </x:c>
      <x:c r="S189" s="16" t="n">
        <x:f>R189-R188</x:f>
        <x:v>6.514580974917596</x:v>
      </x:c>
      <x:c r="T189" s="2" t="n">
        <x:f>Inputs!E13/Inputs!F13</x:f>
        <x:v>0.2</x:v>
      </x:c>
      <x:c r="U189" s="2" t="n">
        <x:f>'Cohort factors'!F9</x:f>
        <x:v>5</x:v>
      </x:c>
      <x:c r="V189" s="2" t="n">
        <x:f>D189*Inputs!D13*'Cohort factors'!G9*Inputs!$B$5/1000*44/12/1000000</x:f>
        <x:v>2.1839208679288014</x:v>
      </x:c>
    </x:row>
    <x:row r="190" ht="22" customHeight="1">
      <x:c r="A190" s="2" t="str">
        <x:v>CR_FAST</x:v>
      </x:c>
      <x:c r="B190" s="2" t="str">
        <x:v>Permanent grassland</x:v>
      </x:c>
      <x:c r="C190" s="2" t="n">
        <x:v>2032</x:v>
      </x:c>
      <x:c r="D190" s="16" t="n">
        <x:f>Inputs!H13</x:f>
        <x:v>837900.0000000001</x:v>
      </x:c>
      <x:c r="E190" s="16" t="n">
        <x:f>D190*'Cohort factors'!C10</x:f>
        <x:v>0</x:v>
      </x:c>
      <x:c r="F190" s="16" t="n">
        <x:f>D190*'Cohort factors'!D10</x:f>
        <x:v>837900.0000000001</x:v>
      </x:c>
      <x:c r="G190" s="16" t="n">
        <x:f>F190*Inputs!D13</x:f>
        <x:v>139091400.00000003</x:v>
      </x:c>
      <x:c r="H190" s="16" t="n">
        <x:f>D190*Inputs!D13*'Cohort factors'!E10*Inputs!$B$5/1000</x:f>
        <x:v>5233095.176882496</x:v>
      </x:c>
      <x:c r="I190" s="16" t="n">
        <x:f>H190*Inputs!$B$10</x:f>
        <x:v>1306559.4305263136</x:v>
      </x:c>
      <x:c r="J190" s="16" t="n">
        <x:f>D190*T190*Inputs!$B$8*U190*0</x:f>
        <x:v>0</x:v>
      </x:c>
      <x:c r="K190" s="16" t="n">
        <x:f>SUM(H190:J190)</x:f>
        <x:v>6539654.6074088095</x:v>
      </x:c>
      <x:c r="L190" s="16" t="n">
        <x:f>H190-H189</x:f>
        <x:v>2255021.2660704944</x:v>
      </x:c>
      <x:c r="M190" s="16" t="n">
        <x:f>K190-K189</x:f>
        <x:v>2818037.8368826075</x:v>
      </x:c>
      <x:c r="N190" s="16" t="n">
        <x:f>H190*44/12/1000000</x:f>
        <x:v>19.188015648569152</x:v>
      </x:c>
      <x:c r="O190" s="16" t="n">
        <x:f>K190*44/12/1000000</x:f>
        <x:v>23.978733560498966</x:v>
      </x:c>
      <x:c r="P190" s="16" t="n">
        <x:f>L190*44/12/1000000</x:f>
        <x:v>8.268411308925147</x:v>
      </x:c>
      <x:c r="Q190" s="16" t="n">
        <x:f>M190*44/12/1000000</x:f>
        <x:v>10.332805401902894</x:v>
      </x:c>
      <x:c r="R190" s="16" t="n">
        <x:f>(H190+I190)*44/12/1000000</x:f>
        <x:v>23.978733560498966</x:v>
      </x:c>
      <x:c r="S190" s="16" t="n">
        <x:f>R190-R189</x:f>
        <x:v>10.332805401902892</x:v>
      </x:c>
      <x:c r="T190" s="2" t="n">
        <x:f>Inputs!E13/Inputs!F13</x:f>
        <x:v>0.2</x:v>
      </x:c>
      <x:c r="U190" s="2" t="n">
        <x:f>'Cohort factors'!F10</x:f>
        <x:v>6</x:v>
      </x:c>
      <x:c r="V190" s="2" t="n">
        <x:f>D190*Inputs!D13*'Cohort factors'!G10*Inputs!$B$5/1000*44/12/1000000</x:f>
        <x:v>3.1980026080948596</x:v>
      </x:c>
    </x:row>
    <x:row r="191" ht="22" customHeight="1">
      <x:c r="A191" s="2" t="str">
        <x:v>CR_FAST</x:v>
      </x:c>
      <x:c r="B191" s="2" t="str">
        <x:v>Permanent grassland</x:v>
      </x:c>
      <x:c r="C191" s="2" t="n">
        <x:v>2033</x:v>
      </x:c>
      <x:c r="D191" s="16" t="n">
        <x:f>Inputs!H13</x:f>
        <x:v>837900.0000000001</x:v>
      </x:c>
      <x:c r="E191" s="16" t="n">
        <x:f>D191*'Cohort factors'!C11</x:f>
        <x:v>0</x:v>
      </x:c>
      <x:c r="F191" s="16" t="n">
        <x:f>D191*'Cohort factors'!D11</x:f>
        <x:v>837900.0000000001</x:v>
      </x:c>
      <x:c r="G191" s="16" t="n">
        <x:f>F191*Inputs!D13</x:f>
        <x:v>139091400.00000003</x:v>
      </x:c>
      <x:c r="H191" s="16" t="n">
        <x:f>D191*Inputs!D13*'Cohort factors'!E11*Inputs!$B$5/1000</x:f>
        <x:v>6202564.724927647</x:v>
      </x:c>
      <x:c r="I191" s="16" t="n">
        <x:f>H191*Inputs!$B$10</x:f>
        <x:v>1548609.218996063</x:v>
      </x:c>
      <x:c r="J191" s="16" t="n">
        <x:f>D191*T191*Inputs!$B$8*U191*0</x:f>
        <x:v>0</x:v>
      </x:c>
      <x:c r="K191" s="16" t="n">
        <x:f>SUM(H191:J191)</x:f>
        <x:v>7751173.94392371</x:v>
      </x:c>
      <x:c r="L191" s="16" t="n">
        <x:f>H191-H190</x:f>
        <x:v>969469.5480451509</x:v>
      </x:c>
      <x:c r="M191" s="16" t="n">
        <x:f>K191-K190</x:f>
        <x:v>1211519.3365149004</x:v>
      </x:c>
      <x:c r="N191" s="16" t="n">
        <x:f>H191*44/12/1000000</x:f>
        <x:v>22.742737324734705</x:v>
      </x:c>
      <x:c r="O191" s="16" t="n">
        <x:f>K191*44/12/1000000</x:f>
        <x:v>28.42097112772027</x:v>
      </x:c>
      <x:c r="P191" s="16" t="n">
        <x:f>L191*44/12/1000000</x:f>
        <x:v>3.554721676165553</x:v>
      </x:c>
      <x:c r="Q191" s="16" t="n">
        <x:f>M191*44/12/1000000</x:f>
        <x:v>4.4422375672213015</x:v>
      </x:c>
      <x:c r="R191" s="16" t="n">
        <x:f>(H191+I191)*44/12/1000000</x:f>
        <x:v>28.42097112772027</x:v>
      </x:c>
      <x:c r="S191" s="16" t="n">
        <x:f>R191-R190</x:f>
        <x:v>4.442237567221305</x:v>
      </x:c>
      <x:c r="T191" s="2" t="n">
        <x:f>Inputs!E13/Inputs!F13</x:f>
        <x:v>0.2</x:v>
      </x:c>
      <x:c r="U191" s="2" t="n">
        <x:f>'Cohort factors'!F11</x:f>
        <x:v>7</x:v>
      </x:c>
      <x:c r="V191" s="2" t="n">
        <x:f>D191*Inputs!D13*'Cohort factors'!G11*Inputs!$B$5/1000*44/12/1000000</x:f>
        <x:v>3.248962474962101</x:v>
      </x:c>
    </x:row>
    <x:row r="192" ht="22" customHeight="1">
      <x:c r="A192" s="2" t="str">
        <x:v>CR_FAST</x:v>
      </x:c>
      <x:c r="B192" s="2" t="str">
        <x:v>Permanent grassland</x:v>
      </x:c>
      <x:c r="C192" s="2" t="n">
        <x:v>2034</x:v>
      </x:c>
      <x:c r="D192" s="16" t="n">
        <x:f>Inputs!H13</x:f>
        <x:v>837900.0000000001</x:v>
      </x:c>
      <x:c r="E192" s="16" t="n">
        <x:f>D192*'Cohort factors'!C12</x:f>
        <x:v>0</x:v>
      </x:c>
      <x:c r="F192" s="16" t="n">
        <x:f>D192*'Cohort factors'!D12</x:f>
        <x:v>837900.0000000001</x:v>
      </x:c>
      <x:c r="G192" s="16" t="n">
        <x:f>F192*Inputs!D13</x:f>
        <x:v>139091400.00000003</x:v>
      </x:c>
      <x:c r="H192" s="16" t="n">
        <x:f>D192*Inputs!D13*'Cohort factors'!E12*Inputs!$B$5/1000</x:f>
        <x:v>7172034.272972799</x:v>
      </x:c>
      <x:c r="I192" s="16" t="n">
        <x:f>H192*Inputs!$B$10</x:f>
        <x:v>1790659.0074658128</x:v>
      </x:c>
      <x:c r="J192" s="16" t="n">
        <x:f>D192*T192*Inputs!$B$8*U192*0</x:f>
        <x:v>0</x:v>
      </x:c>
      <x:c r="K192" s="16" t="n">
        <x:f>SUM(H192:J192)</x:f>
        <x:v>8962693.280438611</x:v>
      </x:c>
      <x:c r="L192" s="16" t="n">
        <x:f>H192-H191</x:f>
        <x:v>969469.5480451519</x:v>
      </x:c>
      <x:c r="M192" s="16" t="n">
        <x:f>K192-K191</x:f>
        <x:v>1211519.3365149014</x:v>
      </x:c>
      <x:c r="N192" s="16" t="n">
        <x:f>H192*44/12/1000000</x:f>
        <x:v>26.297459000900265</x:v>
      </x:c>
      <x:c r="O192" s="16" t="n">
        <x:f>K192*44/12/1000000</x:f>
        <x:v>32.86320869494158</x:v>
      </x:c>
      <x:c r="P192" s="16" t="n">
        <x:f>L192*44/12/1000000</x:f>
        <x:v>3.554721676165557</x:v>
      </x:c>
      <x:c r="Q192" s="16" t="n">
        <x:f>M192*44/12/1000000</x:f>
        <x:v>4.442237567221305</x:v>
      </x:c>
      <x:c r="R192" s="16" t="n">
        <x:f>(H192+I192)*44/12/1000000</x:f>
        <x:v>32.86320869494158</x:v>
      </x:c>
      <x:c r="S192" s="16" t="n">
        <x:f>R192-R191</x:f>
        <x:v>4.442237567221305</x:v>
      </x:c>
      <x:c r="T192" s="2" t="n">
        <x:f>Inputs!E13/Inputs!F13</x:f>
        <x:v>0.2</x:v>
      </x:c>
      <x:c r="U192" s="2" t="n">
        <x:f>'Cohort factors'!F12</x:f>
        <x:v>8</x:v>
      </x:c>
      <x:c r="V192" s="2" t="n">
        <x:f>D192*Inputs!D13*'Cohort factors'!G12*Inputs!$B$5/1000*44/12/1000000</x:f>
        <x:v>3.287182375112533</x:v>
      </x:c>
    </x:row>
    <x:row r="193" ht="22" customHeight="1">
      <x:c r="A193" s="2" t="str">
        <x:v>CR_FAST</x:v>
      </x:c>
      <x:c r="B193" s="2" t="str">
        <x:v>Permanent grassland</x:v>
      </x:c>
      <x:c r="C193" s="2" t="n">
        <x:v>2035</x:v>
      </x:c>
      <x:c r="D193" s="16" t="n">
        <x:f>Inputs!H13</x:f>
        <x:v>837900.0000000001</x:v>
      </x:c>
      <x:c r="E193" s="16" t="n">
        <x:f>D193*'Cohort factors'!C13</x:f>
        <x:v>0</x:v>
      </x:c>
      <x:c r="F193" s="16" t="n">
        <x:f>D193*'Cohort factors'!D13</x:f>
        <x:v>837900.0000000001</x:v>
      </x:c>
      <x:c r="G193" s="16" t="n">
        <x:f>F193*Inputs!D13</x:f>
        <x:v>139091400.00000003</x:v>
      </x:c>
      <x:c r="H193" s="16" t="n">
        <x:f>D193*Inputs!D13*'Cohort factors'!E13*Inputs!$B$5/1000</x:f>
        <x:v>8141503.821017948</x:v>
      </x:c>
      <x:c r="I193" s="16" t="n">
        <x:f>H193*Inputs!$B$10</x:f>
        <x:v>2032708.795935562</x:v>
      </x:c>
      <x:c r="J193" s="16" t="n">
        <x:f>D193*T193*Inputs!$B$8*U193*0</x:f>
        <x:v>0</x:v>
      </x:c>
      <x:c r="K193" s="16" t="n">
        <x:f>SUM(H193:J193)</x:f>
        <x:v>10174212.61695351</x:v>
      </x:c>
      <x:c r="L193" s="16" t="n">
        <x:f>H193-H192</x:f>
        <x:v>969469.5480451491</x:v>
      </x:c>
      <x:c r="M193" s="16" t="n">
        <x:f>K193-K192</x:f>
        <x:v>1211519.3365148995</x:v>
      </x:c>
      <x:c r="N193" s="16" t="n">
        <x:f>H193*44/12/1000000</x:f>
        <x:v>29.852180677065807</x:v>
      </x:c>
      <x:c r="O193" s="16" t="n">
        <x:f>K193*44/12/1000000</x:f>
        <x:v>37.305446262162874</x:v>
      </x:c>
      <x:c r="P193" s="16" t="n">
        <x:f>L193*44/12/1000000</x:f>
        <x:v>3.554721676165547</x:v>
      </x:c>
      <x:c r="Q193" s="16" t="n">
        <x:f>M193*44/12/1000000</x:f>
        <x:v>4.442237567221298</x:v>
      </x:c>
      <x:c r="R193" s="16" t="n">
        <x:f>(H193+I193)*44/12/1000000</x:f>
        <x:v>37.305446262162874</x:v>
      </x:c>
      <x:c r="S193" s="16" t="n">
        <x:f>R193-R192</x:f>
        <x:v>4.442237567221298</x:v>
      </x:c>
      <x:c r="T193" s="2" t="n">
        <x:f>Inputs!E13/Inputs!F13</x:f>
        <x:v>0.2</x:v>
      </x:c>
      <x:c r="U193" s="2" t="n">
        <x:f>'Cohort factors'!F13</x:f>
        <x:v>9</x:v>
      </x:c>
      <x:c r="V193" s="2" t="n">
        <x:f>D193*Inputs!D13*'Cohort factors'!G13*Inputs!$B$5/1000*44/12/1000000</x:f>
        <x:v>3.3169089641184235</x:v>
      </x:c>
    </x:row>
    <x:row r="194" ht="22" customHeight="1">
      <x:c r="A194" s="2" t="str">
        <x:v>CR_FAST</x:v>
      </x:c>
      <x:c r="B194" s="2" t="str">
        <x:v>Permanent grassland</x:v>
      </x:c>
      <x:c r="C194" s="2" t="n">
        <x:v>2036</x:v>
      </x:c>
      <x:c r="D194" s="16" t="n">
        <x:f>Inputs!H13</x:f>
        <x:v>837900.0000000001</x:v>
      </x:c>
      <x:c r="E194" s="16" t="n">
        <x:f>D194*'Cohort factors'!C14</x:f>
        <x:v>0</x:v>
      </x:c>
      <x:c r="F194" s="16" t="n">
        <x:f>D194*'Cohort factors'!D14</x:f>
        <x:v>837900.0000000001</x:v>
      </x:c>
      <x:c r="G194" s="16" t="n">
        <x:f>F194*Inputs!D13</x:f>
        <x:v>139091400.00000003</x:v>
      </x:c>
      <x:c r="H194" s="16" t="n">
        <x:f>D194*Inputs!D13*'Cohort factors'!E14*Inputs!$B$5/1000</x:f>
        <x:v>9781410.732904267</x:v>
      </x:c>
      <x:c r="I194" s="16" t="n">
        <x:f>H194*Inputs!$B$10</x:f>
        <x:v>2442148.289865574</x:v>
      </x:c>
      <x:c r="J194" s="16" t="n">
        <x:f>D194*T194*Inputs!$B$8*U194*0</x:f>
        <x:v>0</x:v>
      </x:c>
      <x:c r="K194" s="16" t="n">
        <x:f>SUM(H194:J194)</x:f>
        <x:v>12223559.02276984</x:v>
      </x:c>
      <x:c r="L194" s="16" t="n">
        <x:f>H194-H193</x:f>
        <x:v>1639906.9118863186</x:v>
      </x:c>
      <x:c r="M194" s="16" t="n">
        <x:f>K194-K193</x:f>
        <x:v>2049346.4058163296</x:v>
      </x:c>
      <x:c r="N194" s="16" t="n">
        <x:f>H194*44/12/1000000</x:f>
        <x:v>35.86517268731564</x:v>
      </x:c>
      <x:c r="O194" s="16" t="n">
        <x:f>K194*44/12/1000000</x:f>
        <x:v>44.81971641682276</x:v>
      </x:c>
      <x:c r="P194" s="16" t="n">
        <x:f>L194*44/12/1000000</x:f>
        <x:v>6.012992010249834</x:v>
      </x:c>
      <x:c r="Q194" s="16" t="n">
        <x:f>M194*44/12/1000000</x:f>
        <x:v>7.514270154659875</x:v>
      </x:c>
      <x:c r="R194" s="16" t="n">
        <x:f>(H194+I194)*44/12/1000000</x:f>
        <x:v>44.81971641682276</x:v>
      </x:c>
      <x:c r="S194" s="16" t="n">
        <x:f>R194-R193</x:f>
        <x:v>7.514270154659883</x:v>
      </x:c>
      <x:c r="T194" s="2" t="n">
        <x:f>Inputs!E13/Inputs!F13</x:f>
        <x:v>0.2</x:v>
      </x:c>
      <x:c r="U194" s="2" t="n">
        <x:f>'Cohort factors'!F14</x:f>
        <x:v>10</x:v>
      </x:c>
      <x:c r="V194" s="2" t="n">
        <x:f>D194*Inputs!D13*'Cohort factors'!G14*Inputs!$B$5/1000*44/12/1000000</x:f>
        <x:v>3.586517268731564</x:v>
      </x:c>
    </x:row>
    <x:row r="195" ht="22" customHeight="1">
      <x:c r="A195" s="2" t="str">
        <x:v>CR_FAST</x:v>
      </x:c>
      <x:c r="B195" s="2" t="str">
        <x:v>Permanent grassland</x:v>
      </x:c>
      <x:c r="C195" s="2" t="n">
        <x:v>2037</x:v>
      </x:c>
      <x:c r="D195" s="16" t="n">
        <x:f>Inputs!H13</x:f>
        <x:v>837900.0000000001</x:v>
      </x:c>
      <x:c r="E195" s="16" t="n">
        <x:f>D195*'Cohort factors'!C15</x:f>
        <x:v>0</x:v>
      </x:c>
      <x:c r="F195" s="16" t="n">
        <x:f>D195*'Cohort factors'!D15</x:f>
        <x:v>837900.0000000001</x:v>
      </x:c>
      <x:c r="G195" s="16" t="n">
        <x:f>F195*Inputs!D13</x:f>
        <x:v>139091400.00000003</x:v>
      </x:c>
      <x:c r="H195" s="16" t="n">
        <x:f>D195*Inputs!D13*'Cohort factors'!E15*Inputs!$B$5/1000</x:f>
        <x:v>12195248.517901663</x:v>
      </x:c>
      <x:c r="I195" s="16" t="n">
        <x:f>H195*Inputs!$B$10</x:f>
        <x:v>3044816.9620657833</x:v>
      </x:c>
      <x:c r="J195" s="16" t="n">
        <x:f>D195*T195*Inputs!$B$8*U195*0</x:f>
        <x:v>0</x:v>
      </x:c>
      <x:c r="K195" s="16" t="n">
        <x:f>SUM(H195:J195)</x:f>
        <x:v>15240065.479967445</x:v>
      </x:c>
      <x:c r="L195" s="16" t="n">
        <x:f>H195-H194</x:f>
        <x:v>2413837.784997396</x:v>
      </x:c>
      <x:c r="M195" s="16" t="n">
        <x:f>K195-K194</x:f>
        <x:v>3016506.4571976047</x:v>
      </x:c>
      <x:c r="N195" s="16" t="n">
        <x:f>H195*44/12/1000000</x:f>
        <x:v>44.7159112323061</x:v>
      </x:c>
      <x:c r="O195" s="16" t="n">
        <x:f>K195*44/12/1000000</x:f>
        <x:v>55.88024009321397</x:v>
      </x:c>
      <x:c r="P195" s="16" t="n">
        <x:f>L195*44/12/1000000</x:f>
        <x:v>8.850738544990453</x:v>
      </x:c>
      <x:c r="Q195" s="16" t="n">
        <x:f>M195*44/12/1000000</x:f>
        <x:v>11.060523676391217</x:v>
      </x:c>
      <x:c r="R195" s="16" t="n">
        <x:f>(H195+I195)*44/12/1000000</x:f>
        <x:v>55.88024009321397</x:v>
      </x:c>
      <x:c r="S195" s="16" t="n">
        <x:f>R195-R194</x:f>
        <x:v>11.060523676391213</x:v>
      </x:c>
      <x:c r="T195" s="2" t="n">
        <x:f>Inputs!E13/Inputs!F13</x:f>
        <x:v>0.2</x:v>
      </x:c>
      <x:c r="U195" s="2" t="n">
        <x:f>'Cohort factors'!F15</x:f>
        <x:v>11</x:v>
      </x:c>
      <x:c r="V195" s="2" t="n">
        <x:f>D195*Inputs!D13*'Cohort factors'!G15*Inputs!$B$5/1000*44/12/1000000</x:f>
        <x:v>4.065082839300556</x:v>
      </x:c>
    </x:row>
    <x:row r="196" ht="22" customHeight="1">
      <x:c r="A196" s="2" t="str">
        <x:v>CR_FAST</x:v>
      </x:c>
      <x:c r="B196" s="2" t="str">
        <x:v>Permanent grassland</x:v>
      </x:c>
      <x:c r="C196" s="2" t="n">
        <x:v>2038</x:v>
      </x:c>
      <x:c r="D196" s="16" t="n">
        <x:f>Inputs!H13</x:f>
        <x:v>837900.0000000001</x:v>
      </x:c>
      <x:c r="E196" s="16" t="n">
        <x:f>D196*'Cohort factors'!C16</x:f>
        <x:v>0</x:v>
      </x:c>
      <x:c r="F196" s="16" t="n">
        <x:f>D196*'Cohort factors'!D16</x:f>
        <x:v>837900.0000000001</x:v>
      </x:c>
      <x:c r="G196" s="16" t="n">
        <x:f>F196*Inputs!D13</x:f>
        <x:v>139091400.00000003</x:v>
      </x:c>
      <x:c r="H196" s="16" t="n">
        <x:f>D196*Inputs!D13*'Cohort factors'!E16*Inputs!$B$5/1000</x:f>
        <x:v>14609086.302899063</x:v>
      </x:c>
      <x:c r="I196" s="16" t="n">
        <x:f>H196*Inputs!$B$10</x:f>
        <x:v>3647485.634265994</x:v>
      </x:c>
      <x:c r="J196" s="16" t="n">
        <x:f>D196*T196*Inputs!$B$8*U196*0</x:f>
        <x:v>0</x:v>
      </x:c>
      <x:c r="K196" s="16" t="n">
        <x:f>SUM(H196:J196)</x:f>
        <x:v>18256571.937165055</x:v>
      </x:c>
      <x:c r="L196" s="16" t="n">
        <x:f>H196-H195</x:f>
        <x:v>2413837.7849974</x:v>
      </x:c>
      <x:c r="M196" s="16" t="n">
        <x:f>K196-K195</x:f>
        <x:v>3016506.4571976103</x:v>
      </x:c>
      <x:c r="N196" s="16" t="n">
        <x:f>H196*44/12/1000000</x:f>
        <x:v>53.56664977729657</x:v>
      </x:c>
      <x:c r="O196" s="16" t="n">
        <x:f>K196*44/12/1000000</x:f>
        <x:v>66.9407637696052</x:v>
      </x:c>
      <x:c r="P196" s="16" t="n">
        <x:f>L196*44/12/1000000</x:f>
        <x:v>8.850738544990467</x:v>
      </x:c>
      <x:c r="Q196" s="16" t="n">
        <x:f>M196*44/12/1000000</x:f>
        <x:v>11.060523676391238</x:v>
      </x:c>
      <x:c r="R196" s="16" t="n">
        <x:f>(H196+I196)*44/12/1000000</x:f>
        <x:v>66.9407637696052</x:v>
      </x:c>
      <x:c r="S196" s="16" t="n">
        <x:f>R196-R195</x:f>
        <x:v>11.060523676391227</x:v>
      </x:c>
      <x:c r="T196" s="2" t="n">
        <x:f>Inputs!E13/Inputs!F13</x:f>
        <x:v>0.2</x:v>
      </x:c>
      <x:c r="U196" s="2" t="n">
        <x:f>'Cohort factors'!F16</x:f>
        <x:v>12</x:v>
      </x:c>
      <x:c r="V196" s="2" t="n">
        <x:f>D196*Inputs!D13*'Cohort factors'!G16*Inputs!$B$5/1000*44/12/1000000</x:f>
        <x:v>4.463887481441382</x:v>
      </x:c>
    </x:row>
    <x:row r="197" ht="22" customHeight="1">
      <x:c r="A197" s="2" t="str">
        <x:v>CR_FAST</x:v>
      </x:c>
      <x:c r="B197" s="2" t="str">
        <x:v>Permanent grassland</x:v>
      </x:c>
      <x:c r="C197" s="2" t="n">
        <x:v>2039</x:v>
      </x:c>
      <x:c r="D197" s="16" t="n">
        <x:f>Inputs!H13</x:f>
        <x:v>837900.0000000001</x:v>
      </x:c>
      <x:c r="E197" s="16" t="n">
        <x:f>D197*'Cohort factors'!C17</x:f>
        <x:v>0</x:v>
      </x:c>
      <x:c r="F197" s="16" t="n">
        <x:f>D197*'Cohort factors'!D17</x:f>
        <x:v>837900.0000000001</x:v>
      </x:c>
      <x:c r="G197" s="16" t="n">
        <x:f>F197*Inputs!D13</x:f>
        <x:v>139091400.00000003</x:v>
      </x:c>
      <x:c r="H197" s="16" t="n">
        <x:f>D197*Inputs!D13*'Cohort factors'!E17*Inputs!$B$5/1000</x:f>
        <x:v>17022924.08789646</x:v>
      </x:c>
      <x:c r="I197" s="16" t="n">
        <x:f>H197*Inputs!$B$10</x:f>
        <x:v>4250154.306466204</x:v>
      </x:c>
      <x:c r="J197" s="16" t="n">
        <x:f>D197*T197*Inputs!$B$8*U197*0</x:f>
        <x:v>0</x:v>
      </x:c>
      <x:c r="K197" s="16" t="n">
        <x:f>SUM(H197:J197)</x:f>
        <x:v>21273078.394362662</x:v>
      </x:c>
      <x:c r="L197" s="16" t="n">
        <x:f>H197-H196</x:f>
        <x:v>2413837.784997396</x:v>
      </x:c>
      <x:c r="M197" s="16" t="n">
        <x:f>K197-K196</x:f>
        <x:v>3016506.4571976066</x:v>
      </x:c>
      <x:c r="N197" s="16" t="n">
        <x:f>H197*44/12/1000000</x:f>
        <x:v>62.41738832228702</x:v>
      </x:c>
      <x:c r="O197" s="16" t="n">
        <x:f>K197*44/12/1000000</x:f>
        <x:v>78.00128744599643</x:v>
      </x:c>
      <x:c r="P197" s="16" t="n">
        <x:f>L197*44/12/1000000</x:f>
        <x:v>8.850738544990453</x:v>
      </x:c>
      <x:c r="Q197" s="16" t="n">
        <x:f>M197*44/12/1000000</x:f>
        <x:v>11.060523676391224</x:v>
      </x:c>
      <x:c r="R197" s="16" t="n">
        <x:f>(H197+I197)*44/12/1000000</x:f>
        <x:v>78.00128744599643</x:v>
      </x:c>
      <x:c r="S197" s="16" t="n">
        <x:f>R197-R196</x:f>
        <x:v>11.060523676391227</x:v>
      </x:c>
      <x:c r="T197" s="2" t="n">
        <x:f>Inputs!E13/Inputs!F13</x:f>
        <x:v>0.2</x:v>
      </x:c>
      <x:c r="U197" s="2" t="n">
        <x:f>'Cohort factors'!F17</x:f>
        <x:v>13</x:v>
      </x:c>
      <x:c r="V197" s="2" t="n">
        <x:f>D197*Inputs!D13*'Cohort factors'!G17*Inputs!$B$5/1000*44/12/1000000</x:f>
        <x:v>4.801337563252847</x:v>
      </x:c>
    </x:row>
    <x:row r="198" ht="22" customHeight="1">
      <x:c r="A198" s="2" t="str">
        <x:v>CR_FAST</x:v>
      </x:c>
      <x:c r="B198" s="2" t="str">
        <x:v>Permanent grassland</x:v>
      </x:c>
      <x:c r="C198" s="2" t="n">
        <x:v>2040</x:v>
      </x:c>
      <x:c r="D198" s="16" t="n">
        <x:f>Inputs!H13</x:f>
        <x:v>837900.0000000001</x:v>
      </x:c>
      <x:c r="E198" s="16" t="n">
        <x:f>D198*'Cohort factors'!C18</x:f>
        <x:v>0</x:v>
      </x:c>
      <x:c r="F198" s="16" t="n">
        <x:f>D198*'Cohort factors'!D18</x:f>
        <x:v>837900.0000000001</x:v>
      </x:c>
      <x:c r="G198" s="16" t="n">
        <x:f>F198*Inputs!D13</x:f>
        <x:v>139091400.00000003</x:v>
      </x:c>
      <x:c r="H198" s="16" t="n">
        <x:f>D198*Inputs!D13*'Cohort factors'!E18*Inputs!$B$5/1000</x:f>
        <x:v>18562458.85112939</x:v>
      </x:c>
      <x:c r="I198" s="16" t="n">
        <x:f>H198*Inputs!$B$10</x:f>
        <x:v>4634533.645181649</x:v>
      </x:c>
      <x:c r="J198" s="16" t="n">
        <x:f>D198*T198*Inputs!$B$8*U198*0</x:f>
        <x:v>0</x:v>
      </x:c>
      <x:c r="K198" s="16" t="n">
        <x:f>SUM(H198:J198)</x:f>
        <x:v>23196992.49631104</x:v>
      </x:c>
      <x:c r="L198" s="16" t="n">
        <x:f>H198-H197</x:f>
        <x:v>1539534.7632329315</x:v>
      </x:c>
      <x:c r="M198" s="16" t="n">
        <x:f>K198-K197</x:f>
        <x:v>1923914.1019483767</x:v>
      </x:c>
      <x:c r="N198" s="16" t="n">
        <x:f>H198*44/12/1000000</x:f>
        <x:v>68.06234912080777</x:v>
      </x:c>
      <x:c r="O198" s="16" t="n">
        <x:f>K198*44/12/1000000</x:f>
        <x:v>85.05563915314048</x:v>
      </x:c>
      <x:c r="P198" s="16" t="n">
        <x:f>L198*44/12/1000000</x:f>
        <x:v>5.644960798520748</x:v>
      </x:c>
      <x:c r="Q198" s="16" t="n">
        <x:f>M198*44/12/1000000</x:f>
        <x:v>7.054351707144048</x:v>
      </x:c>
      <x:c r="R198" s="16" t="n">
        <x:f>(H198+I198)*44/12/1000000</x:f>
        <x:v>85.05563915314048</x:v>
      </x:c>
      <x:c r="S198" s="16" t="n">
        <x:f>R198-R197</x:f>
        <x:v>7.0543517071440505</x:v>
      </x:c>
      <x:c r="T198" s="2" t="n">
        <x:f>Inputs!E13/Inputs!F13</x:f>
        <x:v>0.2</x:v>
      </x:c>
      <x:c r="U198" s="2" t="n">
        <x:f>'Cohort factors'!F18</x:f>
        <x:v>14</x:v>
      </x:c>
      <x:c r="V198" s="2" t="n">
        <x:f>D198*Inputs!D13*'Cohort factors'!G18*Inputs!$B$5/1000*44/12/1000000</x:f>
        <x:v>4.861596365771983</x:v>
      </x:c>
    </x:row>
    <x:row r="199" ht="22" customHeight="1">
      <x:c r="A199" s="2" t="str">
        <x:v>CR_FAST</x:v>
      </x:c>
      <x:c r="B199" s="2" t="str">
        <x:v>Permanent grassland</x:v>
      </x:c>
      <x:c r="C199" s="2" t="n">
        <x:v>2041</x:v>
      </x:c>
      <x:c r="D199" s="16" t="n">
        <x:f>Inputs!H13</x:f>
        <x:v>837900.0000000001</x:v>
      </x:c>
      <x:c r="E199" s="16" t="n">
        <x:f>D199*'Cohort factors'!C19</x:f>
        <x:v>0</x:v>
      </x:c>
      <x:c r="F199" s="16" t="n">
        <x:f>D199*'Cohort factors'!D19</x:f>
        <x:v>837900.0000000001</x:v>
      </x:c>
      <x:c r="G199" s="16" t="n">
        <x:f>F199*Inputs!D13</x:f>
        <x:v>139091400.00000003</x:v>
      </x:c>
      <x:c r="H199" s="16" t="n">
        <x:f>D199*Inputs!D13*'Cohort factors'!E19*Inputs!$B$5/1000</x:f>
        <x:v>21024626.65070277</x:v>
      </x:c>
      <x:c r="I199" s="16" t="n">
        <x:f>H199*Inputs!$B$10</x:f>
        <x:v>5249268.988097248</x:v>
      </x:c>
      <x:c r="J199" s="16" t="n">
        <x:f>D199*T199*Inputs!$B$8*U199*0</x:f>
        <x:v>0</x:v>
      </x:c>
      <x:c r="K199" s="16" t="n">
        <x:f>SUM(H199:J199)</x:f>
        <x:v>26273895.638800018</x:v>
      </x:c>
      <x:c r="L199" s="16" t="n">
        <x:f>H199-H198</x:f>
        <x:v>2462167.7995733805</x:v>
      </x:c>
      <x:c r="M199" s="16" t="n">
        <x:f>K199-K198</x:f>
        <x:v>3076903.142488979</x:v>
      </x:c>
      <x:c r="N199" s="16" t="n">
        <x:f>H199*44/12/1000000</x:f>
        <x:v>77.0902977192435</x:v>
      </x:c>
      <x:c r="O199" s="16" t="n">
        <x:f>K199*44/12/1000000</x:f>
        <x:v>96.33761734226674</x:v>
      </x:c>
      <x:c r="P199" s="16" t="n">
        <x:f>L199*44/12/1000000</x:f>
        <x:v>9.027948598435728</x:v>
      </x:c>
      <x:c r="Q199" s="16" t="n">
        <x:f>M199*44/12/1000000</x:f>
        <x:v>11.281978189126255</x:v>
      </x:c>
      <x:c r="R199" s="16" t="n">
        <x:f>(H199+I199)*44/12/1000000</x:f>
        <x:v>96.33761734226674</x:v>
      </x:c>
      <x:c r="S199" s="16" t="n">
        <x:f>R199-R198</x:f>
        <x:v>11.281978189126264</x:v>
      </x:c>
      <x:c r="T199" s="2" t="n">
        <x:f>Inputs!E13/Inputs!F13</x:f>
        <x:v>0.2</x:v>
      </x:c>
      <x:c r="U199" s="2" t="n">
        <x:f>'Cohort factors'!F19</x:f>
        <x:v>15</x:v>
      </x:c>
      <x:c r="V199" s="2" t="n">
        <x:f>D199*Inputs!D13*'Cohort factors'!G19*Inputs!$B$5/1000*44/12/1000000</x:f>
        <x:v>5.1393531812829005</x:v>
      </x:c>
    </x:row>
    <x:row r="200" ht="22" customHeight="1">
      <x:c r="A200" s="2" t="str">
        <x:v>CR_FAST</x:v>
      </x:c>
      <x:c r="B200" s="2" t="str">
        <x:v>Permanent grassland</x:v>
      </x:c>
      <x:c r="C200" s="2" t="n">
        <x:v>2042</x:v>
      </x:c>
      <x:c r="D200" s="16" t="n">
        <x:f>Inputs!H13</x:f>
        <x:v>837900.0000000001</x:v>
      </x:c>
      <x:c r="E200" s="16" t="n">
        <x:f>D200*'Cohort factors'!C20</x:f>
        <x:v>0</x:v>
      </x:c>
      <x:c r="F200" s="16" t="n">
        <x:f>D200*'Cohort factors'!D20</x:f>
        <x:v>837900.0000000001</x:v>
      </x:c>
      <x:c r="G200" s="16" t="n">
        <x:f>F200*Inputs!D13</x:f>
        <x:v>139091400.00000003</x:v>
      </x:c>
      <x:c r="H200" s="16" t="n">
        <x:f>D200*Inputs!D13*'Cohort factors'!E20*Inputs!$B$5/1000</x:f>
        <x:v>23694011.935229316</x:v>
      </x:c>
      <x:c r="I200" s="16" t="n">
        <x:f>H200*Inputs!$B$10</x:f>
        <x:v>5915740.817735181</x:v>
      </x:c>
      <x:c r="J200" s="16" t="n">
        <x:f>D200*T200*Inputs!$B$8*U200*0</x:f>
        <x:v>0</x:v>
      </x:c>
      <x:c r="K200" s="16" t="n">
        <x:f>SUM(H200:J200)</x:f>
        <x:v>29609752.752964497</x:v>
      </x:c>
      <x:c r="L200" s="16" t="n">
        <x:f>H200-H199</x:f>
        <x:v>2669385.2845265456</x:v>
      </x:c>
      <x:c r="M200" s="16" t="n">
        <x:f>K200-K199</x:f>
        <x:v>3335857.114164479</x:v>
      </x:c>
      <x:c r="N200" s="16" t="n">
        <x:f>H200*44/12/1000000</x:f>
        <x:v>86.8780437625075</x:v>
      </x:c>
      <x:c r="O200" s="16" t="n">
        <x:f>K200*44/12/1000000</x:f>
        <x:v>108.56909342753649</x:v>
      </x:c>
      <x:c r="P200" s="16" t="n">
        <x:f>L200*44/12/1000000</x:f>
        <x:v>9.787746043263999</x:v>
      </x:c>
      <x:c r="Q200" s="16" t="n">
        <x:f>M200*44/12/1000000</x:f>
        <x:v>12.231476085269756</x:v>
      </x:c>
      <x:c r="R200" s="16" t="n">
        <x:f>(H200+I200)*44/12/1000000</x:f>
        <x:v>108.56909342753649</x:v>
      </x:c>
      <x:c r="S200" s="16" t="n">
        <x:f>R200-R199</x:f>
        <x:v>12.231476085269748</x:v>
      </x:c>
      <x:c r="T200" s="2" t="n">
        <x:f>Inputs!E13/Inputs!F13</x:f>
        <x:v>0.2</x:v>
      </x:c>
      <x:c r="U200" s="2" t="n">
        <x:f>'Cohort factors'!F20</x:f>
        <x:v>16</x:v>
      </x:c>
      <x:c r="V200" s="2" t="n">
        <x:f>D200*Inputs!D13*'Cohort factors'!G20*Inputs!$B$5/1000*44/12/1000000</x:f>
        <x:v>5.429877735156719</x:v>
      </x:c>
    </x:row>
    <x:row r="201" ht="22" customHeight="1">
      <x:c r="A201" s="2" t="str">
        <x:v>CR_FAST</x:v>
      </x:c>
      <x:c r="B201" s="2" t="str">
        <x:v>Permanent grassland</x:v>
      </x:c>
      <x:c r="C201" s="2" t="n">
        <x:v>2043</x:v>
      </x:c>
      <x:c r="D201" s="16" t="n">
        <x:f>Inputs!H13</x:f>
        <x:v>837900.0000000001</x:v>
      </x:c>
      <x:c r="E201" s="16" t="n">
        <x:f>D201*'Cohort factors'!C21</x:f>
        <x:v>0</x:v>
      </x:c>
      <x:c r="F201" s="16" t="n">
        <x:f>D201*'Cohort factors'!D21</x:f>
        <x:v>837900.0000000001</x:v>
      </x:c>
      <x:c r="G201" s="16" t="n">
        <x:f>F201*Inputs!D13</x:f>
        <x:v>139091400.00000003</x:v>
      </x:c>
      <x:c r="H201" s="16" t="n">
        <x:f>D201*Inputs!D13*'Cohort factors'!E21*Inputs!$B$5/1000</x:f>
        <x:v>26181971.341831546</x:v>
      </x:c>
      <x:c r="I201" s="16" t="n">
        <x:f>H201*Inputs!$B$10</x:f>
        <x:v>6536915.61306908</x:v>
      </x:c>
      <x:c r="J201" s="16" t="n">
        <x:f>D201*T201*Inputs!$B$8*U201*0</x:f>
        <x:v>0</x:v>
      </x:c>
      <x:c r="K201" s="16" t="n">
        <x:f>SUM(H201:J201)</x:f>
        <x:v>32718886.954900626</x:v>
      </x:c>
      <x:c r="L201" s="16" t="n">
        <x:f>H201-H200</x:f>
        <x:v>2487959.40660223</x:v>
      </x:c>
      <x:c r="M201" s="16" t="n">
        <x:f>K201-K200</x:f>
        <x:v>3109134.2019361295</x:v>
      </x:c>
      <x:c r="N201" s="16" t="n">
        <x:f>H201*44/12/1000000</x:f>
        <x:v>96.00056158671568</x:v>
      </x:c>
      <x:c r="O201" s="16" t="n">
        <x:f>K201*44/12/1000000</x:f>
        <x:v>119.96925216796897</x:v>
      </x:c>
      <x:c r="P201" s="16" t="n">
        <x:f>L201*44/12/1000000</x:f>
        <x:v>9.122517824208176</x:v>
      </x:c>
      <x:c r="Q201" s="16" t="n">
        <x:f>M201*44/12/1000000</x:f>
        <x:v>11.400158740432477</x:v>
      </x:c>
      <x:c r="R201" s="16" t="n">
        <x:f>(H201+I201)*44/12/1000000</x:f>
        <x:v>119.96925216796897</x:v>
      </x:c>
      <x:c r="S201" s="16" t="n">
        <x:f>R201-R200</x:f>
        <x:v>11.400158740432488</x:v>
      </x:c>
      <x:c r="T201" s="2" t="n">
        <x:f>Inputs!E13/Inputs!F13</x:f>
        <x:v>0.2</x:v>
      </x:c>
      <x:c r="U201" s="2" t="n">
        <x:f>'Cohort factors'!F21</x:f>
        <x:v>17</x:v>
      </x:c>
      <x:c r="V201" s="2" t="n">
        <x:f>D201*Inputs!D13*'Cohort factors'!G21*Inputs!$B$5/1000*44/12/1000000</x:f>
        <x:v>5.647091858042098</x:v>
      </x:c>
    </x:row>
    <x:row r="202" ht="22" customHeight="1">
      <x:c r="A202" s="2" t="str">
        <x:v>CR_FAST</x:v>
      </x:c>
      <x:c r="B202" s="2" t="str">
        <x:v>Permanent grassland</x:v>
      </x:c>
      <x:c r="C202" s="2" t="n">
        <x:v>2044</x:v>
      </x:c>
      <x:c r="D202" s="16" t="n">
        <x:f>Inputs!H13</x:f>
        <x:v>837900.0000000001</x:v>
      </x:c>
      <x:c r="E202" s="16" t="n">
        <x:f>D202*'Cohort factors'!C22</x:f>
        <x:v>0</x:v>
      </x:c>
      <x:c r="F202" s="16" t="n">
        <x:f>D202*'Cohort factors'!D22</x:f>
        <x:v>837900.0000000001</x:v>
      </x:c>
      <x:c r="G202" s="16" t="n">
        <x:f>F202*Inputs!D13</x:f>
        <x:v>139091400.00000003</x:v>
      </x:c>
      <x:c r="H202" s="16" t="n">
        <x:f>D202*Inputs!D13*'Cohort factors'!E22*Inputs!$B$5/1000</x:f>
        <x:v>28914458.129068505</x:v>
      </x:c>
      <x:c r="I202" s="16" t="n">
        <x:f>H202*Inputs!$B$10</x:f>
        <x:v>7219142.146311657</x:v>
      </x:c>
      <x:c r="J202" s="16" t="n">
        <x:f>D202*T202*Inputs!$B$8*U202*0</x:f>
        <x:v>0</x:v>
      </x:c>
      <x:c r="K202" s="16" t="n">
        <x:f>SUM(H202:J202)</x:f>
        <x:v>36133600.275380164</x:v>
      </x:c>
      <x:c r="L202" s="16" t="n">
        <x:f>H202-H201</x:f>
        <x:v>2732486.7872369587</x:v>
      </x:c>
      <x:c r="M202" s="16" t="n">
        <x:f>K202-K201</x:f>
        <x:v>3414713.3204795383</x:v>
      </x:c>
      <x:c r="N202" s="16" t="n">
        <x:f>H202*44/12/1000000</x:f>
        <x:v>106.01967980658452</x:v>
      </x:c>
      <x:c r="O202" s="16" t="n">
        <x:f>K202*44/12/1000000</x:f>
        <x:v>132.48986767639394</x:v>
      </x:c>
      <x:c r="P202" s="16" t="n">
        <x:f>L202*44/12/1000000</x:f>
        <x:v>10.019118219868847</x:v>
      </x:c>
      <x:c r="Q202" s="16" t="n">
        <x:f>M202*44/12/1000000</x:f>
        <x:v>12.520615508424973</x:v>
      </x:c>
      <x:c r="R202" s="16" t="n">
        <x:f>(H202+I202)*44/12/1000000</x:f>
        <x:v>132.48986767639394</x:v>
      </x:c>
      <x:c r="S202" s="16" t="n">
        <x:f>R202-R201</x:f>
        <x:v>12.520615508424967</x:v>
      </x:c>
      <x:c r="T202" s="2" t="n">
        <x:f>Inputs!E13/Inputs!F13</x:f>
        <x:v>0.2</x:v>
      </x:c>
      <x:c r="U202" s="2" t="n">
        <x:f>'Cohort factors'!F22</x:f>
        <x:v>18</x:v>
      </x:c>
      <x:c r="V202" s="2" t="n">
        <x:f>D202*Inputs!D13*'Cohort factors'!G22*Inputs!$B$5/1000*44/12/1000000</x:f>
        <x:v>5.889982211476918</x:v>
      </x:c>
    </x:row>
    <x:row r="203" ht="22" customHeight="1">
      <x:c r="A203" s="2" t="str">
        <x:v>CR_FAST</x:v>
      </x:c>
      <x:c r="B203" s="2" t="str">
        <x:v>Permanent grassland</x:v>
      </x:c>
      <x:c r="C203" s="2" t="n">
        <x:v>2045</x:v>
      </x:c>
      <x:c r="D203" s="16" t="n">
        <x:f>Inputs!H13</x:f>
        <x:v>837900.0000000001</x:v>
      </x:c>
      <x:c r="E203" s="16" t="n">
        <x:f>D203*'Cohort factors'!C23</x:f>
        <x:v>0</x:v>
      </x:c>
      <x:c r="F203" s="16" t="n">
        <x:f>D203*'Cohort factors'!D23</x:f>
        <x:v>837900.0000000001</x:v>
      </x:c>
      <x:c r="G203" s="16" t="n">
        <x:f>F203*Inputs!D13</x:f>
        <x:v>139091400.00000003</x:v>
      </x:c>
      <x:c r="H203" s="16" t="n">
        <x:f>D203*Inputs!D13*'Cohort factors'!E23*Inputs!$B$5/1000</x:f>
        <x:v>30852448.689811073</x:v>
      </x:c>
      <x:c r="I203" s="16" t="n">
        <x:f>H203*Inputs!$B$10</x:f>
        <x:v>7703004.900154714</x:v>
      </x:c>
      <x:c r="J203" s="16" t="n">
        <x:f>D203*T203*Inputs!$B$8*U203*0</x:f>
        <x:v>0</x:v>
      </x:c>
      <x:c r="K203" s="16" t="n">
        <x:f>SUM(H203:J203)</x:f>
        <x:v>38555453.58996579</x:v>
      </x:c>
      <x:c r="L203" s="16" t="n">
        <x:f>H203-H202</x:f>
        <x:v>1937990.5607425682</x:v>
      </x:c>
      <x:c r="M203" s="16" t="n">
        <x:f>K203-K202</x:f>
        <x:v>2421853.314585626</x:v>
      </x:c>
      <x:c r="N203" s="16" t="n">
        <x:f>H203*44/12/1000000</x:f>
        <x:v>113.12564519597393</x:v>
      </x:c>
      <x:c r="O203" s="16" t="n">
        <x:f>K203*44/12/1000000</x:f>
        <x:v>141.36999649654123</x:v>
      </x:c>
      <x:c r="P203" s="16" t="n">
        <x:f>L203*44/12/1000000</x:f>
        <x:v>7.105965389389417</x:v>
      </x:c>
      <x:c r="Q203" s="16" t="n">
        <x:f>M203*44/12/1000000</x:f>
        <x:v>8.880128820147297</x:v>
      </x:c>
      <x:c r="R203" s="16" t="n">
        <x:f>(H203+I203)*44/12/1000000</x:f>
        <x:v>141.36999649654123</x:v>
      </x:c>
      <x:c r="S203" s="16" t="n">
        <x:f>R203-R202</x:f>
        <x:v>8.880128820147291</x:v>
      </x:c>
      <x:c r="T203" s="2" t="n">
        <x:f>Inputs!E13/Inputs!F13</x:f>
        <x:v>0.2</x:v>
      </x:c>
      <x:c r="U203" s="2" t="n">
        <x:f>'Cohort factors'!F23</x:f>
        <x:v>19</x:v>
      </x:c>
      <x:c r="V203" s="2" t="n">
        <x:f>D203*Inputs!D13*'Cohort factors'!G23*Inputs!$B$5/1000*44/12/1000000</x:f>
        <x:v>5.953981326103891</x:v>
      </x:c>
    </x:row>
    <x:row r="204" ht="22" customHeight="1">
      <x:c r="A204" s="2" t="str">
        <x:v>CR_FAST</x:v>
      </x:c>
      <x:c r="B204" s="2" t="str">
        <x:v>Permanent grassland</x:v>
      </x:c>
      <x:c r="C204" s="2" t="n">
        <x:v>2046</x:v>
      </x:c>
      <x:c r="D204" s="16" t="n">
        <x:f>Inputs!H13</x:f>
        <x:v>837900.0000000001</x:v>
      </x:c>
      <x:c r="E204" s="16" t="n">
        <x:f>D204*'Cohort factors'!C24</x:f>
        <x:v>0</x:v>
      </x:c>
      <x:c r="F204" s="16" t="n">
        <x:f>D204*'Cohort factors'!D24</x:f>
        <x:v>837900.0000000001</x:v>
      </x:c>
      <x:c r="G204" s="16" t="n">
        <x:f>F204*Inputs!D13</x:f>
        <x:v>139091400.00000003</x:v>
      </x:c>
      <x:c r="H204" s="16" t="n">
        <x:f>D204*Inputs!D13*'Cohort factors'!E24*Inputs!$B$5/1000</x:f>
        <x:v>31993491.42500646</x:v>
      </x:c>
      <x:c r="I204" s="16" t="n">
        <x:f>H204*Inputs!$B$10</x:f>
        <x:v>7987891.777979705</x:v>
      </x:c>
      <x:c r="J204" s="16" t="n">
        <x:f>D204*T204*Inputs!$B$8*U204*0</x:f>
        <x:v>0</x:v>
      </x:c>
      <x:c r="K204" s="16" t="n">
        <x:f>SUM(H204:J204)</x:f>
        <x:v>39981383.202986166</x:v>
      </x:c>
      <x:c r="L204" s="16" t="n">
        <x:f>H204-H203</x:f>
        <x:v>1141042.7351953872</x:v>
      </x:c>
      <x:c r="M204" s="16" t="n">
        <x:f>K204-K203</x:f>
        <x:v>1425929.6130203754</x:v>
      </x:c>
      <x:c r="N204" s="16" t="n">
        <x:f>H204*44/12/1000000</x:f>
        <x:v>117.30946855835701</x:v>
      </x:c>
      <x:c r="O204" s="16" t="n">
        <x:f>K204*44/12/1000000</x:f>
        <x:v>146.59840507761595</x:v>
      </x:c>
      <x:c r="P204" s="16" t="n">
        <x:f>L204*44/12/1000000</x:f>
        <x:v>4.1838233623830865</x:v>
      </x:c>
      <x:c r="Q204" s="16" t="n">
        <x:f>M204*44/12/1000000</x:f>
        <x:v>5.22840858107471</x:v>
      </x:c>
      <x:c r="R204" s="16" t="n">
        <x:f>(H204+I204)*44/12/1000000</x:f>
        <x:v>146.59840507761595</x:v>
      </x:c>
      <x:c r="S204" s="16" t="n">
        <x:f>R204-R203</x:f>
        <x:v>5.228408581074717</x:v>
      </x:c>
      <x:c r="T204" s="2" t="n">
        <x:f>Inputs!E13/Inputs!F13</x:f>
        <x:v>0.2</x:v>
      </x:c>
      <x:c r="U204" s="2" t="n">
        <x:f>'Cohort factors'!F24</x:f>
        <x:v>20</x:v>
      </x:c>
      <x:c r="V204" s="2" t="n">
        <x:f>D204*Inputs!D13*'Cohort factors'!G24*Inputs!$B$5/1000*44/12/1000000</x:f>
        <x:v>5.865473427917852</x:v>
      </x:c>
    </x:row>
    <x:row r="205" ht="22" customHeight="1">
      <x:c r="A205" s="2" t="str">
        <x:v>CR_FAST</x:v>
      </x:c>
      <x:c r="B205" s="2" t="str">
        <x:v>Permanent grassland</x:v>
      </x:c>
      <x:c r="C205" s="2" t="n">
        <x:v>2047</x:v>
      </x:c>
      <x:c r="D205" s="16" t="n">
        <x:f>Inputs!H13</x:f>
        <x:v>837900.0000000001</x:v>
      </x:c>
      <x:c r="E205" s="16" t="n">
        <x:f>D205*'Cohort factors'!C25</x:f>
        <x:v>0</x:v>
      </x:c>
      <x:c r="F205" s="16" t="n">
        <x:f>D205*'Cohort factors'!D25</x:f>
        <x:v>837900.0000000001</x:v>
      </x:c>
      <x:c r="G205" s="16" t="n">
        <x:f>F205*Inputs!D13</x:f>
        <x:v>139091400.00000003</x:v>
      </x:c>
      <x:c r="H205" s="16" t="n">
        <x:f>D205*Inputs!D13*'Cohort factors'!E25*Inputs!$B$5/1000</x:f>
        <x:v>33833833.16510734</x:v>
      </x:c>
      <x:c r="I205" s="16" t="n">
        <x:f>H205*Inputs!$B$10</x:f>
        <x:v>8447374.31644797</x:v>
      </x:c>
      <x:c r="J205" s="16" t="n">
        <x:f>D205*T205*Inputs!$B$8*U205*0</x:f>
        <x:v>0</x:v>
      </x:c>
      <x:c r="K205" s="16" t="n">
        <x:f>SUM(H205:J205)</x:f>
        <x:v>42281207.48155531</x:v>
      </x:c>
      <x:c r="L205" s="16" t="n">
        <x:f>H205-H204</x:f>
        <x:v>1840341.7401008792</x:v>
      </x:c>
      <x:c r="M205" s="16" t="n">
        <x:f>K205-K204</x:f>
        <x:v>2299824.278569147</x:v>
      </x:c>
      <x:c r="N205" s="16" t="n">
        <x:f>H205*44/12/1000000</x:f>
        <x:v>124.05738827206024</x:v>
      </x:c>
      <x:c r="O205" s="16" t="n">
        <x:f>K205*44/12/1000000</x:f>
        <x:v>155.03109409903612</x:v>
      </x:c>
      <x:c r="P205" s="16" t="n">
        <x:f>L205*44/12/1000000</x:f>
        <x:v>6.747919713703223</x:v>
      </x:c>
      <x:c r="Q205" s="16" t="n">
        <x:f>M205*44/12/1000000</x:f>
        <x:v>8.432689021420204</x:v>
      </x:c>
      <x:c r="R205" s="16" t="n">
        <x:f>(H205+I205)*44/12/1000000</x:f>
        <x:v>155.03109409903612</x:v>
      </x:c>
      <x:c r="S205" s="16" t="n">
        <x:f>R205-R204</x:f>
        <x:v>8.432689021420174</x:v>
      </x:c>
      <x:c r="T205" s="2" t="n">
        <x:f>Inputs!E13/Inputs!F13</x:f>
        <x:v>0.2</x:v>
      </x:c>
      <x:c r="U205" s="2" t="n">
        <x:f>'Cohort factors'!F25</x:f>
        <x:v>21</x:v>
      </x:c>
      <x:c r="V205" s="2" t="n">
        <x:f>D205*Inputs!D13*'Cohort factors'!G25*Inputs!$B$5/1000*44/12/1000000</x:f>
        <x:v>5.907494679621916</x:v>
      </x:c>
    </x:row>
    <x:row r="206" ht="22" customHeight="1">
      <x:c r="A206" s="2" t="str">
        <x:v>CR_FAST</x:v>
      </x:c>
      <x:c r="B206" s="2" t="str">
        <x:v>Permanent grassland</x:v>
      </x:c>
      <x:c r="C206" s="2" t="n">
        <x:v>2048</x:v>
      </x:c>
      <x:c r="D206" s="16" t="n">
        <x:f>Inputs!H13</x:f>
        <x:v>837900.0000000001</x:v>
      </x:c>
      <x:c r="E206" s="16" t="n">
        <x:f>D206*'Cohort factors'!C26</x:f>
        <x:v>0</x:v>
      </x:c>
      <x:c r="F206" s="16" t="n">
        <x:f>D206*'Cohort factors'!D26</x:f>
        <x:v>837900.0000000001</x:v>
      </x:c>
      <x:c r="G206" s="16" t="n">
        <x:f>F206*Inputs!D13</x:f>
        <x:v>139091400.00000003</x:v>
      </x:c>
      <x:c r="H206" s="16" t="n">
        <x:f>D206*Inputs!D13*'Cohort factors'!E26*Inputs!$B$5/1000</x:f>
        <x:v>35901021.78824143</x:v>
      </x:c>
      <x:c r="I206" s="16" t="n">
        <x:f>H206*Inputs!$B$10</x:f>
        <x:v>8963494.260561343</x:v>
      </x:c>
      <x:c r="J206" s="16" t="n">
        <x:f>D206*T206*Inputs!$B$8*U206*0</x:f>
        <x:v>0</x:v>
      </x:c>
      <x:c r="K206" s="16" t="n">
        <x:f>SUM(H206:J206)</x:f>
        <x:v>44864516.04880278</x:v>
      </x:c>
      <x:c r="L206" s="16" t="n">
        <x:f>H206-H205</x:f>
        <x:v>2067188.6231340915</x:v>
      </x:c>
      <x:c r="M206" s="16" t="n">
        <x:f>K206-K205</x:f>
        <x:v>2583308.5672474653</x:v>
      </x:c>
      <x:c r="N206" s="16" t="n">
        <x:f>H206*44/12/1000000</x:f>
        <x:v>131.63707989021856</x:v>
      </x:c>
      <x:c r="O206" s="16" t="n">
        <x:f>K206*44/12/1000000</x:f>
        <x:v>164.50322551227686</x:v>
      </x:c>
      <x:c r="P206" s="16" t="n">
        <x:f>L206*44/12/1000000</x:f>
        <x:v>7.579691618158336</x:v>
      </x:c>
      <x:c r="Q206" s="16" t="n">
        <x:f>M206*44/12/1000000</x:f>
        <x:v>9.472131413240707</x:v>
      </x:c>
      <x:c r="R206" s="16" t="n">
        <x:f>(H206+I206)*44/12/1000000</x:f>
        <x:v>164.50322551227686</x:v>
      </x:c>
      <x:c r="S206" s="16" t="n">
        <x:f>R206-R205</x:f>
        <x:v>9.472131413240731</x:v>
      </x:c>
      <x:c r="T206" s="2" t="n">
        <x:f>Inputs!E13/Inputs!F13</x:f>
        <x:v>0.2</x:v>
      </x:c>
      <x:c r="U206" s="2" t="n">
        <x:f>'Cohort factors'!F26</x:f>
        <x:v>22</x:v>
      </x:c>
      <x:c r="V206" s="2" t="n">
        <x:f>D206*Inputs!D13*'Cohort factors'!G26*Inputs!$B$5/1000*44/12/1000000</x:f>
        <x:v>5.983503631373572</x:v>
      </x:c>
    </x:row>
    <x:row r="207" ht="22" customHeight="1">
      <x:c r="A207" s="2" t="str">
        <x:v>CR_FAST</x:v>
      </x:c>
      <x:c r="B207" s="2" t="str">
        <x:v>Permanent grassland</x:v>
      </x:c>
      <x:c r="C207" s="2" t="n">
        <x:v>2049</x:v>
      </x:c>
      <x:c r="D207" s="16" t="n">
        <x:f>Inputs!H13</x:f>
        <x:v>837900.0000000001</x:v>
      </x:c>
      <x:c r="E207" s="16" t="n">
        <x:f>D207*'Cohort factors'!C27</x:f>
        <x:v>0</x:v>
      </x:c>
      <x:c r="F207" s="16" t="n">
        <x:f>D207*'Cohort factors'!D27</x:f>
        <x:v>837900.0000000001</x:v>
      </x:c>
      <x:c r="G207" s="16" t="n">
        <x:f>F207*Inputs!D13</x:f>
        <x:v>139091400.00000003</x:v>
      </x:c>
      <x:c r="H207" s="16" t="n">
        <x:f>D207*Inputs!D13*'Cohort factors'!E27*Inputs!$B$5/1000</x:f>
        <x:v>38140948.51063732</x:v>
      </x:c>
      <x:c r="I207" s="16" t="n">
        <x:f>H207*Inputs!$B$10</x:f>
        <x:v>9522742.140432257</x:v>
      </x:c>
      <x:c r="J207" s="16" t="n">
        <x:f>D207*T207*Inputs!$B$8*U207*0</x:f>
        <x:v>0</x:v>
      </x:c>
      <x:c r="K207" s="16" t="n">
        <x:f>SUM(H207:J207)</x:f>
        <x:v>47663690.65106958</x:v>
      </x:c>
      <x:c r="L207" s="16" t="n">
        <x:f>H207-H206</x:f>
        <x:v>2239926.7223958895</x:v>
      </x:c>
      <x:c r="M207" s="16" t="n">
        <x:f>K207-K206</x:f>
        <x:v>2799174.6022668034</x:v>
      </x:c>
      <x:c r="N207" s="16" t="n">
        <x:f>H207*44/12/1000000</x:f>
        <x:v>139.8501445390035</x:v>
      </x:c>
      <x:c r="O207" s="16" t="n">
        <x:f>K207*44/12/1000000</x:f>
        <x:v>174.76686572058847</x:v>
      </x:c>
      <x:c r="P207" s="16" t="n">
        <x:f>L207*44/12/1000000</x:f>
        <x:v>8.213064648784927</x:v>
      </x:c>
      <x:c r="Q207" s="16" t="n">
        <x:f>M207*44/12/1000000</x:f>
        <x:v>10.263640208311612</x:v>
      </x:c>
      <x:c r="R207" s="16" t="n">
        <x:f>(H207+I207)*44/12/1000000</x:f>
        <x:v>174.76686572058847</x:v>
      </x:c>
      <x:c r="S207" s="16" t="n">
        <x:f>R207-R206</x:f>
        <x:v>10.263640208311614</x:v>
      </x:c>
      <x:c r="T207" s="2" t="n">
        <x:f>Inputs!E13/Inputs!F13</x:f>
        <x:v>0.2</x:v>
      </x:c>
      <x:c r="U207" s="2" t="n">
        <x:f>'Cohort factors'!F27</x:f>
        <x:v>23</x:v>
      </x:c>
      <x:c r="V207" s="2" t="n">
        <x:f>D207*Inputs!D13*'Cohort factors'!G27*Inputs!$B$5/1000*44/12/1000000</x:f>
        <x:v>6.080441066913196</x:v>
      </x:c>
    </x:row>
    <x:row r="208" ht="22" customHeight="1">
      <x:c r="A208" s="2" t="str">
        <x:v>CR_FAST</x:v>
      </x:c>
      <x:c r="B208" s="2" t="str">
        <x:v>Permanent grassland</x:v>
      </x:c>
      <x:c r="C208" s="2" t="n">
        <x:v>2050</x:v>
      </x:c>
      <x:c r="D208" s="16" t="n">
        <x:f>Inputs!H13</x:f>
        <x:v>837900.0000000001</x:v>
      </x:c>
      <x:c r="E208" s="16" t="n">
        <x:f>D208*'Cohort factors'!C28</x:f>
        <x:v>0</x:v>
      </x:c>
      <x:c r="F208" s="16" t="n">
        <x:f>D208*'Cohort factors'!D28</x:f>
        <x:v>837900.0000000001</x:v>
      </x:c>
      <x:c r="G208" s="16" t="n">
        <x:f>F208*Inputs!D13</x:f>
        <x:v>139091400.00000003</x:v>
      </x:c>
      <x:c r="H208" s="16" t="n">
        <x:f>D208*Inputs!D13*'Cohort factors'!E28*Inputs!$B$5/1000</x:f>
        <x:v>39996805.974299304</x:v>
      </x:c>
      <x:c r="I208" s="16" t="n">
        <x:f>H208*Inputs!$B$10</x:f>
        <x:v>9986098.526834678</x:v>
      </x:c>
      <x:c r="J208" s="16" t="n">
        <x:f>D208*T208*Inputs!$B$8*U208*0</x:f>
        <x:v>0</x:v>
      </x:c>
      <x:c r="K208" s="16" t="n">
        <x:f>SUM(H208:J208)</x:f>
        <x:v>49982904.50113398</x:v>
      </x:c>
      <x:c r="L208" s="16" t="n">
        <x:f>H208-H207</x:f>
        <x:v>1855857.4636619836</x:v>
      </x:c>
      <x:c r="M208" s="16" t="n">
        <x:f>K208-K207</x:f>
        <x:v>2319213.850064397</x:v>
      </x:c>
      <x:c r="N208" s="16" t="n">
        <x:f>H208*44/12/1000000</x:f>
        <x:v>146.65495523909743</x:v>
      </x:c>
      <x:c r="O208" s="16" t="n">
        <x:f>K208*44/12/1000000</x:f>
        <x:v>183.27064983749128</x:v>
      </x:c>
      <x:c r="P208" s="16" t="n">
        <x:f>L208*44/12/1000000</x:f>
        <x:v>6.80481070009394</x:v>
      </x:c>
      <x:c r="Q208" s="16" t="n">
        <x:f>M208*44/12/1000000</x:f>
        <x:v>8.50378411690279</x:v>
      </x:c>
      <x:c r="R208" s="16" t="n">
        <x:f>(H208+I208)*44/12/1000000</x:f>
        <x:v>183.27064983749128</x:v>
      </x:c>
      <x:c r="S208" s="16" t="n">
        <x:f>R208-R207</x:f>
        <x:v>8.503784116902807</x:v>
      </x:c>
      <x:c r="T208" s="2" t="n">
        <x:f>Inputs!E13/Inputs!F13</x:f>
        <x:v>0.2</x:v>
      </x:c>
      <x:c r="U208" s="2" t="n">
        <x:f>'Cohort factors'!F28</x:f>
        <x:v>24</x:v>
      </x:c>
      <x:c r="V208" s="2" t="n">
        <x:f>D208*Inputs!D13*'Cohort factors'!G28*Inputs!$B$5/1000*44/12/1000000</x:f>
        <x:v>6.110623134962392</x:v>
      </x:c>
    </x:row>
    <x:row r="209" ht="22" customHeight="1">
      <x:c r="A209" s="2" t="str">
        <x:v>CR_FAST</x:v>
      </x:c>
      <x:c r="B209" s="2" t="str">
        <x:v>Permanent grassland</x:v>
      </x:c>
      <x:c r="C209" s="2" t="n">
        <x:v>2051</x:v>
      </x:c>
      <x:c r="D209" s="16" t="n">
        <x:f>Inputs!H13</x:f>
        <x:v>837900.0000000001</x:v>
      </x:c>
      <x:c r="E209" s="16" t="n">
        <x:f>D209*'Cohort factors'!C29</x:f>
        <x:v>0</x:v>
      </x:c>
      <x:c r="F209" s="16" t="n">
        <x:f>D209*'Cohort factors'!D29</x:f>
        <x:v>837900.0000000001</x:v>
      </x:c>
      <x:c r="G209" s="16" t="n">
        <x:f>F209*Inputs!D13</x:f>
        <x:v>139091400.00000003</x:v>
      </x:c>
      <x:c r="H209" s="16" t="n">
        <x:f>D209*Inputs!D13*'Cohort factors'!E29*Inputs!$B$5/1000</x:f>
        <x:v>41733413.67468135</x:v>
      </x:c>
      <x:c r="I209" s="16" t="n">
        <x:f>H209*Inputs!$B$10</x:f>
        <x:v>10419681.538678631</x:v>
      </x:c>
      <x:c r="J209" s="16" t="n">
        <x:f>D209*T209*Inputs!$B$8*U209*0</x:f>
        <x:v>0</x:v>
      </x:c>
      <x:c r="K209" s="16" t="n">
        <x:f>SUM(H209:J209)</x:f>
        <x:v>52153095.21335998</x:v>
      </x:c>
      <x:c r="L209" s="16" t="n">
        <x:f>H209-H208</x:f>
        <x:v>1736607.7003820464</x:v>
      </x:c>
      <x:c r="M209" s="16" t="n">
        <x:f>K209-K208</x:f>
        <x:v>2170190.7122260034</x:v>
      </x:c>
      <x:c r="N209" s="16" t="n">
        <x:f>H209*44/12/1000000</x:f>
        <x:v>153.02251680716495</x:v>
      </x:c>
      <x:c r="O209" s="16" t="n">
        <x:f>K209*44/12/1000000</x:f>
        <x:v>191.22801578231994</x:v>
      </x:c>
      <x:c r="P209" s="16" t="n">
        <x:f>L209*44/12/1000000</x:f>
        <x:v>6.3675615680675035</x:v>
      </x:c>
      <x:c r="Q209" s="16" t="n">
        <x:f>M209*44/12/1000000</x:f>
        <x:v>7.957365944828679</x:v>
      </x:c>
      <x:c r="R209" s="16" t="n">
        <x:f>(H209+I209)*44/12/1000000</x:f>
        <x:v>191.22801578231994</x:v>
      </x:c>
      <x:c r="S209" s="16" t="n">
        <x:f>R209-R208</x:f>
        <x:v>7.957365944828666</x:v>
      </x:c>
      <x:c r="T209" s="2" t="n">
        <x:f>Inputs!E13/Inputs!F13</x:f>
        <x:v>0.2</x:v>
      </x:c>
      <x:c r="U209" s="2" t="n">
        <x:f>'Cohort factors'!F29</x:f>
        <x:v>25</x:v>
      </x:c>
      <x:c r="V209" s="2" t="n">
        <x:f>D209*Inputs!D13*'Cohort factors'!G29*Inputs!$B$5/1000*44/12/1000000</x:f>
        <x:v>6.120900672286599</x:v>
      </x:c>
    </x:row>
    <x:row r="210" ht="22" customHeight="1">
      <x:c r="A210" s="2" t="str">
        <x:v>CR_FAST</x:v>
      </x:c>
      <x:c r="B210" s="2" t="str">
        <x:v>Permanent grassland</x:v>
      </x:c>
      <x:c r="C210" s="2" t="n">
        <x:v>2052</x:v>
      </x:c>
      <x:c r="D210" s="16" t="n">
        <x:f>Inputs!H13</x:f>
        <x:v>837900.0000000001</x:v>
      </x:c>
      <x:c r="E210" s="16" t="n">
        <x:f>D210*'Cohort factors'!C30</x:f>
        <x:v>0</x:v>
      </x:c>
      <x:c r="F210" s="16" t="n">
        <x:f>D210*'Cohort factors'!D30</x:f>
        <x:v>837900.0000000001</x:v>
      </x:c>
      <x:c r="G210" s="16" t="n">
        <x:f>F210*Inputs!D13</x:f>
        <x:v>139091400.00000003</x:v>
      </x:c>
      <x:c r="H210" s="16" t="n">
        <x:f>D210*Inputs!D13*'Cohort factors'!E30*Inputs!$B$5/1000</x:f>
        <x:v>43977159.69855698</x:v>
      </x:c>
      <x:c r="I210" s="16" t="n">
        <x:f>H210*Inputs!$B$10</x:f>
        <x:v>10979882.992715066</x:v>
      </x:c>
      <x:c r="J210" s="16" t="n">
        <x:f>D210*T210*Inputs!$B$8*U210*0</x:f>
        <x:v>0</x:v>
      </x:c>
      <x:c r="K210" s="16" t="n">
        <x:f>SUM(H210:J210)</x:f>
        <x:v>54957042.69127205</x:v>
      </x:c>
      <x:c r="L210" s="16" t="n">
        <x:f>H210-H209</x:f>
        <x:v>2243746.0238756314</x:v>
      </x:c>
      <x:c r="M210" s="16" t="n">
        <x:f>K210-K209</x:f>
        <x:v>2803947.4779120684</x:v>
      </x:c>
      <x:c r="N210" s="16" t="n">
        <x:f>H210*44/12/1000000</x:f>
        <x:v>161.2495855613756</x:v>
      </x:c>
      <x:c r="O210" s="16" t="n">
        <x:f>K210*44/12/1000000</x:f>
        <x:v>201.50915653466419</x:v>
      </x:c>
      <x:c r="P210" s="16" t="n">
        <x:f>L210*44/12/1000000</x:f>
        <x:v>8.227068754210649</x:v>
      </x:c>
      <x:c r="Q210" s="16" t="n">
        <x:f>M210*44/12/1000000</x:f>
        <x:v>10.281140752344252</x:v>
      </x:c>
      <x:c r="R210" s="16" t="n">
        <x:f>(H210+I210)*44/12/1000000</x:f>
        <x:v>201.50915653466419</x:v>
      </x:c>
      <x:c r="S210" s="16" t="n">
        <x:f>R210-R209</x:f>
        <x:v>10.281140752344243</x:v>
      </x:c>
      <x:c r="T210" s="2" t="n">
        <x:f>Inputs!E13/Inputs!F13</x:f>
        <x:v>0.2</x:v>
      </x:c>
      <x:c r="U210" s="2" t="n">
        <x:f>'Cohort factors'!F30</x:f>
        <x:v>26</x:v>
      </x:c>
      <x:c r="V210" s="2" t="n">
        <x:f>D210*Inputs!D13*'Cohort factors'!G30*Inputs!$B$5/1000*44/12/1000000</x:f>
        <x:v>6.201907136975984</x:v>
      </x:c>
    </x:row>
    <x:row r="211" ht="22" customHeight="1">
      <x:c r="A211" s="2" t="str">
        <x:v>CR_FAST</x:v>
      </x:c>
      <x:c r="B211" s="2" t="str">
        <x:v>Permanent grassland</x:v>
      </x:c>
      <x:c r="C211" s="2" t="n">
        <x:v>2053</x:v>
      </x:c>
      <x:c r="D211" s="16" t="n">
        <x:f>Inputs!H13</x:f>
        <x:v>837900.0000000001</x:v>
      </x:c>
      <x:c r="E211" s="16" t="n">
        <x:f>D211*'Cohort factors'!C31</x:f>
        <x:v>0</x:v>
      </x:c>
      <x:c r="F211" s="16" t="n">
        <x:f>D211*'Cohort factors'!D31</x:f>
        <x:v>837900.0000000001</x:v>
      </x:c>
      <x:c r="G211" s="16" t="n">
        <x:f>F211*Inputs!D13</x:f>
        <x:v>139091400.00000003</x:v>
      </x:c>
      <x:c r="H211" s="16" t="n">
        <x:f>D211*Inputs!D13*'Cohort factors'!E31*Inputs!$B$5/1000</x:f>
        <x:v>45445531.666627996</x:v>
      </x:c>
      <x:c r="I211" s="16" t="n">
        <x:f>H211*Inputs!$B$10</x:f>
        <x:v>11346494.945595039</x:v>
      </x:c>
      <x:c r="J211" s="16" t="n">
        <x:f>D211*T211*Inputs!$B$8*U211*0</x:f>
        <x:v>0</x:v>
      </x:c>
      <x:c r="K211" s="16" t="n">
        <x:f>SUM(H211:J211)</x:f>
        <x:v>56792026.61222304</x:v>
      </x:c>
      <x:c r="L211" s="16" t="n">
        <x:f>H211-H210</x:f>
        <x:v>1468371.9680710137</x:v>
      </x:c>
      <x:c r="M211" s="16" t="n">
        <x:f>K211-K210</x:f>
        <x:v>1834983.9209509864</x:v>
      </x:c>
      <x:c r="N211" s="16" t="n">
        <x:f>H211*44/12/1000000</x:f>
        <x:v>166.63361611096934</x:v>
      </x:c>
      <x:c r="O211" s="16" t="n">
        <x:f>K211*44/12/1000000</x:f>
        <x:v>208.23743091148447</x:v>
      </x:c>
      <x:c r="P211" s="16" t="n">
        <x:f>L211*44/12/1000000</x:f>
        <x:v>5.384030549593717</x:v>
      </x:c>
      <x:c r="Q211" s="16" t="n">
        <x:f>M211*44/12/1000000</x:f>
        <x:v>6.728274376820284</x:v>
      </x:c>
      <x:c r="R211" s="16" t="n">
        <x:f>(H211+I211)*44/12/1000000</x:f>
        <x:v>208.23743091148447</x:v>
      </x:c>
      <x:c r="S211" s="16" t="n">
        <x:f>R211-R210</x:f>
        <x:v>6.728274376820281</x:v>
      </x:c>
      <x:c r="T211" s="2" t="n">
        <x:f>Inputs!E13/Inputs!F13</x:f>
        <x:v>0.2</x:v>
      </x:c>
      <x:c r="U211" s="2" t="n">
        <x:f>'Cohort factors'!F31</x:f>
        <x:v>27</x:v>
      </x:c>
      <x:c r="V211" s="2" t="n">
        <x:f>D211*Inputs!D13*'Cohort factors'!G31*Inputs!$B$5/1000*44/12/1000000</x:f>
        <x:v>6.171615411517383</x:v>
      </x:c>
    </x:row>
    <x:row r="212" ht="22" customHeight="1">
      <x:c r="A212" s="2" t="str">
        <x:v>CR_FAST</x:v>
      </x:c>
      <x:c r="B212" s="2" t="str">
        <x:v>Permanent grassland</x:v>
      </x:c>
      <x:c r="C212" s="2" t="n">
        <x:v>2054</x:v>
      </x:c>
      <x:c r="D212" s="16" t="n">
        <x:f>Inputs!H13</x:f>
        <x:v>837900.0000000001</x:v>
      </x:c>
      <x:c r="E212" s="16" t="n">
        <x:f>D212*'Cohort factors'!C32</x:f>
        <x:v>0</x:v>
      </x:c>
      <x:c r="F212" s="16" t="n">
        <x:f>D212*'Cohort factors'!D32</x:f>
        <x:v>837900.0000000001</x:v>
      </x:c>
      <x:c r="G212" s="16" t="n">
        <x:f>F212*Inputs!D13</x:f>
        <x:v>139091400.00000003</x:v>
      </x:c>
      <x:c r="H212" s="16" t="n">
        <x:f>D212*Inputs!D13*'Cohort factors'!E32*Inputs!$B$5/1000</x:f>
        <x:v>47010056.4364607</x:v>
      </x:c>
      <x:c r="I212" s="16" t="n">
        <x:f>H212*Inputs!$B$10</x:f>
        <x:v>11737113.59922608</x:v>
      </x:c>
      <x:c r="J212" s="16" t="n">
        <x:f>D212*T212*Inputs!$B$8*U212*0</x:f>
        <x:v>0</x:v>
      </x:c>
      <x:c r="K212" s="16" t="n">
        <x:f>SUM(H212:J212)</x:f>
        <x:v>58747170.03568678</x:v>
      </x:c>
      <x:c r="L212" s="16" t="n">
        <x:f>H212-H211</x:f>
        <x:v>1564524.769832708</x:v>
      </x:c>
      <x:c r="M212" s="16" t="n">
        <x:f>K212-K211</x:f>
        <x:v>1955143.423463747</x:v>
      </x:c>
      <x:c r="N212" s="16" t="n">
        <x:f>H212*44/12/1000000</x:f>
        <x:v>172.37020693368925</x:v>
      </x:c>
      <x:c r="O212" s="16" t="n">
        <x:f>K212*44/12/1000000</x:f>
        <x:v>215.40629013085154</x:v>
      </x:c>
      <x:c r="P212" s="16" t="n">
        <x:f>L212*44/12/1000000</x:f>
        <x:v>5.736590822719929</x:v>
      </x:c>
      <x:c r="Q212" s="16" t="n">
        <x:f>M212*44/12/1000000</x:f>
        <x:v>7.168859219367072</x:v>
      </x:c>
      <x:c r="R212" s="16" t="n">
        <x:f>(H212+I212)*44/12/1000000</x:f>
        <x:v>215.40629013085154</x:v>
      </x:c>
      <x:c r="S212" s="16" t="n">
        <x:f>R212-R211</x:f>
        <x:v>7.168859219367079</x:v>
      </x:c>
      <x:c r="T212" s="2" t="n">
        <x:f>Inputs!E13/Inputs!F13</x:f>
        <x:v>0.2</x:v>
      </x:c>
      <x:c r="U212" s="2" t="n">
        <x:f>'Cohort factors'!F32</x:f>
        <x:v>28</x:v>
      </x:c>
      <x:c r="V212" s="2" t="n">
        <x:f>D212*Inputs!D13*'Cohort factors'!G32*Inputs!$B$5/1000*44/12/1000000</x:f>
        <x:v>6.15607881906033</x:v>
      </x:c>
    </x:row>
    <x:row r="213" ht="22" customHeight="1">
      <x:c r="A213" s="2" t="str">
        <x:v>CR_FAST</x:v>
      </x:c>
      <x:c r="B213" s="2" t="str">
        <x:v>Permanent grassland</x:v>
      </x:c>
      <x:c r="C213" s="2" t="n">
        <x:v>2055</x:v>
      </x:c>
      <x:c r="D213" s="16" t="n">
        <x:f>Inputs!H13</x:f>
        <x:v>837900.0000000001</x:v>
      </x:c>
      <x:c r="E213" s="16" t="n">
        <x:f>D213*'Cohort factors'!C33</x:f>
        <x:v>0</x:v>
      </x:c>
      <x:c r="F213" s="16" t="n">
        <x:f>D213*'Cohort factors'!D33</x:f>
        <x:v>837900.0000000001</x:v>
      </x:c>
      <x:c r="G213" s="16" t="n">
        <x:f>F213*Inputs!D13</x:f>
        <x:v>139091400.00000003</x:v>
      </x:c>
      <x:c r="H213" s="16" t="n">
        <x:f>D213*Inputs!D13*'Cohort factors'!E33*Inputs!$B$5/1000</x:f>
        <x:v>50116644.558450595</x:v>
      </x:c>
      <x:c r="I213" s="16" t="n">
        <x:f>H213*Inputs!$B$10</x:f>
        <x:v>12512742.91043707</x:v>
      </x:c>
      <x:c r="J213" s="16" t="n">
        <x:f>D213*T213*Inputs!$B$8*U213*0</x:f>
        <x:v>0</x:v>
      </x:c>
      <x:c r="K213" s="16" t="n">
        <x:f>SUM(H213:J213)</x:f>
        <x:v>62629387.468887664</x:v>
      </x:c>
      <x:c r="L213" s="16" t="n">
        <x:f>H213-H212</x:f>
        <x:v>3106588.121989891</x:v>
      </x:c>
      <x:c r="M213" s="16" t="n">
        <x:f>K213-K212</x:f>
        <x:v>3882217.433200881</x:v>
      </x:c>
      <x:c r="N213" s="16" t="n">
        <x:f>H213*44/12/1000000</x:f>
        <x:v>183.76103004765216</x:v>
      </x:c>
      <x:c r="O213" s="16" t="n">
        <x:f>K213*44/12/1000000</x:f>
        <x:v>229.64108738592145</x:v>
      </x:c>
      <x:c r="P213" s="16" t="n">
        <x:f>L213*44/12/1000000</x:f>
        <x:v>11.390823113962933</x:v>
      </x:c>
      <x:c r="Q213" s="16" t="n">
        <x:f>M213*44/12/1000000</x:f>
        <x:v>14.234797255069896</x:v>
      </x:c>
      <x:c r="R213" s="16" t="n">
        <x:f>(H213+I213)*44/12/1000000</x:f>
        <x:v>229.64108738592145</x:v>
      </x:c>
      <x:c r="S213" s="16" t="n">
        <x:f>R213-R212</x:f>
        <x:v>14.234797255069907</x:v>
      </x:c>
      <x:c r="T213" s="2" t="n">
        <x:f>Inputs!E13/Inputs!F13</x:f>
        <x:v>0.2</x:v>
      </x:c>
      <x:c r="U213" s="2" t="n">
        <x:f>'Cohort factors'!F33</x:f>
        <x:v>29</x:v>
      </x:c>
      <x:c r="V213" s="2" t="n">
        <x:f>D213*Inputs!D13*'Cohort factors'!G33*Inputs!$B$5/1000*44/12/1000000</x:f>
        <x:v>6.336587243022489</x:v>
      </x:c>
    </x:row>
    <x:row r="214" ht="22" customHeight="1">
      <x:c r="A214" s="2" t="str">
        <x:v>CR_FAST</x:v>
      </x:c>
      <x:c r="B214" s="2" t="str">
        <x:v>Permanent grassland</x:v>
      </x:c>
      <x:c r="C214" s="2" t="n">
        <x:v>2056</x:v>
      </x:c>
      <x:c r="D214" s="16" t="n">
        <x:f>Inputs!H13</x:f>
        <x:v>837900.0000000001</x:v>
      </x:c>
      <x:c r="E214" s="16" t="n">
        <x:f>D214*'Cohort factors'!C34</x:f>
        <x:v>0</x:v>
      </x:c>
      <x:c r="F214" s="16" t="n">
        <x:f>D214*'Cohort factors'!D34</x:f>
        <x:v>837900.0000000001</x:v>
      </x:c>
      <x:c r="G214" s="16" t="n">
        <x:f>F214*Inputs!D13</x:f>
        <x:v>139091400.00000003</x:v>
      </x:c>
      <x:c r="H214" s="16" t="n">
        <x:f>D214*Inputs!D13*'Cohort factors'!E34*Inputs!$B$5/1000</x:f>
        <x:v>51927161.02608618</x:v>
      </x:c>
      <x:c r="I214" s="16" t="n">
        <x:f>H214*Inputs!$B$10</x:f>
        <x:v>12964778.901558043</x:v>
      </x:c>
      <x:c r="J214" s="16" t="n">
        <x:f>D214*T214*Inputs!$B$8*U214*0</x:f>
        <x:v>0</x:v>
      </x:c>
      <x:c r="K214" s="16" t="n">
        <x:f>SUM(H214:J214)</x:f>
        <x:v>64891939.92764422</x:v>
      </x:c>
      <x:c r="L214" s="16" t="n">
        <x:f>H214-H213</x:f>
        <x:v>1810516.4676355869</x:v>
      </x:c>
      <x:c r="M214" s="16" t="n">
        <x:f>K214-K213</x:f>
        <x:v>2262552.4587565586</x:v>
      </x:c>
      <x:c r="N214" s="16" t="n">
        <x:f>H214*44/12/1000000</x:f>
        <x:v>190.39959042898263</x:v>
      </x:c>
      <x:c r="O214" s="16" t="n">
        <x:f>K214*44/12/1000000</x:f>
        <x:v>237.93711306802882</x:v>
      </x:c>
      <x:c r="P214" s="16" t="n">
        <x:f>L214*44/12/1000000</x:f>
        <x:v>6.638560381330485</x:v>
      </x:c>
      <x:c r="Q214" s="16" t="n">
        <x:f>M214*44/12/1000000</x:f>
        <x:v>8.296025682107382</x:v>
      </x:c>
      <x:c r="R214" s="16" t="n">
        <x:f>(H214+I214)*44/12/1000000</x:f>
        <x:v>237.93711306802882</x:v>
      </x:c>
      <x:c r="S214" s="16" t="n">
        <x:f>R214-R213</x:f>
        <x:v>8.29602568210737</x:v>
      </x:c>
      <x:c r="T214" s="2" t="n">
        <x:f>Inputs!E13/Inputs!F13</x:f>
        <x:v>0.2</x:v>
      </x:c>
      <x:c r="U214" s="2" t="n">
        <x:f>'Cohort factors'!F34</x:f>
        <x:v>30</x:v>
      </x:c>
      <x:c r="V214" s="2" t="n">
        <x:f>D214*Inputs!D13*'Cohort factors'!G34*Inputs!$B$5/1000*44/12/1000000</x:f>
        <x:v>6.346653014299423</x:v>
      </x:c>
    </x:row>
    <x:row r="215" ht="22" customHeight="1">
      <x:c r="A215" s="2" t="str">
        <x:v>CR_FAST</x:v>
      </x:c>
      <x:c r="B215" s="2" t="str">
        <x:v>Cropped area</x:v>
      </x:c>
      <x:c r="C215" s="2" t="n">
        <x:v>2027</x:v>
      </x:c>
      <x:c r="D215" s="16" t="n">
        <x:f>Inputs!H15</x:f>
        <x:v>286230</x:v>
      </x:c>
      <x:c r="E215" s="16" t="n">
        <x:f>D215*'Cohort factors'!C5</x:f>
        <x:v>286230</x:v>
      </x:c>
      <x:c r="F215" s="16" t="n">
        <x:f>D215*'Cohort factors'!D5</x:f>
        <x:v>286230</x:v>
      </x:c>
      <x:c r="G215" s="16" t="n">
        <x:f>F215*Inputs!D15</x:f>
        <x:v>13630000</x:v>
      </x:c>
      <x:c r="H215" s="16" t="n">
        <x:f>D215*Inputs!D15*'Cohort factors'!E5*Inputs!$B$5/1000</x:f>
        <x:v>6793.432251466664</x:v>
      </x:c>
      <x:c r="I215" s="16" t="n">
        <x:f>H215*Inputs!$B$10</x:f>
        <x:v>1696.1325322355547</x:v>
      </x:c>
      <x:c r="J215" s="16" t="n">
        <x:f>D215*T215*Inputs!$B$8*U215</x:f>
        <x:v>12422.629941764993</x:v>
      </x:c>
      <x:c r="K215" s="16" t="n">
        <x:f>SUM(H215:J215)</x:f>
        <x:v>20912.194725467212</x:v>
      </x:c>
      <x:c r="L215" s="16" t="n">
        <x:f>H215</x:f>
        <x:v>6793.432251466664</x:v>
      </x:c>
      <x:c r="M215" s="16" t="n">
        <x:f>K215</x:f>
        <x:v>20912.194725467212</x:v>
      </x:c>
      <x:c r="N215" s="16" t="n">
        <x:f>H215*44/12/1000000</x:f>
        <x:v>0.024909251588711098</x:v>
      </x:c>
      <x:c r="O215" s="16" t="n">
        <x:f>K215*44/12/1000000</x:f>
        <x:v>0.07667804732671311</x:v>
      </x:c>
      <x:c r="P215" s="16" t="n">
        <x:f>L215*44/12/1000000</x:f>
        <x:v>0.024909251588711098</x:v>
      </x:c>
      <x:c r="Q215" s="16" t="n">
        <x:f>M215*44/12/1000000</x:f>
        <x:v>0.07667804732671311</x:v>
      </x:c>
      <x:c r="R215" s="16" t="n">
        <x:f>O215</x:f>
        <x:v>0.07667804732671311</x:v>
      </x:c>
      <x:c r="S215" s="16" t="n">
        <x:f>Q215</x:f>
        <x:v>0.07667804732671311</x:v>
      </x:c>
      <x:c r="T215" s="2" t="n">
        <x:f>Inputs!E15/Inputs!F15</x:f>
        <x:v>0.06666666666666667</x:v>
      </x:c>
      <x:c r="U215" s="2" t="n">
        <x:f>'Cohort factors'!F5</x:f>
        <x:v>1</x:v>
      </x:c>
      <x:c r="V215" s="2" t="n">
        <x:f>D215*Inputs!D15*'Cohort factors'!G5*Inputs!$B$5/1000*44/12/1000000</x:f>
        <x:v>0.024909251588711098</x:v>
      </x:c>
    </x:row>
    <x:row r="216" ht="22" customHeight="1">
      <x:c r="A216" s="2" t="str">
        <x:v>CR_FAST</x:v>
      </x:c>
      <x:c r="B216" s="2" t="str">
        <x:v>Cropped area</x:v>
      </x:c>
      <x:c r="C216" s="2" t="n">
        <x:v>2028</x:v>
      </x:c>
      <x:c r="D216" s="16" t="n">
        <x:f>Inputs!H15</x:f>
        <x:v>286230</x:v>
      </x:c>
      <x:c r="E216" s="16" t="n">
        <x:f>D216*'Cohort factors'!C6</x:f>
        <x:v>0</x:v>
      </x:c>
      <x:c r="F216" s="16" t="n">
        <x:f>D216*'Cohort factors'!D6</x:f>
        <x:v>286230</x:v>
      </x:c>
      <x:c r="G216" s="16" t="n">
        <x:f>F216*Inputs!D15</x:f>
        <x:v>13630000</x:v>
      </x:c>
      <x:c r="H216" s="16" t="n">
        <x:f>D216*Inputs!D15*'Cohort factors'!E6*Inputs!$B$5/1000</x:f>
        <x:v>25534.210471733324</x:v>
      </x:c>
      <x:c r="I216" s="16" t="n">
        <x:f>H216*Inputs!$B$10</x:f>
        <x:v>6375.187602217775</x:v>
      </x:c>
      <x:c r="J216" s="16" t="n">
        <x:f>D216*T216*Inputs!$B$8*U216</x:f>
        <x:v>24845.259883529987</x:v>
      </x:c>
      <x:c r="K216" s="16" t="n">
        <x:f>SUM(H216:J216)</x:f>
        <x:v>56754.65795748109</x:v>
      </x:c>
      <x:c r="L216" s="16" t="n">
        <x:f>H216-H215</x:f>
        <x:v>18740.77822026666</x:v>
      </x:c>
      <x:c r="M216" s="16" t="n">
        <x:f>K216-K215</x:f>
        <x:v>35842.46323201388</x:v>
      </x:c>
      <x:c r="N216" s="16" t="n">
        <x:f>H216*44/12/1000000</x:f>
        <x:v>0.09362543839635554</x:v>
      </x:c>
      <x:c r="O216" s="16" t="n">
        <x:f>K216*44/12/1000000</x:f>
        <x:v>0.208100412510764</x:v>
      </x:c>
      <x:c r="P216" s="16" t="n">
        <x:f>L216*44/12/1000000</x:f>
        <x:v>0.06871618680764442</x:v>
      </x:c>
      <x:c r="Q216" s="16" t="n">
        <x:f>M216*44/12/1000000</x:f>
        <x:v>0.1314223651840509</x:v>
      </x:c>
      <x:c r="R216" s="16" t="n">
        <x:f>O216</x:f>
        <x:v>0.208100412510764</x:v>
      </x:c>
      <x:c r="S216" s="16" t="n">
        <x:f>Q216</x:f>
        <x:v>0.1314223651840509</x:v>
      </x:c>
      <x:c r="T216" s="2" t="n">
        <x:f>Inputs!E15/Inputs!F15</x:f>
        <x:v>0.06666666666666667</x:v>
      </x:c>
      <x:c r="U216" s="2" t="n">
        <x:f>'Cohort factors'!F6</x:f>
        <x:v>2</x:v>
      </x:c>
      <x:c r="V216" s="2" t="n">
        <x:f>D216*Inputs!D15*'Cohort factors'!G6*Inputs!$B$5/1000*44/12/1000000</x:f>
        <x:v>0.04681271919817777</x:v>
      </x:c>
    </x:row>
    <x:row r="217" ht="22" customHeight="1">
      <x:c r="A217" s="2" t="str">
        <x:v>CR_FAST</x:v>
      </x:c>
      <x:c r="B217" s="2" t="str">
        <x:v>Cropped area</x:v>
      </x:c>
      <x:c r="C217" s="2" t="n">
        <x:v>2029</x:v>
      </x:c>
      <x:c r="D217" s="16" t="n">
        <x:f>Inputs!H15</x:f>
        <x:v>286230</x:v>
      </x:c>
      <x:c r="E217" s="16" t="n">
        <x:f>D217*'Cohort factors'!C7</x:f>
        <x:v>0</x:v>
      </x:c>
      <x:c r="F217" s="16" t="n">
        <x:f>D217*'Cohort factors'!D7</x:f>
        <x:v>286230</x:v>
      </x:c>
      <x:c r="G217" s="16" t="n">
        <x:f>F217*Inputs!D15</x:f>
        <x:v>13630000</x:v>
      </x:c>
      <x:c r="H217" s="16" t="n">
        <x:f>D217*Inputs!D15*'Cohort factors'!E7*Inputs!$B$5/1000</x:f>
        <x:v>77234.74029333329</x:v>
      </x:c>
      <x:c r="I217" s="16" t="n">
        <x:f>H217*Inputs!$B$10</x:f>
        <x:v>19283.3829471111</x:v>
      </x:c>
      <x:c r="J217" s="16" t="n">
        <x:f>D217*T217*Inputs!$B$8*U217</x:f>
        <x:v>37267.88982529498</x:v>
      </x:c>
      <x:c r="K217" s="16" t="n">
        <x:f>SUM(H217:J217)</x:f>
        <x:v>133786.01306573936</x:v>
      </x:c>
      <x:c r="L217" s="16" t="n">
        <x:f>H217-H216</x:f>
        <x:v>51700.529821599965</x:v>
      </x:c>
      <x:c r="M217" s="16" t="n">
        <x:f>K217-K216</x:f>
        <x:v>77031.35510825827</x:v>
      </x:c>
      <x:c r="N217" s="16" t="n">
        <x:f>H217*44/12/1000000</x:f>
        <x:v>0.28319404774222207</x:v>
      </x:c>
      <x:c r="O217" s="16" t="n">
        <x:f>K217*44/12/1000000</x:f>
        <x:v>0.4905487145743777</x:v>
      </x:c>
      <x:c r="P217" s="16" t="n">
        <x:f>L217*44/12/1000000</x:f>
        <x:v>0.1895686093458665</x:v>
      </x:c>
      <x:c r="Q217" s="16" t="n">
        <x:f>M217*44/12/1000000</x:f>
        <x:v>0.28244830206361365</x:v>
      </x:c>
      <x:c r="R217" s="16" t="n">
        <x:f>O217</x:f>
        <x:v>0.4905487145743777</x:v>
      </x:c>
      <x:c r="S217" s="16" t="n">
        <x:f>Q217</x:f>
        <x:v>0.28244830206361365</x:v>
      </x:c>
      <x:c r="T217" s="2" t="n">
        <x:f>Inputs!E15/Inputs!F15</x:f>
        <x:v>0.06666666666666667</x:v>
      </x:c>
      <x:c r="U217" s="2" t="n">
        <x:f>'Cohort factors'!F7</x:f>
        <x:v>3</x:v>
      </x:c>
      <x:c r="V217" s="2" t="n">
        <x:f>D217*Inputs!D15*'Cohort factors'!G7*Inputs!$B$5/1000*44/12/1000000</x:f>
        <x:v>0.09439801591407403</x:v>
      </x:c>
    </x:row>
    <x:row r="218" ht="22" customHeight="1">
      <x:c r="A218" s="2" t="str">
        <x:v>CR_FAST</x:v>
      </x:c>
      <x:c r="B218" s="2" t="str">
        <x:v>Cropped area</x:v>
      </x:c>
      <x:c r="C218" s="2" t="n">
        <x:v>2030</x:v>
      </x:c>
      <x:c r="D218" s="16" t="n">
        <x:f>Inputs!H15</x:f>
        <x:v>286230</x:v>
      </x:c>
      <x:c r="E218" s="16" t="n">
        <x:f>D218*'Cohort factors'!C8</x:f>
        <x:v>0</x:v>
      </x:c>
      <x:c r="F218" s="16" t="n">
        <x:f>D218*'Cohort factors'!D8</x:f>
        <x:v>286230</x:v>
      </x:c>
      <x:c r="G218" s="16" t="n">
        <x:f>F218*Inputs!D15</x:f>
        <x:v>13630000</x:v>
      </x:c>
      <x:c r="H218" s="16" t="n">
        <x:f>D218*Inputs!D15*'Cohort factors'!E8*Inputs!$B$5/1000</x:f>
        <x:v>152510.43123653324</x:v>
      </x:c>
      <x:c r="I218" s="16" t="n">
        <x:f>H218*Inputs!$B$10</x:f>
        <x:v>38077.645341897754</x:v>
      </x:c>
      <x:c r="J218" s="16" t="n">
        <x:f>D218*T218*Inputs!$B$8*U218</x:f>
        <x:v>49690.519767059974</x:v>
      </x:c>
      <x:c r="K218" s="16" t="n">
        <x:f>SUM(H218:J218)</x:f>
        <x:v>240278.59634549098</x:v>
      </x:c>
      <x:c r="L218" s="16" t="n">
        <x:f>H218-H217</x:f>
        <x:v>75275.69094319995</x:v>
      </x:c>
      <x:c r="M218" s="16" t="n">
        <x:f>K218-K217</x:f>
        <x:v>106492.58327975162</x:v>
      </x:c>
      <x:c r="N218" s="16" t="n">
        <x:f>H218*44/12/1000000</x:f>
        <x:v>0.5592049145339552</x:v>
      </x:c>
      <x:c r="O218" s="16" t="n">
        <x:f>K218*44/12/1000000</x:f>
        <x:v>0.8810215199334669</x:v>
      </x:c>
      <x:c r="P218" s="16" t="n">
        <x:f>L218*44/12/1000000</x:f>
        <x:v>0.27601086679173314</x:v>
      </x:c>
      <x:c r="Q218" s="16" t="n">
        <x:f>M218*44/12/1000000</x:f>
        <x:v>0.3904728053590893</x:v>
      </x:c>
      <x:c r="R218" s="16" t="n">
        <x:f>O218</x:f>
        <x:v>0.8810215199334669</x:v>
      </x:c>
      <x:c r="S218" s="16" t="n">
        <x:f>Q218</x:f>
        <x:v>0.3904728053590893</x:v>
      </x:c>
      <x:c r="T218" s="2" t="n">
        <x:f>Inputs!E15/Inputs!F15</x:f>
        <x:v>0.06666666666666667</x:v>
      </x:c>
      <x:c r="U218" s="2" t="n">
        <x:f>'Cohort factors'!F8</x:f>
        <x:v>4</x:v>
      </x:c>
      <x:c r="V218" s="2" t="n">
        <x:f>D218*Inputs!D15*'Cohort factors'!G8*Inputs!$B$5/1000*44/12/1000000</x:f>
        <x:v>0.1398012286334888</x:v>
      </x:c>
    </x:row>
    <x:row r="219" ht="22" customHeight="1">
      <x:c r="A219" s="2" t="str">
        <x:v>CR_FAST</x:v>
      </x:c>
      <x:c r="B219" s="2" t="str">
        <x:v>Cropped area</x:v>
      </x:c>
      <x:c r="C219" s="2" t="n">
        <x:v>2031</x:v>
      </x:c>
      <x:c r="D219" s="16" t="n">
        <x:f>Inputs!H15</x:f>
        <x:v>286230</x:v>
      </x:c>
      <x:c r="E219" s="16" t="n">
        <x:f>D219*'Cohort factors'!C9</x:f>
        <x:v>0</x:v>
      </x:c>
      <x:c r="F219" s="16" t="n">
        <x:f>D219*'Cohort factors'!D9</x:f>
        <x:v>286230</x:v>
      </x:c>
      <x:c r="G219" s="16" t="n">
        <x:f>F219*Inputs!D15</x:f>
        <x:v>13630000</x:v>
      </x:c>
      <x:c r="H219" s="16" t="n">
        <x:f>D219*Inputs!D15*'Cohort factors'!E9*Inputs!$B$5/1000</x:f>
        <x:v>291830.7487333335</x:v>
      </x:c>
      <x:c r="I219" s="16" t="n">
        <x:f>H219*Inputs!$B$10</x:f>
        <x:v>72862.08333444448</x:v>
      </x:c>
      <x:c r="J219" s="16" t="n">
        <x:f>D219*T219*Inputs!$B$8*U219</x:f>
        <x:v>62113.14970882497</x:v>
      </x:c>
      <x:c r="K219" s="16" t="n">
        <x:f>SUM(H219:J219)</x:f>
        <x:v>426805.981776603</x:v>
      </x:c>
      <x:c r="L219" s="16" t="n">
        <x:f>H219-H218</x:f>
        <x:v>139320.31749680024</x:v>
      </x:c>
      <x:c r="M219" s="16" t="n">
        <x:f>K219-K218</x:f>
        <x:v>186527.385431112</x:v>
      </x:c>
      <x:c r="N219" s="16" t="n">
        <x:f>H219*44/12/1000000</x:f>
        <x:v>1.0700460786888895</x:v>
      </x:c>
      <x:c r="O219" s="16" t="n">
        <x:f>K219*44/12/1000000</x:f>
        <x:v>1.564955266514211</x:v>
      </x:c>
      <x:c r="P219" s="16" t="n">
        <x:f>L219*44/12/1000000</x:f>
        <x:v>0.5108411641549342</x:v>
      </x:c>
      <x:c r="Q219" s="16" t="n">
        <x:f>M219*44/12/1000000</x:f>
        <x:v>0.683933746580744</x:v>
      </x:c>
      <x:c r="R219" s="16" t="n">
        <x:f>O219</x:f>
        <x:v>1.564955266514211</x:v>
      </x:c>
      <x:c r="S219" s="16" t="n">
        <x:f>Q219</x:f>
        <x:v>0.683933746580744</x:v>
      </x:c>
      <x:c r="T219" s="2" t="n">
        <x:f>Inputs!E15/Inputs!F15</x:f>
        <x:v>0.06666666666666667</x:v>
      </x:c>
      <x:c r="U219" s="2" t="n">
        <x:f>'Cohort factors'!F9</x:f>
        <x:v>5</x:v>
      </x:c>
      <x:c r="V219" s="2" t="n">
        <x:f>D219*Inputs!D15*'Cohort factors'!G9*Inputs!$B$5/1000*44/12/1000000</x:f>
        <x:v>0.21400921573777787</x:v>
      </x:c>
    </x:row>
    <x:row r="220" ht="22" customHeight="1">
      <x:c r="A220" s="2" t="str">
        <x:v>CR_FAST</x:v>
      </x:c>
      <x:c r="B220" s="2" t="str">
        <x:v>Cropped area</x:v>
      </x:c>
      <x:c r="C220" s="2" t="n">
        <x:v>2032</x:v>
      </x:c>
      <x:c r="D220" s="16" t="n">
        <x:f>Inputs!H15</x:f>
        <x:v>286230</x:v>
      </x:c>
      <x:c r="E220" s="16" t="n">
        <x:f>D220*'Cohort factors'!C10</x:f>
        <x:v>0</x:v>
      </x:c>
      <x:c r="F220" s="16" t="n">
        <x:f>D220*'Cohort factors'!D10</x:f>
        <x:v>286230</x:v>
      </x:c>
      <x:c r="G220" s="16" t="n">
        <x:f>F220*Inputs!D15</x:f>
        <x:v>13630000</x:v>
      </x:c>
      <x:c r="H220" s="16" t="n">
        <x:f>D220*Inputs!D15*'Cohort factors'!E10*Inputs!$B$5/1000</x:f>
        <x:v>512807.3141898666</x:v>
      </x:c>
      <x:c r="I220" s="16" t="n">
        <x:f>H220*Inputs!$B$10</x:f>
        <x:v>128033.8327033422</x:v>
      </x:c>
      <x:c r="J220" s="16" t="n">
        <x:f>D220*T220*Inputs!$B$8*U220</x:f>
        <x:v>74535.77965058996</x:v>
      </x:c>
      <x:c r="K220" s="16" t="n">
        <x:f>SUM(H220:J220)</x:f>
        <x:v>715376.9265437988</x:v>
      </x:c>
      <x:c r="L220" s="16" t="n">
        <x:f>H220-H219</x:f>
        <x:v>220976.5654565331</x:v>
      </x:c>
      <x:c r="M220" s="16" t="n">
        <x:f>K220-K219</x:f>
        <x:v>288570.9447671958</x:v>
      </x:c>
      <x:c r="N220" s="16" t="n">
        <x:f>H220*44/12/1000000</x:f>
        <x:v>1.8802934853628444</x:v>
      </x:c>
      <x:c r="O220" s="16" t="n">
        <x:f>K220*44/12/1000000</x:f>
        <x:v>2.6230487306605954</x:v>
      </x:c>
      <x:c r="P220" s="16" t="n">
        <x:f>L220*44/12/1000000</x:f>
        <x:v>0.8102474066739548</x:v>
      </x:c>
      <x:c r="Q220" s="16" t="n">
        <x:f>M220*44/12/1000000</x:f>
        <x:v>1.0580934641463846</x:v>
      </x:c>
      <x:c r="R220" s="16" t="n">
        <x:f>O220</x:f>
        <x:v>2.6230487306605954</x:v>
      </x:c>
      <x:c r="S220" s="16" t="n">
        <x:f>Q220</x:f>
        <x:v>1.0580934641463846</x:v>
      </x:c>
      <x:c r="T220" s="2" t="n">
        <x:f>Inputs!E15/Inputs!F15</x:f>
        <x:v>0.06666666666666667</x:v>
      </x:c>
      <x:c r="U220" s="2" t="n">
        <x:f>'Cohort factors'!F10</x:f>
        <x:v>6</x:v>
      </x:c>
      <x:c r="V220" s="2" t="n">
        <x:f>D220*Inputs!D15*'Cohort factors'!G10*Inputs!$B$5/1000*44/12/1000000</x:f>
        <x:v>0.31338224756047406</x:v>
      </x:c>
    </x:row>
    <x:row r="221" ht="22" customHeight="1">
      <x:c r="A221" s="2" t="str">
        <x:v>CR_FAST</x:v>
      </x:c>
      <x:c r="B221" s="2" t="str">
        <x:v>Cropped area</x:v>
      </x:c>
      <x:c r="C221" s="2" t="n">
        <x:v>2033</x:v>
      </x:c>
      <x:c r="D221" s="16" t="n">
        <x:f>Inputs!H15</x:f>
        <x:v>286230</x:v>
      </x:c>
      <x:c r="E221" s="16" t="n">
        <x:f>D221*'Cohort factors'!C11</x:f>
        <x:v>0</x:v>
      </x:c>
      <x:c r="F221" s="16" t="n">
        <x:f>D221*'Cohort factors'!D11</x:f>
        <x:v>286230</x:v>
      </x:c>
      <x:c r="G221" s="16" t="n">
        <x:f>F221*Inputs!D15</x:f>
        <x:v>13630000</x:v>
      </x:c>
      <x:c r="H221" s="16" t="n">
        <x:f>D221*Inputs!D15*'Cohort factors'!E11*Inputs!$B$5/1000</x:f>
        <x:v>607808.6581971552</x:v>
      </x:c>
      <x:c r="I221" s="16" t="n">
        <x:f>H221*Inputs!$B$10</x:f>
        <x:v>151753.0462337451</x:v>
      </x:c>
      <x:c r="J221" s="16" t="n">
        <x:f>D221*T221*Inputs!$B$8*U221</x:f>
        <x:v>86958.40959235496</x:v>
      </x:c>
      <x:c r="K221" s="16" t="n">
        <x:f>SUM(H221:J221)</x:f>
        <x:v>846520.1140232552</x:v>
      </x:c>
      <x:c r="L221" s="16" t="n">
        <x:f>H221-H220</x:f>
        <x:v>95001.34400728863</x:v>
      </x:c>
      <x:c r="M221" s="16" t="n">
        <x:f>K221-K220</x:f>
        <x:v>131143.18747945642</x:v>
      </x:c>
      <x:c r="N221" s="16" t="n">
        <x:f>H221*44/12/1000000</x:f>
        <x:v>2.2286317467229027</x:v>
      </x:c>
      <x:c r="O221" s="16" t="n">
        <x:f>K221*44/12/1000000</x:f>
        <x:v>3.1039070847519357</x:v>
      </x:c>
      <x:c r="P221" s="16" t="n">
        <x:f>L221*44/12/1000000</x:f>
        <x:v>0.34833826136005835</x:v>
      </x:c>
      <x:c r="Q221" s="16" t="n">
        <x:f>M221*44/12/1000000</x:f>
        <x:v>0.4808583540913402</x:v>
      </x:c>
      <x:c r="R221" s="16" t="n">
        <x:f>O221</x:f>
        <x:v>3.1039070847519357</x:v>
      </x:c>
      <x:c r="S221" s="16" t="n">
        <x:f>Q221</x:f>
        <x:v>0.4808583540913402</x:v>
      </x:c>
      <x:c r="T221" s="2" t="n">
        <x:f>Inputs!E15/Inputs!F15</x:f>
        <x:v>0.06666666666666667</x:v>
      </x:c>
      <x:c r="U221" s="2" t="n">
        <x:f>'Cohort factors'!F11</x:f>
        <x:v>7</x:v>
      </x:c>
      <x:c r="V221" s="2" t="n">
        <x:f>D221*Inputs!D15*'Cohort factors'!G11*Inputs!$B$5/1000*44/12/1000000</x:f>
        <x:v>0.31837596381755756</x:v>
      </x:c>
    </x:row>
    <x:row r="222" ht="22" customHeight="1">
      <x:c r="A222" s="2" t="str">
        <x:v>CR_FAST</x:v>
      </x:c>
      <x:c r="B222" s="2" t="str">
        <x:v>Cropped area</x:v>
      </x:c>
      <x:c r="C222" s="2" t="n">
        <x:v>2034</x:v>
      </x:c>
      <x:c r="D222" s="16" t="n">
        <x:f>Inputs!H15</x:f>
        <x:v>286230</x:v>
      </x:c>
      <x:c r="E222" s="16" t="n">
        <x:f>D222*'Cohort factors'!C12</x:f>
        <x:v>0</x:v>
      </x:c>
      <x:c r="F222" s="16" t="n">
        <x:f>D222*'Cohort factors'!D12</x:f>
        <x:v>286230</x:v>
      </x:c>
      <x:c r="G222" s="16" t="n">
        <x:f>F222*Inputs!D15</x:f>
        <x:v>13630000</x:v>
      </x:c>
      <x:c r="H222" s="16" t="n">
        <x:f>D222*Inputs!D15*'Cohort factors'!E12*Inputs!$B$5/1000</x:f>
        <x:v>702810.0022044441</x:v>
      </x:c>
      <x:c r="I222" s="16" t="n">
        <x:f>H222*Inputs!$B$10</x:f>
        <x:v>175472.25976414807</x:v>
      </x:c>
      <x:c r="J222" s="16" t="n">
        <x:f>D222*T222*Inputs!$B$8*U222</x:f>
        <x:v>99381.03953411995</x:v>
      </x:c>
      <x:c r="K222" s="16" t="n">
        <x:f>SUM(H222:J222)</x:f>
        <x:v>977663.3015027121</x:v>
      </x:c>
      <x:c r="L222" s="16" t="n">
        <x:f>H222-H221</x:f>
        <x:v>95001.34400728892</x:v>
      </x:c>
      <x:c r="M222" s="16" t="n">
        <x:f>K222-K221</x:f>
        <x:v>131143.1874794569</x:v>
      </x:c>
      <x:c r="N222" s="16" t="n">
        <x:f>H222*44/12/1000000</x:f>
        <x:v>2.576970008082962</x:v>
      </x:c>
      <x:c r="O222" s="16" t="n">
        <x:f>K222*44/12/1000000</x:f>
        <x:v>3.5847654388432777</x:v>
      </x:c>
      <x:c r="P222" s="16" t="n">
        <x:f>L222*44/12/1000000</x:f>
        <x:v>0.34833826136005935</x:v>
      </x:c>
      <x:c r="Q222" s="16" t="n">
        <x:f>M222*44/12/1000000</x:f>
        <x:v>0.4808583540913419</x:v>
      </x:c>
      <x:c r="R222" s="16" t="n">
        <x:f>O222</x:f>
        <x:v>3.5847654388432777</x:v>
      </x:c>
      <x:c r="S222" s="16" t="n">
        <x:f>Q222</x:f>
        <x:v>0.4808583540913419</x:v>
      </x:c>
      <x:c r="T222" s="2" t="n">
        <x:f>Inputs!E15/Inputs!F15</x:f>
        <x:v>0.06666666666666667</x:v>
      </x:c>
      <x:c r="U222" s="2" t="n">
        <x:f>'Cohort factors'!F12</x:f>
        <x:v>8</x:v>
      </x:c>
      <x:c r="V222" s="2" t="n">
        <x:f>D222*Inputs!D15*'Cohort factors'!G12*Inputs!$B$5/1000*44/12/1000000</x:f>
        <x:v>0.32212125101037026</x:v>
      </x:c>
    </x:row>
    <x:row r="223" ht="22" customHeight="1">
      <x:c r="A223" s="2" t="str">
        <x:v>CR_FAST</x:v>
      </x:c>
      <x:c r="B223" s="2" t="str">
        <x:v>Cropped area</x:v>
      </x:c>
      <x:c r="C223" s="2" t="n">
        <x:v>2035</x:v>
      </x:c>
      <x:c r="D223" s="16" t="n">
        <x:f>Inputs!H15</x:f>
        <x:v>286230</x:v>
      </x:c>
      <x:c r="E223" s="16" t="n">
        <x:f>D223*'Cohort factors'!C13</x:f>
        <x:v>0</x:v>
      </x:c>
      <x:c r="F223" s="16" t="n">
        <x:f>D223*'Cohort factors'!D13</x:f>
        <x:v>286230</x:v>
      </x:c>
      <x:c r="G223" s="16" t="n">
        <x:f>F223*Inputs!D15</x:f>
        <x:v>13630000</x:v>
      </x:c>
      <x:c r="H223" s="16" t="n">
        <x:f>D223*Inputs!D15*'Cohort factors'!E13*Inputs!$B$5/1000</x:f>
        <x:v>797811.3462117328</x:v>
      </x:c>
      <x:c r="I223" s="16" t="n">
        <x:f>H223*Inputs!$B$10</x:f>
        <x:v>199191.47329455096</x:v>
      </x:c>
      <x:c r="J223" s="16" t="n">
        <x:f>D223*T223*Inputs!$B$8*U223</x:f>
        <x:v>111803.66947588493</x:v>
      </x:c>
      <x:c r="K223" s="16" t="n">
        <x:f>SUM(H223:J223)</x:f>
        <x:v>1108806.4889821687</x:v>
      </x:c>
      <x:c r="L223" s="16" t="n">
        <x:f>H223-H222</x:f>
        <x:v>95001.34400728869</x:v>
      </x:c>
      <x:c r="M223" s="16" t="n">
        <x:f>K223-K222</x:f>
        <x:v>131143.18747945665</x:v>
      </x:c>
      <x:c r="N223" s="16" t="n">
        <x:f>H223*44/12/1000000</x:f>
        <x:v>2.92530826944302</x:v>
      </x:c>
      <x:c r="O223" s="16" t="n">
        <x:f>K223*44/12/1000000</x:f>
        <x:v>4.065623792934619</x:v>
      </x:c>
      <x:c r="P223" s="16" t="n">
        <x:f>L223*44/12/1000000</x:f>
        <x:v>0.3483382613600585</x:v>
      </x:c>
      <x:c r="Q223" s="16" t="n">
        <x:f>M223*44/12/1000000</x:f>
        <x:v>0.4808583540913411</x:v>
      </x:c>
      <x:c r="R223" s="16" t="n">
        <x:f>O223</x:f>
        <x:v>4.065623792934619</x:v>
      </x:c>
      <x:c r="S223" s="16" t="n">
        <x:f>Q223</x:f>
        <x:v>0.4808583540913411</x:v>
      </x:c>
      <x:c r="T223" s="2" t="n">
        <x:f>Inputs!E15/Inputs!F15</x:f>
        <x:v>0.06666666666666667</x:v>
      </x:c>
      <x:c r="U223" s="2" t="n">
        <x:f>'Cohort factors'!F13</x:f>
        <x:v>9</x:v>
      </x:c>
      <x:c r="V223" s="2" t="n">
        <x:f>D223*Inputs!D15*'Cohort factors'!G13*Inputs!$B$5/1000*44/12/1000000</x:f>
        <x:v>0.3250342521603356</x:v>
      </x:c>
    </x:row>
    <x:row r="224" ht="22" customHeight="1">
      <x:c r="A224" s="2" t="str">
        <x:v>CR_FAST</x:v>
      </x:c>
      <x:c r="B224" s="2" t="str">
        <x:v>Cropped area</x:v>
      </x:c>
      <x:c r="C224" s="2" t="n">
        <x:v>2036</x:v>
      </x:c>
      <x:c r="D224" s="16" t="n">
        <x:f>Inputs!H15</x:f>
        <x:v>286230</x:v>
      </x:c>
      <x:c r="E224" s="16" t="n">
        <x:f>D224*'Cohort factors'!C14</x:f>
        <x:v>0</x:v>
      </x:c>
      <x:c r="F224" s="16" t="n">
        <x:f>D224*'Cohort factors'!D14</x:f>
        <x:v>286230</x:v>
      </x:c>
      <x:c r="G224" s="16" t="n">
        <x:f>F224*Inputs!D15</x:f>
        <x:v>13630000</x:v>
      </x:c>
      <x:c r="H224" s="16" t="n">
        <x:f>D224*Inputs!D15*'Cohort factors'!E14*Inputs!$B$5/1000</x:f>
        <x:v>958510.9380557325</x:v>
      </x:c>
      <x:c r="I224" s="16" t="n">
        <x:f>H224*Inputs!$B$10</x:f>
        <x:v>239313.72601661755</x:v>
      </x:c>
      <x:c r="J224" s="16" t="n">
        <x:f>D224*T224*Inputs!$B$8*U224</x:f>
        <x:v>124226.29941764993</x:v>
      </x:c>
      <x:c r="K224" s="16" t="n">
        <x:f>SUM(H224:J224)</x:f>
        <x:v>1322050.96349</x:v>
      </x:c>
      <x:c r="L224" s="16" t="n">
        <x:f>H224-H223</x:f>
        <x:v>160699.5918439997</x:v>
      </x:c>
      <x:c r="M224" s="16" t="n">
        <x:f>K224-K223</x:f>
        <x:v>213244.47450783127</x:v>
      </x:c>
      <x:c r="N224" s="16" t="n">
        <x:f>H224*44/12/1000000</x:f>
        <x:v>3.5145401062043526</x:v>
      </x:c>
      <x:c r="O224" s="16" t="n">
        <x:f>K224*44/12/1000000</x:f>
        <x:v>4.847520199463333</x:v>
      </x:c>
      <x:c r="P224" s="16" t="n">
        <x:f>L224*44/12/1000000</x:f>
        <x:v>0.5892318367613323</x:v>
      </x:c>
      <x:c r="Q224" s="16" t="n">
        <x:f>M224*44/12/1000000</x:f>
        <x:v>0.7818964065287147</x:v>
      </x:c>
      <x:c r="R224" s="16" t="n">
        <x:f>O224</x:f>
        <x:v>4.847520199463333</x:v>
      </x:c>
      <x:c r="S224" s="16" t="n">
        <x:f>Q224</x:f>
        <x:v>0.7818964065287147</x:v>
      </x:c>
      <x:c r="T224" s="2" t="n">
        <x:f>Inputs!E15/Inputs!F15</x:f>
        <x:v>0.06666666666666667</x:v>
      </x:c>
      <x:c r="U224" s="2" t="n">
        <x:f>'Cohort factors'!F14</x:f>
        <x:v>10</x:v>
      </x:c>
      <x:c r="V224" s="2" t="n">
        <x:f>D224*Inputs!D15*'Cohort factors'!G14*Inputs!$B$5/1000*44/12/1000000</x:f>
        <x:v>0.35145401062043524</x:v>
      </x:c>
    </x:row>
    <x:row r="225" ht="22" customHeight="1">
      <x:c r="A225" s="2" t="str">
        <x:v>CR_FAST</x:v>
      </x:c>
      <x:c r="B225" s="2" t="str">
        <x:v>Cropped area</x:v>
      </x:c>
      <x:c r="C225" s="2" t="n">
        <x:v>2037</x:v>
      </x:c>
      <x:c r="D225" s="16" t="n">
        <x:f>Inputs!H15</x:f>
        <x:v>286230</x:v>
      </x:c>
      <x:c r="E225" s="16" t="n">
        <x:f>D225*'Cohort factors'!C15</x:f>
        <x:v>0</x:v>
      </x:c>
      <x:c r="F225" s="16" t="n">
        <x:f>D225*'Cohort factors'!D15</x:f>
        <x:v>286230</x:v>
      </x:c>
      <x:c r="G225" s="16" t="n">
        <x:f>F225*Inputs!D15</x:f>
        <x:v>13630000</x:v>
      </x:c>
      <x:c r="H225" s="16" t="n">
        <x:f>D225*Inputs!D15*'Cohort factors'!E15*Inputs!$B$5/1000</x:f>
        <x:v>1195050.429422665</x:v>
      </x:c>
      <x:c r="I225" s="16" t="n">
        <x:f>H225*Inputs!$B$10</x:f>
        <x:v>298371.1084434884</x:v>
      </x:c>
      <x:c r="J225" s="16" t="n">
        <x:f>D225*T225*Inputs!$B$8*U225</x:f>
        <x:v>136648.92935941493</x:v>
      </x:c>
      <x:c r="K225" s="16" t="n">
        <x:f>SUM(H225:J225)</x:f>
        <x:v>1630070.4672255681</x:v>
      </x:c>
      <x:c r="L225" s="16" t="n">
        <x:f>H225-H224</x:f>
        <x:v>236539.4913669324</x:v>
      </x:c>
      <x:c r="M225" s="16" t="n">
        <x:f>K225-K224</x:f>
        <x:v>308019.50373556814</x:v>
      </x:c>
      <x:c r="N225" s="16" t="n">
        <x:f>H225*44/12/1000000</x:f>
        <x:v>4.381851574549771</x:v>
      </x:c>
      <x:c r="O225" s="16" t="n">
        <x:f>K225*44/12/1000000</x:f>
        <x:v>5.97692504649375</x:v>
      </x:c>
      <x:c r="P225" s="16" t="n">
        <x:f>L225*44/12/1000000</x:f>
        <x:v>0.867311468345419</x:v>
      </x:c>
      <x:c r="Q225" s="16" t="n">
        <x:f>M225*44/12/1000000</x:f>
        <x:v>1.1294048470304163</x:v>
      </x:c>
      <x:c r="R225" s="16" t="n">
        <x:f>O225</x:f>
        <x:v>5.97692504649375</x:v>
      </x:c>
      <x:c r="S225" s="16" t="n">
        <x:f>Q225</x:f>
        <x:v>1.1294048470304163</x:v>
      </x:c>
      <x:c r="T225" s="2" t="n">
        <x:f>Inputs!E15/Inputs!F15</x:f>
        <x:v>0.06666666666666667</x:v>
      </x:c>
      <x:c r="U225" s="2" t="n">
        <x:f>'Cohort factors'!F15</x:f>
        <x:v>11</x:v>
      </x:c>
      <x:c r="V225" s="2" t="n">
        <x:f>D225*Inputs!D15*'Cohort factors'!G15*Inputs!$B$5/1000*44/12/1000000</x:f>
        <x:v>0.39835014314088824</x:v>
      </x:c>
    </x:row>
    <x:row r="226" ht="22" customHeight="1">
      <x:c r="A226" s="2" t="str">
        <x:v>CR_FAST</x:v>
      </x:c>
      <x:c r="B226" s="2" t="str">
        <x:v>Cropped area</x:v>
      </x:c>
      <x:c r="C226" s="2" t="n">
        <x:v>2038</x:v>
      </x:c>
      <x:c r="D226" s="16" t="n">
        <x:f>Inputs!H15</x:f>
        <x:v>286230</x:v>
      </x:c>
      <x:c r="E226" s="16" t="n">
        <x:f>D226*'Cohort factors'!C16</x:f>
        <x:v>0</x:v>
      </x:c>
      <x:c r="F226" s="16" t="n">
        <x:f>D226*'Cohort factors'!D16</x:f>
        <x:v>286230</x:v>
      </x:c>
      <x:c r="G226" s="16" t="n">
        <x:f>F226*Inputs!D15</x:f>
        <x:v>13630000</x:v>
      </x:c>
      <x:c r="H226" s="16" t="n">
        <x:f>D226*Inputs!D15*'Cohort factors'!E16*Inputs!$B$5/1000</x:f>
        <x:v>1431589.9207895973</x:v>
      </x:c>
      <x:c r="I226" s="16" t="n">
        <x:f>H226*Inputs!$B$10</x:f>
        <x:v>357428.4908703593</x:v>
      </x:c>
      <x:c r="J226" s="16" t="n">
        <x:f>D226*T226*Inputs!$B$8*U226</x:f>
        <x:v>149071.55930117992</x:v>
      </x:c>
      <x:c r="K226" s="16" t="n">
        <x:f>SUM(H226:J226)</x:f>
        <x:v>1938089.9709611365</x:v>
      </x:c>
      <x:c r="L226" s="16" t="n">
        <x:f>H226-H225</x:f>
        <x:v>236539.4913669324</x:v>
      </x:c>
      <x:c r="M226" s="16" t="n">
        <x:f>K226-K225</x:f>
        <x:v>308019.5037355684</x:v>
      </x:c>
      <x:c r="N226" s="16" t="n">
        <x:f>H226*44/12/1000000</x:f>
        <x:v>5.249163042895191</x:v>
      </x:c>
      <x:c r="O226" s="16" t="n">
        <x:f>K226*44/12/1000000</x:f>
        <x:v>7.106329893524167</x:v>
      </x:c>
      <x:c r="P226" s="16" t="n">
        <x:f>L226*44/12/1000000</x:f>
        <x:v>0.867311468345419</x:v>
      </x:c>
      <x:c r="Q226" s="16" t="n">
        <x:f>M226*44/12/1000000</x:f>
        <x:v>1.1294048470304172</x:v>
      </x:c>
      <x:c r="R226" s="16" t="n">
        <x:f>O226</x:f>
        <x:v>7.106329893524167</x:v>
      </x:c>
      <x:c r="S226" s="16" t="n">
        <x:f>Q226</x:f>
        <x:v>1.1294048470304172</x:v>
      </x:c>
      <x:c r="T226" s="2" t="n">
        <x:f>Inputs!E15/Inputs!F15</x:f>
        <x:v>0.06666666666666667</x:v>
      </x:c>
      <x:c r="U226" s="2" t="n">
        <x:f>'Cohort factors'!F16</x:f>
        <x:v>12</x:v>
      </x:c>
      <x:c r="V226" s="2" t="n">
        <x:f>D226*Inputs!D15*'Cohort factors'!G16*Inputs!$B$5/1000*44/12/1000000</x:f>
        <x:v>0.43743025357459925</x:v>
      </x:c>
    </x:row>
    <x:row r="227" ht="22" customHeight="1">
      <x:c r="A227" s="2" t="str">
        <x:v>CR_FAST</x:v>
      </x:c>
      <x:c r="B227" s="2" t="str">
        <x:v>Cropped area</x:v>
      </x:c>
      <x:c r="C227" s="2" t="n">
        <x:v>2039</x:v>
      </x:c>
      <x:c r="D227" s="16" t="n">
        <x:f>Inputs!H15</x:f>
        <x:v>286230</x:v>
      </x:c>
      <x:c r="E227" s="16" t="n">
        <x:f>D227*'Cohort factors'!C17</x:f>
        <x:v>0</x:v>
      </x:c>
      <x:c r="F227" s="16" t="n">
        <x:f>D227*'Cohort factors'!D17</x:f>
        <x:v>286230</x:v>
      </x:c>
      <x:c r="G227" s="16" t="n">
        <x:f>F227*Inputs!D15</x:f>
        <x:v>13630000</x:v>
      </x:c>
      <x:c r="H227" s="16" t="n">
        <x:f>D227*Inputs!D15*'Cohort factors'!E17*Inputs!$B$5/1000</x:f>
        <x:v>1668129.4121565295</x:v>
      </x:c>
      <x:c r="I227" s="16" t="n">
        <x:f>H227*Inputs!$B$10</x:f>
        <x:v>416485.8732972301</x:v>
      </x:c>
      <x:c r="J227" s="16" t="n">
        <x:f>D227*T227*Inputs!$B$8*U227</x:f>
        <x:v>161494.1892429449</x:v>
      </x:c>
      <x:c r="K227" s="16" t="n">
        <x:f>SUM(H227:J227)</x:f>
        <x:v>2246109.4746967047</x:v>
      </x:c>
      <x:c r="L227" s="16" t="n">
        <x:f>H227-H226</x:f>
        <x:v>236539.49136693217</x:v>
      </x:c>
      <x:c r="M227" s="16" t="n">
        <x:f>K227-K226</x:f>
        <x:v>308019.50373556814</x:v>
      </x:c>
      <x:c r="N227" s="16" t="n">
        <x:f>H227*44/12/1000000</x:f>
        <x:v>6.116474511240608</x:v>
      </x:c>
      <x:c r="O227" s="16" t="n">
        <x:f>K227*44/12/1000000</x:f>
        <x:v>8.235734740554584</x:v>
      </x:c>
      <x:c r="P227" s="16" t="n">
        <x:f>L227*44/12/1000000</x:f>
        <x:v>0.867311468345418</x:v>
      </x:c>
      <x:c r="Q227" s="16" t="n">
        <x:f>M227*44/12/1000000</x:f>
        <x:v>1.1294048470304163</x:v>
      </x:c>
      <x:c r="R227" s="16" t="n">
        <x:f>O227</x:f>
        <x:v>8.235734740554584</x:v>
      </x:c>
      <x:c r="S227" s="16" t="n">
        <x:f>Q227</x:f>
        <x:v>1.1294048470304163</x:v>
      </x:c>
      <x:c r="T227" s="2" t="n">
        <x:f>Inputs!E15/Inputs!F15</x:f>
        <x:v>0.06666666666666667</x:v>
      </x:c>
      <x:c r="U227" s="2" t="n">
        <x:f>'Cohort factors'!F17</x:f>
        <x:v>13</x:v>
      </x:c>
      <x:c r="V227" s="2" t="n">
        <x:f>D227*Inputs!D15*'Cohort factors'!G17*Inputs!$B$5/1000*44/12/1000000</x:f>
        <x:v>0.47049803932620055</x:v>
      </x:c>
    </x:row>
    <x:row r="228" ht="22" customHeight="1">
      <x:c r="A228" s="2" t="str">
        <x:v>CR_FAST</x:v>
      </x:c>
      <x:c r="B228" s="2" t="str">
        <x:v>Cropped area</x:v>
      </x:c>
      <x:c r="C228" s="2" t="n">
        <x:v>2040</x:v>
      </x:c>
      <x:c r="D228" s="16" t="n">
        <x:f>Inputs!H15</x:f>
        <x:v>286230</x:v>
      </x:c>
      <x:c r="E228" s="16" t="n">
        <x:f>D228*'Cohort factors'!C18</x:f>
        <x:v>0</x:v>
      </x:c>
      <x:c r="F228" s="16" t="n">
        <x:f>D228*'Cohort factors'!D18</x:f>
        <x:v>286230</x:v>
      </x:c>
      <x:c r="G228" s="16" t="n">
        <x:f>F228*Inputs!D15</x:f>
        <x:v>13630000</x:v>
      </x:c>
      <x:c r="H228" s="16" t="n">
        <x:f>D228*Inputs!D15*'Cohort factors'!E18*Inputs!$B$5/1000</x:f>
        <x:v>1818993.2241741295</x:v>
      </x:c>
      <x:c r="I228" s="16" t="n">
        <x:f>H228*Inputs!$B$10</x:f>
        <x:v>454152.40326739015</x:v>
      </x:c>
      <x:c r="J228" s="16" t="n">
        <x:f>D228*T228*Inputs!$B$8*U228</x:f>
        <x:v>173916.81918470992</x:v>
      </x:c>
      <x:c r="K228" s="16" t="n">
        <x:f>SUM(H228:J228)</x:f>
        <x:v>2447062.4466262297</x:v>
      </x:c>
      <x:c r="L228" s="16" t="n">
        <x:f>H228-H227</x:f>
        <x:v>150863.81201760005</x:v>
      </x:c>
      <x:c r="M228" s="16" t="n">
        <x:f>K228-K227</x:f>
        <x:v>200952.97192952503</x:v>
      </x:c>
      <x:c r="N228" s="16" t="n">
        <x:f>H228*44/12/1000000</x:f>
        <x:v>6.669641821971808</x:v>
      </x:c>
      <x:c r="O228" s="16" t="n">
        <x:f>K228*44/12/1000000</x:f>
        <x:v>8.972562304296176</x:v>
      </x:c>
      <x:c r="P228" s="16" t="n">
        <x:f>L228*44/12/1000000</x:f>
        <x:v>0.5531673107312002</x:v>
      </x:c>
      <x:c r="Q228" s="16" t="n">
        <x:f>M228*44/12/1000000</x:f>
        <x:v>0.7368275637415918</x:v>
      </x:c>
      <x:c r="R228" s="16" t="n">
        <x:f>O228</x:f>
        <x:v>8.972562304296176</x:v>
      </x:c>
      <x:c r="S228" s="16" t="n">
        <x:f>Q228</x:f>
        <x:v>0.7368275637415918</x:v>
      </x:c>
      <x:c r="T228" s="2" t="n">
        <x:f>Inputs!E15/Inputs!F15</x:f>
        <x:v>0.06666666666666667</x:v>
      </x:c>
      <x:c r="U228" s="2" t="n">
        <x:f>'Cohort factors'!F18</x:f>
        <x:v>14</x:v>
      </x:c>
      <x:c r="V228" s="2" t="n">
        <x:f>D228*Inputs!D15*'Cohort factors'!G18*Inputs!$B$5/1000*44/12/1000000</x:f>
        <x:v>0.47640298728370056</x:v>
      </x:c>
    </x:row>
    <x:row r="229" ht="22" customHeight="1">
      <x:c r="A229" s="2" t="str">
        <x:v>CR_FAST</x:v>
      </x:c>
      <x:c r="B229" s="2" t="str">
        <x:v>Cropped area</x:v>
      </x:c>
      <x:c r="C229" s="2" t="n">
        <x:v>2041</x:v>
      </x:c>
      <x:c r="D229" s="16" t="n">
        <x:f>Inputs!H15</x:f>
        <x:v>286230</x:v>
      </x:c>
      <x:c r="E229" s="16" t="n">
        <x:f>D229*'Cohort factors'!C19</x:f>
        <x:v>0</x:v>
      </x:c>
      <x:c r="F229" s="16" t="n">
        <x:f>D229*'Cohort factors'!D19</x:f>
        <x:v>286230</x:v>
      </x:c>
      <x:c r="G229" s="16" t="n">
        <x:f>F229*Inputs!D15</x:f>
        <x:v>13630000</x:v>
      </x:c>
      <x:c r="H229" s="16" t="n">
        <x:f>D229*Inputs!D15*'Cohort factors'!E19*Inputs!$B$5/1000</x:f>
        <x:v>2060268.7243717348</x:v>
      </x:c>
      <x:c r="I229" s="16" t="n">
        <x:f>H229*Inputs!$B$10</x:f>
        <x:v>514392.23638388474</x:v>
      </x:c>
      <x:c r="J229" s="16" t="n">
        <x:f>D229*T229*Inputs!$B$8*U229</x:f>
        <x:v>186339.4491264749</x:v>
      </x:c>
      <x:c r="K229" s="16" t="n">
        <x:f>SUM(H229:J229)</x:f>
        <x:v>2761000.4098820947</x:v>
      </x:c>
      <x:c r="L229" s="16" t="n">
        <x:f>H229-H228</x:f>
        <x:v>241275.50019760523</x:v>
      </x:c>
      <x:c r="M229" s="16" t="n">
        <x:f>K229-K228</x:f>
        <x:v>313937.96325586503</x:v>
      </x:c>
      <x:c r="N229" s="16" t="n">
        <x:f>H229*44/12/1000000</x:f>
        <x:v>7.554318656029694</x:v>
      </x:c>
      <x:c r="O229" s="16" t="n">
        <x:f>K229*44/12/1000000</x:f>
        <x:v>10.12366816956768</x:v>
      </x:c>
      <x:c r="P229" s="16" t="n">
        <x:f>L229*44/12/1000000</x:f>
        <x:v>0.8846768340578858</x:v>
      </x:c>
      <x:c r="Q229" s="16" t="n">
        <x:f>M229*44/12/1000000</x:f>
        <x:v>1.1511058652715052</x:v>
      </x:c>
      <x:c r="R229" s="16" t="n">
        <x:f>O229</x:f>
        <x:v>10.12366816956768</x:v>
      </x:c>
      <x:c r="S229" s="16" t="n">
        <x:f>Q229</x:f>
        <x:v>1.1511058652715052</x:v>
      </x:c>
      <x:c r="T229" s="2" t="n">
        <x:f>Inputs!E15/Inputs!F15</x:f>
        <x:v>0.06666666666666667</x:v>
      </x:c>
      <x:c r="U229" s="2" t="n">
        <x:f>'Cohort factors'!F19</x:f>
        <x:v>15</x:v>
      </x:c>
      <x:c r="V229" s="2" t="n">
        <x:f>D229*Inputs!D15*'Cohort factors'!G19*Inputs!$B$5/1000*44/12/1000000</x:f>
        <x:v>0.5036212437353129</x:v>
      </x:c>
    </x:row>
    <x:row r="230" ht="22" customHeight="1">
      <x:c r="A230" s="2" t="str">
        <x:v>CR_FAST</x:v>
      </x:c>
      <x:c r="B230" s="2" t="str">
        <x:v>Cropped area</x:v>
      </x:c>
      <x:c r="C230" s="2" t="n">
        <x:v>2042</x:v>
      </x:c>
      <x:c r="D230" s="16" t="n">
        <x:f>Inputs!H15</x:f>
        <x:v>286230</x:v>
      </x:c>
      <x:c r="E230" s="16" t="n">
        <x:f>D230*'Cohort factors'!C20</x:f>
        <x:v>0</x:v>
      </x:c>
      <x:c r="F230" s="16" t="n">
        <x:f>D230*'Cohort factors'!D20</x:f>
        <x:v>286230</x:v>
      </x:c>
      <x:c r="G230" s="16" t="n">
        <x:f>F230*Inputs!D15</x:f>
        <x:v>13630000</x:v>
      </x:c>
      <x:c r="H230" s="16" t="n">
        <x:f>D230*Inputs!D15*'Cohort factors'!E20*Inputs!$B$5/1000</x:f>
        <x:v>2321850.1120642647</x:v>
      </x:c>
      <x:c r="I230" s="16" t="n">
        <x:f>H230*Inputs!$B$10</x:f>
        <x:v>579701.889158715</x:v>
      </x:c>
      <x:c r="J230" s="16" t="n">
        <x:f>D230*T230*Inputs!$B$8*U230</x:f>
        <x:v>198762.0790682399</x:v>
      </x:c>
      <x:c r="K230" s="16" t="n">
        <x:f>SUM(H230:J230)</x:f>
        <x:v>3100314.0802912195</x:v>
      </x:c>
      <x:c r="L230" s="16" t="n">
        <x:f>H230-H229</x:f>
        <x:v>261581.38769252994</x:v>
      </x:c>
      <x:c r="M230" s="16" t="n">
        <x:f>K230-K229</x:f>
        <x:v>339313.6704091248</x:v>
      </x:c>
      <x:c r="N230" s="16" t="n">
        <x:f>H230*44/12/1000000</x:f>
        <x:v>8.513450410902305</x:v>
      </x:c>
      <x:c r="O230" s="16" t="n">
        <x:f>K230*44/12/1000000</x:f>
        <x:v>11.36781829440114</x:v>
      </x:c>
      <x:c r="P230" s="16" t="n">
        <x:f>L230*44/12/1000000</x:f>
        <x:v>0.9591317548726098</x:v>
      </x:c>
      <x:c r="Q230" s="16" t="n">
        <x:f>M230*44/12/1000000</x:f>
        <x:v>1.2441501248334577</x:v>
      </x:c>
      <x:c r="R230" s="16" t="n">
        <x:f>O230</x:f>
        <x:v>11.36781829440114</x:v>
      </x:c>
      <x:c r="S230" s="16" t="n">
        <x:f>Q230</x:f>
        <x:v>1.2441501248334577</x:v>
      </x:c>
      <x:c r="T230" s="2" t="n">
        <x:f>Inputs!E15/Inputs!F15</x:f>
        <x:v>0.06666666666666667</x:v>
      </x:c>
      <x:c r="U230" s="2" t="n">
        <x:f>'Cohort factors'!F20</x:f>
        <x:v>16</x:v>
      </x:c>
      <x:c r="V230" s="2" t="n">
        <x:f>D230*Inputs!D15*'Cohort factors'!G20*Inputs!$B$5/1000*44/12/1000000</x:f>
        <x:v>0.532090650681394</x:v>
      </x:c>
    </x:row>
    <x:row r="231" ht="22" customHeight="1">
      <x:c r="A231" s="2" t="str">
        <x:v>CR_FAST</x:v>
      </x:c>
      <x:c r="B231" s="2" t="str">
        <x:v>Cropped area</x:v>
      </x:c>
      <x:c r="C231" s="2" t="n">
        <x:v>2043</x:v>
      </x:c>
      <x:c r="D231" s="16" t="n">
        <x:f>Inputs!H15</x:f>
        <x:v>286230</x:v>
      </x:c>
      <x:c r="E231" s="16" t="n">
        <x:f>D231*'Cohort factors'!C21</x:f>
        <x:v>0</x:v>
      </x:c>
      <x:c r="F231" s="16" t="n">
        <x:f>D231*'Cohort factors'!D21</x:f>
        <x:v>286230</x:v>
      </x:c>
      <x:c r="G231" s="16" t="n">
        <x:f>F231*Inputs!D15</x:f>
        <x:v>13630000</x:v>
      </x:c>
      <x:c r="H231" s="16" t="n">
        <x:f>D231*Inputs!D15*'Cohort factors'!E21*Inputs!$B$5/1000</x:f>
        <x:v>2565653.0122578675</x:v>
      </x:c>
      <x:c r="I231" s="16" t="n">
        <x:f>H231*Inputs!$B$10</x:f>
        <x:v>640572.7442971424</x:v>
      </x:c>
      <x:c r="J231" s="16" t="n">
        <x:f>D231*T231*Inputs!$B$8*U231</x:f>
        <x:v>211184.70901000488</x:v>
      </x:c>
      <x:c r="K231" s="16" t="n">
        <x:f>SUM(H231:J231)</x:f>
        <x:v>3417410.4655650146</x:v>
      </x:c>
      <x:c r="L231" s="16" t="n">
        <x:f>H231-H230</x:f>
        <x:v>243802.90019360278</x:v>
      </x:c>
      <x:c r="M231" s="16" t="n">
        <x:f>K231-K230</x:f>
        <x:v>317096.3852737951</x:v>
      </x:c>
      <x:c r="N231" s="16" t="n">
        <x:f>H231*44/12/1000000</x:f>
        <x:v>9.407394378278848</x:v>
      </x:c>
      <x:c r="O231" s="16" t="n">
        <x:f>K231*44/12/1000000</x:f>
        <x:v>12.530505040405055</x:v>
      </x:c>
      <x:c r="P231" s="16" t="n">
        <x:f>L231*44/12/1000000</x:f>
        <x:v>0.8939439673765436</x:v>
      </x:c>
      <x:c r="Q231" s="16" t="n">
        <x:f>M231*44/12/1000000</x:f>
        <x:v>1.1626867460039154</x:v>
      </x:c>
      <x:c r="R231" s="16" t="n">
        <x:f>O231</x:f>
        <x:v>12.530505040405055</x:v>
      </x:c>
      <x:c r="S231" s="16" t="n">
        <x:f>Q231</x:f>
        <x:v>1.1626867460039154</x:v>
      </x:c>
      <x:c r="T231" s="2" t="n">
        <x:f>Inputs!E15/Inputs!F15</x:f>
        <x:v>0.06666666666666667</x:v>
      </x:c>
      <x:c r="U231" s="2" t="n">
        <x:f>'Cohort factors'!F21</x:f>
        <x:v>17</x:v>
      </x:c>
      <x:c r="V231" s="2" t="n">
        <x:f>D231*Inputs!D15*'Cohort factors'!G21*Inputs!$B$5/1000*44/12/1000000</x:f>
        <x:v>0.5533761398987557</x:v>
      </x:c>
    </x:row>
    <x:row r="232" ht="22" customHeight="1">
      <x:c r="A232" s="2" t="str">
        <x:v>CR_FAST</x:v>
      </x:c>
      <x:c r="B232" s="2" t="str">
        <x:v>Cropped area</x:v>
      </x:c>
      <x:c r="C232" s="2" t="n">
        <x:v>2044</x:v>
      </x:c>
      <x:c r="D232" s="16" t="n">
        <x:f>Inputs!H15</x:f>
        <x:v>286230</x:v>
      </x:c>
      <x:c r="E232" s="16" t="n">
        <x:f>D232*'Cohort factors'!C22</x:f>
        <x:v>0</x:v>
      </x:c>
      <x:c r="F232" s="16" t="n">
        <x:f>D232*'Cohort factors'!D22</x:f>
        <x:v>286230</x:v>
      </x:c>
      <x:c r="G232" s="16" t="n">
        <x:f>F232*Inputs!D15</x:f>
        <x:v>13630000</x:v>
      </x:c>
      <x:c r="H232" s="16" t="n">
        <x:f>D232*Inputs!D15*'Cohort factors'!E22*Inputs!$B$5/1000</x:f>
        <x:v>2833417.9129637317</x:v>
      </x:c>
      <x:c r="I232" s="16" t="n">
        <x:f>H232*Inputs!$B$10</x:f>
        <x:v>707426.2496044174</x:v>
      </x:c>
      <x:c r="J232" s="16" t="n">
        <x:f>D232*T232*Inputs!$B$8*U232</x:f>
        <x:v>223607.33895176987</x:v>
      </x:c>
      <x:c r="K232" s="16" t="n">
        <x:f>SUM(H232:J232)</x:f>
        <x:v>3764451.501519919</x:v>
      </x:c>
      <x:c r="L232" s="16" t="n">
        <x:f>H232-H231</x:f>
        <x:v>267764.9007058642</x:v>
      </x:c>
      <x:c r="M232" s="16" t="n">
        <x:f>K232-K231</x:f>
        <x:v>347041.0359549043</x:v>
      </x:c>
      <x:c r="N232" s="16" t="n">
        <x:f>H232*44/12/1000000</x:f>
        <x:v>10.38919901420035</x:v>
      </x:c>
      <x:c r="O232" s="16" t="n">
        <x:f>K232*44/12/1000000</x:f>
        <x:v>13.80298883890637</x:v>
      </x:c>
      <x:c r="P232" s="16" t="n">
        <x:f>L232*44/12/1000000</x:f>
        <x:v>0.981804635921502</x:v>
      </x:c>
      <x:c r="Q232" s="16" t="n">
        <x:f>M232*44/12/1000000</x:f>
        <x:v>1.2724837985013158</x:v>
      </x:c>
      <x:c r="R232" s="16" t="n">
        <x:f>O232</x:f>
        <x:v>13.80298883890637</x:v>
      </x:c>
      <x:c r="S232" s="16" t="n">
        <x:f>Q232</x:f>
        <x:v>1.2724837985013158</x:v>
      </x:c>
      <x:c r="T232" s="2" t="n">
        <x:f>Inputs!E15/Inputs!F15</x:f>
        <x:v>0.06666666666666667</x:v>
      </x:c>
      <x:c r="U232" s="2" t="n">
        <x:f>'Cohort factors'!F22</x:f>
        <x:v>18</x:v>
      </x:c>
      <x:c r="V232" s="2" t="n">
        <x:f>D232*Inputs!D15*'Cohort factors'!G22*Inputs!$B$5/1000*44/12/1000000</x:f>
        <x:v>0.5771777230111306</x:v>
      </x:c>
    </x:row>
    <x:row r="233" ht="22" customHeight="1">
      <x:c r="A233" s="2" t="str">
        <x:v>CR_FAST</x:v>
      </x:c>
      <x:c r="B233" s="2" t="str">
        <x:v>Cropped area</x:v>
      </x:c>
      <x:c r="C233" s="2" t="n">
        <x:v>2045</x:v>
      </x:c>
      <x:c r="D233" s="16" t="n">
        <x:f>Inputs!H15</x:f>
        <x:v>286230</x:v>
      </x:c>
      <x:c r="E233" s="16" t="n">
        <x:f>D233*'Cohort factors'!C23</x:f>
        <x:v>0</x:v>
      </x:c>
      <x:c r="F233" s="16" t="n">
        <x:f>D233*'Cohort factors'!D23</x:f>
        <x:v>286230</x:v>
      </x:c>
      <x:c r="G233" s="16" t="n">
        <x:f>F233*Inputs!D15</x:f>
        <x:v>13630000</x:v>
      </x:c>
      <x:c r="H233" s="16" t="n">
        <x:f>D233*Inputs!D15*'Cohort factors'!E23*Inputs!$B$5/1000</x:f>
        <x:v>3023327.651041868</x:v>
      </x:c>
      <x:c r="I233" s="16" t="n">
        <x:f>H233*Inputs!$B$10</x:f>
        <x:v>754841.4696315426</x:v>
      </x:c>
      <x:c r="J233" s="16" t="n">
        <x:f>D233*T233*Inputs!$B$8*U233</x:f>
        <x:v>236029.96889353488</x:v>
      </x:c>
      <x:c r="K233" s="16" t="n">
        <x:f>SUM(H233:J233)</x:f>
        <x:v>4014199.0895669456</x:v>
      </x:c>
      <x:c r="L233" s="16" t="n">
        <x:f>H233-H232</x:f>
        <x:v>189909.73807813646</x:v>
      </x:c>
      <x:c r="M233" s="16" t="n">
        <x:f>K233-K232</x:f>
        <x:v>249747.58804702666</x:v>
      </x:c>
      <x:c r="N233" s="16" t="n">
        <x:f>H233*44/12/1000000</x:f>
        <x:v>11.08553472048685</x:v>
      </x:c>
      <x:c r="O233" s="16" t="n">
        <x:f>K233*44/12/1000000</x:f>
        <x:v>14.7187299950788</x:v>
      </x:c>
      <x:c r="P233" s="16" t="n">
        <x:f>L233*44/12/1000000</x:f>
        <x:v>0.6963357062865003</x:v>
      </x:c>
      <x:c r="Q233" s="16" t="n">
        <x:f>M233*44/12/1000000</x:f>
        <x:v>0.9157411561724311</x:v>
      </x:c>
      <x:c r="R233" s="16" t="n">
        <x:f>O233</x:f>
        <x:v>14.7187299950788</x:v>
      </x:c>
      <x:c r="S233" s="16" t="n">
        <x:f>Q233</x:f>
        <x:v>0.9157411561724311</x:v>
      </x:c>
      <x:c r="T233" s="2" t="n">
        <x:f>Inputs!E15/Inputs!F15</x:f>
        <x:v>0.06666666666666667</x:v>
      </x:c>
      <x:c r="U233" s="2" t="n">
        <x:f>'Cohort factors'!F23</x:f>
        <x:v>19</x:v>
      </x:c>
      <x:c r="V233" s="2" t="n">
        <x:f>D233*Inputs!D15*'Cohort factors'!G23*Inputs!$B$5/1000*44/12/1000000</x:f>
        <x:v>0.5834491958150974</x:v>
      </x:c>
    </x:row>
    <x:row r="234" ht="22" customHeight="1">
      <x:c r="A234" s="2" t="str">
        <x:v>CR_FAST</x:v>
      </x:c>
      <x:c r="B234" s="2" t="str">
        <x:v>Cropped area</x:v>
      </x:c>
      <x:c r="C234" s="2" t="n">
        <x:v>2046</x:v>
      </x:c>
      <x:c r="D234" s="16" t="n">
        <x:f>Inputs!H15</x:f>
        <x:v>286230</x:v>
      </x:c>
      <x:c r="E234" s="16" t="n">
        <x:f>D234*'Cohort factors'!C24</x:f>
        <x:v>0</x:v>
      </x:c>
      <x:c r="F234" s="16" t="n">
        <x:f>D234*'Cohort factors'!D24</x:f>
        <x:v>286230</x:v>
      </x:c>
      <x:c r="G234" s="16" t="n">
        <x:f>F234*Inputs!D15</x:f>
        <x:v>13630000</x:v>
      </x:c>
      <x:c r="H234" s="16" t="n">
        <x:f>D234*Inputs!D15*'Cohort factors'!E24*Inputs!$B$5/1000</x:f>
        <x:v>3135141.9866565294</x:v>
      </x:c>
      <x:c r="I234" s="16" t="n">
        <x:f>H234*Inputs!$B$10</x:f>
        <x:v>782758.4231222301</x:v>
      </x:c>
      <x:c r="J234" s="16" t="n">
        <x:f>D234*T234*Inputs!$B$8*U234</x:f>
        <x:v>248452.59883529987</x:v>
      </x:c>
      <x:c r="K234" s="16" t="n">
        <x:f>SUM(H234:J234)</x:f>
        <x:v>4166353.008614059</x:v>
      </x:c>
      <x:c r="L234" s="16" t="n">
        <x:f>H234-H233</x:f>
        <x:v>111814.33561466122</x:v>
      </x:c>
      <x:c r="M234" s="16" t="n">
        <x:f>K234-K233</x:f>
        <x:v>152153.9190471135</x:v>
      </x:c>
      <x:c r="N234" s="16" t="n">
        <x:f>H234*44/12/1000000</x:f>
        <x:v>11.495520617740608</x:v>
      </x:c>
      <x:c r="O234" s="16" t="n">
        <x:f>K234*44/12/1000000</x:f>
        <x:v>15.27662769825155</x:v>
      </x:c>
      <x:c r="P234" s="16" t="n">
        <x:f>L234*44/12/1000000</x:f>
        <x:v>0.40998589725375784</x:v>
      </x:c>
      <x:c r="Q234" s="16" t="n">
        <x:f>M234*44/12/1000000</x:f>
        <x:v>0.5578977031727494</x:v>
      </x:c>
      <x:c r="R234" s="16" t="n">
        <x:f>O234</x:f>
        <x:v>15.27662769825155</x:v>
      </x:c>
      <x:c r="S234" s="16" t="n">
        <x:f>Q234</x:f>
        <x:v>0.5578977031727494</x:v>
      </x:c>
      <x:c r="T234" s="2" t="n">
        <x:f>Inputs!E15/Inputs!F15</x:f>
        <x:v>0.06666666666666667</x:v>
      </x:c>
      <x:c r="U234" s="2" t="n">
        <x:f>'Cohort factors'!F24</x:f>
        <x:v>20</x:v>
      </x:c>
      <x:c r="V234" s="2" t="n">
        <x:f>D234*Inputs!D15*'Cohort factors'!G24*Inputs!$B$5/1000*44/12/1000000</x:f>
        <x:v>0.5747760308870306</x:v>
      </x:c>
    </x:row>
    <x:row r="235" ht="22" customHeight="1">
      <x:c r="A235" s="2" t="str">
        <x:v>CR_FAST</x:v>
      </x:c>
      <x:c r="B235" s="2" t="str">
        <x:v>Cropped area</x:v>
      </x:c>
      <x:c r="C235" s="2" t="n">
        <x:v>2047</x:v>
      </x:c>
      <x:c r="D235" s="16" t="n">
        <x:f>Inputs!H15</x:f>
        <x:v>286230</x:v>
      </x:c>
      <x:c r="E235" s="16" t="n">
        <x:f>D235*'Cohort factors'!C25</x:f>
        <x:v>0</x:v>
      </x:c>
      <x:c r="F235" s="16" t="n">
        <x:f>D235*'Cohort factors'!D25</x:f>
        <x:v>286230</x:v>
      </x:c>
      <x:c r="G235" s="16" t="n">
        <x:f>F235*Inputs!D15</x:f>
        <x:v>13630000</x:v>
      </x:c>
      <x:c r="H235" s="16" t="n">
        <x:f>D235*Inputs!D15*'Cohort factors'!E25*Inputs!$B$5/1000</x:f>
        <x:v>3315482.8123119976</x:v>
      </x:c>
      <x:c r="I235" s="16" t="n">
        <x:f>H235*Inputs!$B$10</x:f>
        <x:v>827784.5498225327</x:v>
      </x:c>
      <x:c r="J235" s="16" t="n">
        <x:f>D235*T235*Inputs!$B$8*U235</x:f>
        <x:v>260875.22877706485</x:v>
      </x:c>
      <x:c r="K235" s="16" t="n">
        <x:f>SUM(H235:J235)</x:f>
        <x:v>4404142.590911595</x:v>
      </x:c>
      <x:c r="L235" s="16" t="n">
        <x:f>H235-H234</x:f>
        <x:v>180340.82565546827</x:v>
      </x:c>
      <x:c r="M235" s="16" t="n">
        <x:f>K235-K234</x:f>
        <x:v>237789.58229753608</x:v>
      </x:c>
      <x:c r="N235" s="16" t="n">
        <x:f>H235*44/12/1000000</x:f>
        <x:v>12.156770311810657</x:v>
      </x:c>
      <x:c r="O235" s="16" t="n">
        <x:f>K235*44/12/1000000</x:f>
        <x:v>16.148522833342515</x:v>
      </x:c>
      <x:c r="P235" s="16" t="n">
        <x:f>L235*44/12/1000000</x:f>
        <x:v>0.6612496940700504</x:v>
      </x:c>
      <x:c r="Q235" s="16" t="n">
        <x:f>M235*44/12/1000000</x:f>
        <x:v>0.8718951350909656</x:v>
      </x:c>
      <x:c r="R235" s="16" t="n">
        <x:f>O235</x:f>
        <x:v>16.148522833342515</x:v>
      </x:c>
      <x:c r="S235" s="16" t="n">
        <x:f>Q235</x:f>
        <x:v>0.8718951350909656</x:v>
      </x:c>
      <x:c r="T235" s="2" t="n">
        <x:f>Inputs!E15/Inputs!F15</x:f>
        <x:v>0.06666666666666667</x:v>
      </x:c>
      <x:c r="U235" s="2" t="n">
        <x:f>'Cohort factors'!F25</x:f>
        <x:v>21</x:v>
      </x:c>
      <x:c r="V235" s="2" t="n">
        <x:f>D235*Inputs!D15*'Cohort factors'!G25*Inputs!$B$5/1000*44/12/1000000</x:f>
        <x:v>0.5788938243719359</x:v>
      </x:c>
    </x:row>
    <x:row r="236" ht="22" customHeight="1">
      <x:c r="A236" s="2" t="str">
        <x:v>CR_FAST</x:v>
      </x:c>
      <x:c r="B236" s="2" t="str">
        <x:v>Cropped area</x:v>
      </x:c>
      <x:c r="C236" s="2" t="n">
        <x:v>2048</x:v>
      </x:c>
      <x:c r="D236" s="16" t="n">
        <x:f>Inputs!H15</x:f>
        <x:v>286230</x:v>
      </x:c>
      <x:c r="E236" s="16" t="n">
        <x:f>D236*'Cohort factors'!C26</x:f>
        <x:v>0</x:v>
      </x:c>
      <x:c r="F236" s="16" t="n">
        <x:f>D236*'Cohort factors'!D26</x:f>
        <x:v>286230</x:v>
      </x:c>
      <x:c r="G236" s="16" t="n">
        <x:f>F236*Inputs!D15</x:f>
        <x:v>13630000</x:v>
      </x:c>
      <x:c r="H236" s="16" t="n">
        <x:f>D236*Inputs!D15*'Cohort factors'!E26*Inputs!$B$5/1000</x:f>
        <x:v>3518053.07138853</x:v>
      </x:c>
      <x:c r="I236" s="16" t="n">
        <x:f>H236*Inputs!$B$10</x:f>
        <x:v>878360.7525084303</x:v>
      </x:c>
      <x:c r="J236" s="16" t="n">
        <x:f>D236*T236*Inputs!$B$8*U236</x:f>
        <x:v>273297.85871882987</x:v>
      </x:c>
      <x:c r="K236" s="16" t="n">
        <x:f>SUM(H236:J236)</x:f>
        <x:v>4669711.6826157905</x:v>
      </x:c>
      <x:c r="L236" s="16" t="n">
        <x:f>H236-H235</x:f>
        <x:v>202570.25907653244</x:v>
      </x:c>
      <x:c r="M236" s="16" t="n">
        <x:f>K236-K235</x:f>
        <x:v>265569.09170419537</x:v>
      </x:c>
      <x:c r="N236" s="16" t="n">
        <x:f>H236*44/12/1000000</x:f>
        <x:v>12.89952792842461</x:v>
      </x:c>
      <x:c r="O236" s="16" t="n">
        <x:f>K236*44/12/1000000</x:f>
        <x:v>17.122276169591235</x:v>
      </x:c>
      <x:c r="P236" s="16" t="n">
        <x:f>L236*44/12/1000000</x:f>
        <x:v>0.7427576166139523</x:v>
      </x:c>
      <x:c r="Q236" s="16" t="n">
        <x:f>M236*44/12/1000000</x:f>
        <x:v>0.9737533362487163</x:v>
      </x:c>
      <x:c r="R236" s="16" t="n">
        <x:f>O236</x:f>
        <x:v>17.122276169591235</x:v>
      </x:c>
      <x:c r="S236" s="16" t="n">
        <x:f>Q236</x:f>
        <x:v>0.9737533362487163</x:v>
      </x:c>
      <x:c r="T236" s="2" t="n">
        <x:f>Inputs!E15/Inputs!F15</x:f>
        <x:v>0.06666666666666667</x:v>
      </x:c>
      <x:c r="U236" s="2" t="n">
        <x:f>'Cohort factors'!F26</x:f>
        <x:v>22</x:v>
      </x:c>
      <x:c r="V236" s="2" t="n">
        <x:f>D236*Inputs!D15*'Cohort factors'!G26*Inputs!$B$5/1000*44/12/1000000</x:f>
        <x:v>0.586342178564755</x:v>
      </x:c>
    </x:row>
    <x:row r="237" ht="22" customHeight="1">
      <x:c r="A237" s="2" t="str">
        <x:v>CR_FAST</x:v>
      </x:c>
      <x:c r="B237" s="2" t="str">
        <x:v>Cropped area</x:v>
      </x:c>
      <x:c r="C237" s="2" t="n">
        <x:v>2049</x:v>
      </x:c>
      <x:c r="D237" s="16" t="n">
        <x:f>Inputs!H15</x:f>
        <x:v>286230</x:v>
      </x:c>
      <x:c r="E237" s="16" t="n">
        <x:f>D237*'Cohort factors'!C27</x:f>
        <x:v>0</x:v>
      </x:c>
      <x:c r="F237" s="16" t="n">
        <x:f>D237*'Cohort factors'!D27</x:f>
        <x:v>286230</x:v>
      </x:c>
      <x:c r="G237" s="16" t="n">
        <x:f>F237*Inputs!D15</x:f>
        <x:v>13630000</x:v>
      </x:c>
      <x:c r="H237" s="16" t="n">
        <x:f>D237*Inputs!D15*'Cohort factors'!E27*Inputs!$B$5/1000</x:f>
        <x:v>3737550.4754426703</x:v>
      </x:c>
      <x:c r="I237" s="16" t="n">
        <x:f>H237*Inputs!$B$10</x:f>
        <x:v>933163.1961004897</x:v>
      </x:c>
      <x:c r="J237" s="16" t="n">
        <x:f>D237*T237*Inputs!$B$8*U237</x:f>
        <x:v>285720.48866059486</x:v>
      </x:c>
      <x:c r="K237" s="16" t="n">
        <x:f>SUM(H237:J237)</x:f>
        <x:v>4956434.160203755</x:v>
      </x:c>
      <x:c r="L237" s="16" t="n">
        <x:f>H237-H236</x:f>
        <x:v>219497.4040541402</x:v>
      </x:c>
      <x:c r="M237" s="16" t="n">
        <x:f>K237-K236</x:f>
        <x:v>286722.4775879644</x:v>
      </x:c>
      <x:c r="N237" s="16" t="n">
        <x:f>H237*44/12/1000000</x:f>
        <x:v>13.704351743289791</x:v>
      </x:c>
      <x:c r="O237" s="16" t="n">
        <x:f>K237*44/12/1000000</x:f>
        <x:v>18.1735919207471</x:v>
      </x:c>
      <x:c r="P237" s="16" t="n">
        <x:f>L237*44/12/1000000</x:f>
        <x:v>0.8048238148651807</x:v>
      </x:c>
      <x:c r="Q237" s="16" t="n">
        <x:f>M237*44/12/1000000</x:f>
        <x:v>1.0513157511558693</x:v>
      </x:c>
      <x:c r="R237" s="16" t="n">
        <x:f>O237</x:f>
        <x:v>18.1735919207471</x:v>
      </x:c>
      <x:c r="S237" s="16" t="n">
        <x:f>Q237</x:f>
        <x:v>1.0513157511558693</x:v>
      </x:c>
      <x:c r="T237" s="2" t="n">
        <x:f>Inputs!E15/Inputs!F15</x:f>
        <x:v>0.06666666666666667</x:v>
      </x:c>
      <x:c r="U237" s="2" t="n">
        <x:f>'Cohort factors'!F27</x:f>
        <x:v>23</x:v>
      </x:c>
      <x:c r="V237" s="2" t="n">
        <x:f>D237*Inputs!D15*'Cohort factors'!G27*Inputs!$B$5/1000*44/12/1000000</x:f>
        <x:v>0.5958413801430343</x:v>
      </x:c>
    </x:row>
    <x:row r="238" ht="22" customHeight="1">
      <x:c r="A238" s="2" t="str">
        <x:v>CR_FAST</x:v>
      </x:c>
      <x:c r="B238" s="2" t="str">
        <x:v>Cropped area</x:v>
      </x:c>
      <x:c r="C238" s="2" t="n">
        <x:v>2050</x:v>
      </x:c>
      <x:c r="D238" s="16" t="n">
        <x:f>Inputs!H15</x:f>
        <x:v>286230</x:v>
      </x:c>
      <x:c r="E238" s="16" t="n">
        <x:f>D238*'Cohort factors'!C28</x:f>
        <x:v>0</x:v>
      </x:c>
      <x:c r="F238" s="16" t="n">
        <x:f>D238*'Cohort factors'!D28</x:f>
        <x:v>286230</x:v>
      </x:c>
      <x:c r="G238" s="16" t="n">
        <x:f>F238*Inputs!D15</x:f>
        <x:v>13630000</x:v>
      </x:c>
      <x:c r="H238" s="16" t="n">
        <x:f>D238*Inputs!D15*'Cohort factors'!E28*Inputs!$B$5/1000</x:f>
        <x:v>3919411.735230929</x:v>
      </x:c>
      <x:c r="I238" s="16" t="n">
        <x:f>H238*Inputs!$B$10</x:f>
        <x:v>978568.93323927</x:v>
      </x:c>
      <x:c r="J238" s="16" t="n">
        <x:f>D238*T238*Inputs!$B$8*U238</x:f>
        <x:v>298143.11860235984</x:v>
      </x:c>
      <x:c r="K238" s="16" t="n">
        <x:f>SUM(H238:J238)</x:f>
        <x:v>5196123.787072559</x:v>
      </x:c>
      <x:c r="L238" s="16" t="n">
        <x:f>H238-H237</x:f>
        <x:v>181861.25978825893</x:v>
      </x:c>
      <x:c r="M238" s="16" t="n">
        <x:f>K238-K237</x:f>
        <x:v>239689.62686880399</x:v>
      </x:c>
      <x:c r="N238" s="16" t="n">
        <x:f>H238*44/12/1000000</x:f>
        <x:v>14.371176362513408</x:v>
      </x:c>
      <x:c r="O238" s="16" t="n">
        <x:f>K238*44/12/1000000</x:f>
        <x:v>19.052453885932717</x:v>
      </x:c>
      <x:c r="P238" s="16" t="n">
        <x:f>L238*44/12/1000000</x:f>
        <x:v>0.6668246192236161</x:v>
      </x:c>
      <x:c r="Q238" s="16" t="n">
        <x:f>M238*44/12/1000000</x:f>
        <x:v>0.8788619651856147</x:v>
      </x:c>
      <x:c r="R238" s="16" t="n">
        <x:f>O238</x:f>
        <x:v>19.052453885932717</x:v>
      </x:c>
      <x:c r="S238" s="16" t="n">
        <x:f>Q238</x:f>
        <x:v>0.8788619651856147</x:v>
      </x:c>
      <x:c r="T238" s="2" t="n">
        <x:f>Inputs!E15/Inputs!F15</x:f>
        <x:v>0.06666666666666667</x:v>
      </x:c>
      <x:c r="U238" s="2" t="n">
        <x:f>'Cohort factors'!F28</x:f>
        <x:v>24</x:v>
      </x:c>
      <x:c r="V238" s="2" t="n">
        <x:f>D238*Inputs!D15*'Cohort factors'!G28*Inputs!$B$5/1000*44/12/1000000</x:f>
        <x:v>0.5987990151047253</x:v>
      </x:c>
    </x:row>
    <x:row r="239" ht="22" customHeight="1">
      <x:c r="A239" s="2" t="str">
        <x:v>CR_FAST</x:v>
      </x:c>
      <x:c r="B239" s="2" t="str">
        <x:v>Cropped area</x:v>
      </x:c>
      <x:c r="C239" s="2" t="n">
        <x:v>2051</x:v>
      </x:c>
      <x:c r="D239" s="16" t="n">
        <x:f>Inputs!H15</x:f>
        <x:v>286230</x:v>
      </x:c>
      <x:c r="E239" s="16" t="n">
        <x:f>D239*'Cohort factors'!C29</x:f>
        <x:v>0</x:v>
      </x:c>
      <x:c r="F239" s="16" t="n">
        <x:f>D239*'Cohort factors'!D29</x:f>
        <x:v>286230</x:v>
      </x:c>
      <x:c r="G239" s="16" t="n">
        <x:f>F239*Inputs!D15</x:f>
        <x:v>13630000</x:v>
      </x:c>
      <x:c r="H239" s="16" t="n">
        <x:f>D239*Inputs!D15*'Cohort factors'!E29*Inputs!$B$5/1000</x:f>
        <x:v>4089587.338871467</x:v>
      </x:c>
      <x:c r="I239" s="16" t="n">
        <x:f>H239*Inputs!$B$10</x:f>
        <x:v>1021057.0845659022</x:v>
      </x:c>
      <x:c r="J239" s="16" t="n">
        <x:f>D239*T239*Inputs!$B$8*U239</x:f>
        <x:v>310565.7485441248</x:v>
      </x:c>
      <x:c r="K239" s="16" t="n">
        <x:f>SUM(H239:J239)</x:f>
        <x:v>5421210.171981494</x:v>
      </x:c>
      <x:c r="L239" s="16" t="n">
        <x:f>H239-H238</x:f>
        <x:v>170175.6036405377</x:v>
      </x:c>
      <x:c r="M239" s="16" t="n">
        <x:f>K239-K238</x:f>
        <x:v>225086.38490893506</x:v>
      </x:c>
      <x:c r="N239" s="16" t="n">
        <x:f>H239*44/12/1000000</x:f>
        <x:v>14.995153575862044</x:v>
      </x:c>
      <x:c r="O239" s="16" t="n">
        <x:f>K239*44/12/1000000</x:f>
        <x:v>19.87777063059881</x:v>
      </x:c>
      <x:c r="P239" s="16" t="n">
        <x:f>L239*44/12/1000000</x:f>
        <x:v>0.6239772133486383</x:v>
      </x:c>
      <x:c r="Q239" s="16" t="n">
        <x:f>M239*44/12/1000000</x:f>
        <x:v>0.8253167446660953</x:v>
      </x:c>
      <x:c r="R239" s="16" t="n">
        <x:f>O239</x:f>
        <x:v>19.87777063059881</x:v>
      </x:c>
      <x:c r="S239" s="16" t="n">
        <x:f>Q239</x:f>
        <x:v>0.8253167446660953</x:v>
      </x:c>
      <x:c r="T239" s="2" t="n">
        <x:f>Inputs!E15/Inputs!F15</x:f>
        <x:v>0.06666666666666667</x:v>
      </x:c>
      <x:c r="U239" s="2" t="n">
        <x:f>'Cohort factors'!F29</x:f>
        <x:v>25</x:v>
      </x:c>
      <x:c r="V239" s="2" t="n">
        <x:f>D239*Inputs!D15*'Cohort factors'!G29*Inputs!$B$5/1000*44/12/1000000</x:f>
        <x:v>0.5998061430344818</x:v>
      </x:c>
    </x:row>
    <x:row r="240" ht="22" customHeight="1">
      <x:c r="A240" s="2" t="str">
        <x:v>CR_FAST</x:v>
      </x:c>
      <x:c r="B240" s="2" t="str">
        <x:v>Cropped area</x:v>
      </x:c>
      <x:c r="C240" s="2" t="n">
        <x:v>2052</x:v>
      </x:c>
      <x:c r="D240" s="16" t="n">
        <x:f>Inputs!H15</x:f>
        <x:v>286230</x:v>
      </x:c>
      <x:c r="E240" s="16" t="n">
        <x:f>D240*'Cohort factors'!C30</x:f>
        <x:v>0</x:v>
      </x:c>
      <x:c r="F240" s="16" t="n">
        <x:f>D240*'Cohort factors'!D30</x:f>
        <x:v>286230</x:v>
      </x:c>
      <x:c r="G240" s="16" t="n">
        <x:f>F240*Inputs!D15</x:f>
        <x:v>13630000</x:v>
      </x:c>
      <x:c r="H240" s="16" t="n">
        <x:f>D240*Inputs!D15*'Cohort factors'!E30*Inputs!$B$5/1000</x:f>
        <x:v>4309459.00818693</x:v>
      </x:c>
      <x:c r="I240" s="16" t="n">
        <x:f>H240*Inputs!$B$10</x:f>
        <x:v>1075952.9718638703</x:v>
      </x:c>
      <x:c r="J240" s="16" t="n">
        <x:f>D240*T240*Inputs!$B$8*U240</x:f>
        <x:v>322988.3784858898</x:v>
      </x:c>
      <x:c r="K240" s="16" t="n">
        <x:f>SUM(H240:J240)</x:f>
        <x:v>5708400.3585366905</x:v>
      </x:c>
      <x:c r="L240" s="16" t="n">
        <x:f>H240-H239</x:f>
        <x:v>219871.66931546293</x:v>
      </x:c>
      <x:c r="M240" s="16" t="n">
        <x:f>K240-K239</x:f>
        <x:v>287190.18655519653</x:v>
      </x:c>
      <x:c r="N240" s="16" t="n">
        <x:f>H240*44/12/1000000</x:f>
        <x:v>15.80134969668541</x:v>
      </x:c>
      <x:c r="O240" s="16" t="n">
        <x:f>K240*44/12/1000000</x:f>
        <x:v>20.930801314634532</x:v>
      </x:c>
      <x:c r="P240" s="16" t="n">
        <x:f>L240*44/12/1000000</x:f>
        <x:v>0.8061961208233641</x:v>
      </x:c>
      <x:c r="Q240" s="16" t="n">
        <x:f>M240*44/12/1000000</x:f>
        <x:v>1.0530306840357206</x:v>
      </x:c>
      <x:c r="R240" s="16" t="n">
        <x:f>O240</x:f>
        <x:v>20.930801314634532</x:v>
      </x:c>
      <x:c r="S240" s="16" t="n">
        <x:f>Q240</x:f>
        <x:v>1.0530306840357206</x:v>
      </x:c>
      <x:c r="T240" s="2" t="n">
        <x:f>Inputs!E15/Inputs!F15</x:f>
        <x:v>0.06666666666666667</x:v>
      </x:c>
      <x:c r="U240" s="2" t="n">
        <x:f>'Cohort factors'!F30</x:f>
        <x:v>26</x:v>
      </x:c>
      <x:c r="V240" s="2" t="n">
        <x:f>D240*Inputs!D15*'Cohort factors'!G30*Inputs!$B$5/1000*44/12/1000000</x:f>
        <x:v>0.607744219103285</x:v>
      </x:c>
    </x:row>
    <x:row r="241" ht="22" customHeight="1">
      <x:c r="A241" s="2" t="str">
        <x:v>CR_FAST</x:v>
      </x:c>
      <x:c r="B241" s="2" t="str">
        <x:v>Cropped area</x:v>
      </x:c>
      <x:c r="C241" s="2" t="n">
        <x:v>2053</x:v>
      </x:c>
      <x:c r="D241" s="16" t="n">
        <x:f>Inputs!H15</x:f>
        <x:v>286230</x:v>
      </x:c>
      <x:c r="E241" s="16" t="n">
        <x:f>D241*'Cohort factors'!C31</x:f>
        <x:v>0</x:v>
      </x:c>
      <x:c r="F241" s="16" t="n">
        <x:f>D241*'Cohort factors'!D31</x:f>
        <x:v>286230</x:v>
      </x:c>
      <x:c r="G241" s="16" t="n">
        <x:f>F241*Inputs!D15</x:f>
        <x:v>13630000</x:v>
      </x:c>
      <x:c r="H241" s="16" t="n">
        <x:f>D241*Inputs!D15*'Cohort factors'!E31*Inputs!$B$5/1000</x:f>
        <x:v>4453349.356007197</x:v>
      </x:c>
      <x:c r="I241" s="16" t="n">
        <x:f>H241*Inputs!$B$10</x:f>
        <x:v>1111878.4202938525</x:v>
      </x:c>
      <x:c r="J241" s="16" t="n">
        <x:f>D241*T241*Inputs!$B$8*U241</x:f>
        <x:v>335411.0084276548</x:v>
      </x:c>
      <x:c r="K241" s="16" t="n">
        <x:f>SUM(H241:J241)</x:f>
        <x:v>5900638.784728704</x:v>
      </x:c>
      <x:c r="L241" s="16" t="n">
        <x:f>H241-H240</x:f>
        <x:v>143890.34782026708</x:v>
      </x:c>
      <x:c r="M241" s="16" t="n">
        <x:f>K241-K240</x:f>
        <x:v>192238.42619201355</x:v>
      </x:c>
      <x:c r="N241" s="16" t="n">
        <x:f>H241*44/12/1000000</x:f>
        <x:v>16.328947638693055</x:v>
      </x:c>
      <x:c r="O241" s="16" t="n">
        <x:f>K241*44/12/1000000</x:f>
        <x:v>21.63567554400525</x:v>
      </x:c>
      <x:c r="P241" s="16" t="n">
        <x:f>L241*44/12/1000000</x:f>
        <x:v>0.527597942007646</x:v>
      </x:c>
      <x:c r="Q241" s="16" t="n">
        <x:f>M241*44/12/1000000</x:f>
        <x:v>0.7048742293707164</x:v>
      </x:c>
      <x:c r="R241" s="16" t="n">
        <x:f>O241</x:f>
        <x:v>21.63567554400525</x:v>
      </x:c>
      <x:c r="S241" s="16" t="n">
        <x:f>Q241</x:f>
        <x:v>0.7048742293707164</x:v>
      </x:c>
      <x:c r="T241" s="2" t="n">
        <x:f>Inputs!E15/Inputs!F15</x:f>
        <x:v>0.06666666666666667</x:v>
      </x:c>
      <x:c r="U241" s="2" t="n">
        <x:f>'Cohort factors'!F31</x:f>
        <x:v>27</x:v>
      </x:c>
      <x:c r="V241" s="2" t="n">
        <x:f>D241*Inputs!D15*'Cohort factors'!G31*Inputs!$B$5/1000*44/12/1000000</x:f>
        <x:v>0.6047758384701131</x:v>
      </x:c>
    </x:row>
    <x:row r="242" ht="22" customHeight="1">
      <x:c r="A242" s="2" t="str">
        <x:v>CR_FAST</x:v>
      </x:c>
      <x:c r="B242" s="2" t="str">
        <x:v>Cropped area</x:v>
      </x:c>
      <x:c r="C242" s="2" t="n">
        <x:v>2054</x:v>
      </x:c>
      <x:c r="D242" s="16" t="n">
        <x:f>Inputs!H15</x:f>
        <x:v>286230</x:v>
      </x:c>
      <x:c r="E242" s="16" t="n">
        <x:f>D242*'Cohort factors'!C32</x:f>
        <x:v>0</x:v>
      </x:c>
      <x:c r="F242" s="16" t="n">
        <x:f>D242*'Cohort factors'!D32</x:f>
        <x:v>286230</x:v>
      </x:c>
      <x:c r="G242" s="16" t="n">
        <x:f>F242*Inputs!D15</x:f>
        <x:v>13630000</x:v>
      </x:c>
      <x:c r="H242" s="16" t="n">
        <x:f>D242*Inputs!D15*'Cohort factors'!E32*Inputs!$B$5/1000</x:f>
        <x:v>4606662.016695203</x:v>
      </x:c>
      <x:c r="I242" s="16" t="n">
        <x:f>H242*Inputs!$B$10</x:f>
        <x:v>1150156.3601879873</x:v>
      </x:c>
      <x:c r="J242" s="16" t="n">
        <x:f>D242*T242*Inputs!$B$8*U242</x:f>
        <x:v>347833.63836941984</x:v>
      </x:c>
      <x:c r="K242" s="16" t="n">
        <x:f>SUM(H242:J242)</x:f>
        <x:v>6104652.01525261</x:v>
      </x:c>
      <x:c r="L242" s="16" t="n">
        <x:f>H242-H241</x:f>
        <x:v>153312.66068800632</x:v>
      </x:c>
      <x:c r="M242" s="16" t="n">
        <x:f>K242-K241</x:f>
        <x:v>204013.23052390572</x:v>
      </x:c>
      <x:c r="N242" s="16" t="n">
        <x:f>H242*44/12/1000000</x:f>
        <x:v>16.891094061215746</x:v>
      </x:c>
      <x:c r="O242" s="16" t="n">
        <x:f>K242*44/12/1000000</x:f>
        <x:v>22.383724055926233</x:v>
      </x:c>
      <x:c r="P242" s="16" t="n">
        <x:f>L242*44/12/1000000</x:f>
        <x:v>0.5621464225226898</x:v>
      </x:c>
      <x:c r="Q242" s="16" t="n">
        <x:f>M242*44/12/1000000</x:f>
        <x:v>0.7480485119209876</x:v>
      </x:c>
      <x:c r="R242" s="16" t="n">
        <x:f>O242</x:f>
        <x:v>22.383724055926233</x:v>
      </x:c>
      <x:c r="S242" s="16" t="n">
        <x:f>Q242</x:f>
        <x:v>0.7480485119209876</x:v>
      </x:c>
      <x:c r="T242" s="2" t="n">
        <x:f>Inputs!E15/Inputs!F15</x:f>
        <x:v>0.06666666666666667</x:v>
      </x:c>
      <x:c r="U242" s="2" t="n">
        <x:f>'Cohort factors'!F32</x:f>
        <x:v>28</x:v>
      </x:c>
      <x:c r="V242" s="2" t="n">
        <x:f>D242*Inputs!D15*'Cohort factors'!G32*Inputs!$B$5/1000*44/12/1000000</x:f>
        <x:v>0.6032533593291337</x:v>
      </x:c>
    </x:row>
    <x:row r="243" ht="22" customHeight="1">
      <x:c r="A243" s="2" t="str">
        <x:v>CR_FAST</x:v>
      </x:c>
      <x:c r="B243" s="2" t="str">
        <x:v>Cropped area</x:v>
      </x:c>
      <x:c r="C243" s="2" t="n">
        <x:v>2055</x:v>
      </x:c>
      <x:c r="D243" s="16" t="n">
        <x:f>Inputs!H15</x:f>
        <x:v>286230</x:v>
      </x:c>
      <x:c r="E243" s="16" t="n">
        <x:f>D243*'Cohort factors'!C33</x:f>
        <x:v>0</x:v>
      </x:c>
      <x:c r="F243" s="16" t="n">
        <x:f>D243*'Cohort factors'!D33</x:f>
        <x:v>286230</x:v>
      </x:c>
      <x:c r="G243" s="16" t="n">
        <x:f>F243*Inputs!D15</x:f>
        <x:v>13630000</x:v>
      </x:c>
      <x:c r="H243" s="16" t="n">
        <x:f>D243*Inputs!D15*'Cohort factors'!E33*Inputs!$B$5/1000</x:f>
        <x:v>4911086.27371413</x:v>
      </x:c>
      <x:c r="I243" s="16" t="n">
        <x:f>H243*Inputs!$B$10</x:f>
        <x:v>1226162.6949563902</x:v>
      </x:c>
      <x:c r="J243" s="16" t="n">
        <x:f>D243*T243*Inputs!$B$8*U243</x:f>
        <x:v>360256.26831118483</x:v>
      </x:c>
      <x:c r="K243" s="16" t="n">
        <x:f>SUM(H243:J243)</x:f>
        <x:v>6497505.236981705</x:v>
      </x:c>
      <x:c r="L243" s="16" t="n">
        <x:f>H243-H242</x:f>
        <x:v>304424.25701892655</x:v>
      </x:c>
      <x:c r="M243" s="16" t="n">
        <x:f>K243-K242</x:f>
        <x:v>392853.2217290951</x:v>
      </x:c>
      <x:c r="N243" s="16" t="n">
        <x:f>H243*44/12/1000000</x:f>
        <x:v>18.00731633695181</x:v>
      </x:c>
      <x:c r="O243" s="16" t="n">
        <x:f>K243*44/12/1000000</x:f>
        <x:v>23.82418586893292</x:v>
      </x:c>
      <x:c r="P243" s="16" t="n">
        <x:f>L243*44/12/1000000</x:f>
        <x:v>1.116222275736064</x:v>
      </x:c>
      <x:c r="Q243" s="16" t="n">
        <x:f>M243*44/12/1000000</x:f>
        <x:v>1.4404618130066822</x:v>
      </x:c>
      <x:c r="R243" s="16" t="n">
        <x:f>O243</x:f>
        <x:v>23.82418586893292</x:v>
      </x:c>
      <x:c r="S243" s="16" t="n">
        <x:f>Q243</x:f>
        <x:v>1.4404618130066822</x:v>
      </x:c>
      <x:c r="T243" s="2" t="n">
        <x:f>Inputs!E15/Inputs!F15</x:f>
        <x:v>0.06666666666666667</x:v>
      </x:c>
      <x:c r="U243" s="2" t="n">
        <x:f>'Cohort factors'!F33</x:f>
        <x:v>29</x:v>
      </x:c>
      <x:c r="V243" s="2" t="n">
        <x:f>D243*Inputs!D15*'Cohort factors'!G33*Inputs!$B$5/1000*44/12/1000000</x:f>
        <x:v>0.6209419426535108</x:v>
      </x:c>
    </x:row>
    <x:row r="244" ht="22" customHeight="1">
      <x:c r="A244" s="2" t="str">
        <x:v>CR_FAST</x:v>
      </x:c>
      <x:c r="B244" s="2" t="str">
        <x:v>Cropped area</x:v>
      </x:c>
      <x:c r="C244" s="2" t="n">
        <x:v>2056</x:v>
      </x:c>
      <x:c r="D244" s="16" t="n">
        <x:f>Inputs!H15</x:f>
        <x:v>286230</x:v>
      </x:c>
      <x:c r="E244" s="16" t="n">
        <x:f>D244*'Cohort factors'!C34</x:f>
        <x:v>0</x:v>
      </x:c>
      <x:c r="F244" s="16" t="n">
        <x:f>D244*'Cohort factors'!D34</x:f>
        <x:v>286230</x:v>
      </x:c>
      <x:c r="G244" s="16" t="n">
        <x:f>F244*Inputs!D15</x:f>
        <x:v>13630000</x:v>
      </x:c>
      <x:c r="H244" s="16" t="n">
        <x:f>D244*Inputs!D15*'Cohort factors'!E34*Inputs!$B$5/1000</x:f>
        <x:v>5088504.4279197315</x:v>
      </x:c>
      <x:c r="I244" s="16" t="n">
        <x:f>H244*Inputs!$B$10</x:f>
        <x:v>1270459.1112623506</x:v>
      </x:c>
      <x:c r="J244" s="16" t="n">
        <x:f>D244*T244*Inputs!$B$8*U244</x:f>
        <x:v>372678.8982529498</x:v>
      </x:c>
      <x:c r="K244" s="16" t="n">
        <x:f>SUM(H244:J244)</x:f>
        <x:v>6731642.437435032</x:v>
      </x:c>
      <x:c r="L244" s="16" t="n">
        <x:f>H244-H243</x:f>
        <x:v>177418.15420560166</x:v>
      </x:c>
      <x:c r="M244" s="16" t="n">
        <x:f>K244-K243</x:f>
        <x:v>234137.20045332704</x:v>
      </x:c>
      <x:c r="N244" s="16" t="n">
        <x:f>H244*44/12/1000000</x:f>
        <x:v>18.657849569039012</x:v>
      </x:c>
      <x:c r="O244" s="16" t="n">
        <x:f>K244*44/12/1000000</x:f>
        <x:v>24.682688937261787</x:v>
      </x:c>
      <x:c r="P244" s="16" t="n">
        <x:f>L244*44/12/1000000</x:f>
        <x:v>0.6505332320872061</x:v>
      </x:c>
      <x:c r="Q244" s="16" t="n">
        <x:f>M244*44/12/1000000</x:f>
        <x:v>0.8585030683288658</x:v>
      </x:c>
      <x:c r="R244" s="16" t="n">
        <x:f>O244</x:f>
        <x:v>24.682688937261787</x:v>
      </x:c>
      <x:c r="S244" s="16" t="n">
        <x:f>Q244</x:f>
        <x:v>0.8585030683288658</x:v>
      </x:c>
      <x:c r="T244" s="2" t="n">
        <x:f>Inputs!E15/Inputs!F15</x:f>
        <x:v>0.06666666666666667</x:v>
      </x:c>
      <x:c r="U244" s="2" t="n">
        <x:f>'Cohort factors'!F34</x:f>
        <x:v>30</x:v>
      </x:c>
      <x:c r="V244" s="2" t="n">
        <x:f>D244*Inputs!D15*'Cohort factors'!G34*Inputs!$B$5/1000*44/12/1000000</x:f>
        <x:v>0.6219283189679671</x:v>
      </x:c>
    </x:row>
    <x:row r="245" ht="22" customHeight="1">
      <x:c r="A245" s="2" t="str">
        <x:v>CR_FAST</x:v>
      </x:c>
      <x:c r="B245" s="2" t="str">
        <x:v>UK total</x:v>
      </x:c>
      <x:c r="C245" s="2" t="n">
        <x:v>2027</x:v>
      </x:c>
      <x:c r="D245" s="16" t="n">
        <x:f>D185+D215</x:f>
        <x:v>1124130</x:v>
      </x:c>
      <x:c r="E245" s="16" t="n">
        <x:f>E185+E215</x:f>
        <x:v>1124130</x:v>
      </x:c>
      <x:c r="F245" s="16" t="n">
        <x:f>F185+F215</x:f>
        <x:v>1124130</x:v>
      </x:c>
      <x:c r="G245" s="16" t="n">
        <x:f>G185+G215</x:f>
        <x:v>152721400.00000003</x:v>
      </x:c>
      <x:c r="H245" s="16" t="n">
        <x:f>H185+H215</x:f>
        <x:v>76119.03772921066</x:v>
      </x:c>
      <x:c r="I245" s="16" t="n">
        <x:f>I185+I215</x:f>
        <x:v>19004.82281060595</x:v>
      </x:c>
      <x:c r="J245" s="16" t="n">
        <x:f>J185+J215</x:f>
        <x:v>12422.629941764993</x:v>
      </x:c>
      <x:c r="K245" s="16" t="n">
        <x:f>K185+K215</x:f>
        <x:v>107546.4904815816</x:v>
      </x:c>
      <x:c r="L245" s="16" t="n">
        <x:f>L185+L215</x:f>
        <x:v>76119.03772921066</x:v>
      </x:c>
      <x:c r="M245" s="16" t="n">
        <x:f>M185+M215</x:f>
        <x:v>107546.4904815816</x:v>
      </x:c>
      <x:c r="N245" s="16" t="n">
        <x:f>N185+N215</x:f>
        <x:v>0.27910313834043904</x:v>
      </x:c>
      <x:c r="O245" s="16" t="n">
        <x:f>O185+O215</x:f>
        <x:v>0.3943371317657992</x:v>
      </x:c>
      <x:c r="P245" s="16" t="n">
        <x:f>P185+P215</x:f>
        <x:v>0.27910313834043904</x:v>
      </x:c>
      <x:c r="Q245" s="16" t="n">
        <x:f>Q185+Q215</x:f>
        <x:v>0.3943371317657992</x:v>
      </x:c>
      <x:c r="R245" s="16" t="n">
        <x:f>R185+R215</x:f>
        <x:v>0.3943371317657992</x:v>
      </x:c>
      <x:c r="S245" s="16" t="n">
        <x:f>S185+S215</x:f>
        <x:v>0.3943371317657992</x:v>
      </x:c>
      <x:c r="T245" s="2"/>
      <x:c r="U245" s="2"/>
      <x:c r="V245" s="2" t="n">
        <x:f>V185+V215</x:f>
        <x:v>0.27910313834043904</x:v>
      </x:c>
    </x:row>
    <x:row r="246" ht="22" customHeight="1">
      <x:c r="A246" s="2" t="str">
        <x:v>CR_FAST</x:v>
      </x:c>
      <x:c r="B246" s="2" t="str">
        <x:v>UK total</x:v>
      </x:c>
      <x:c r="C246" s="2" t="n">
        <x:v>2028</x:v>
      </x:c>
      <x:c r="D246" s="16" t="n">
        <x:f>D186+D216</x:f>
        <x:v>1124130</x:v>
      </x:c>
      <x:c r="E246" s="16" t="n">
        <x:f>E186+E216</x:f>
        <x:v>0</x:v>
      </x:c>
      <x:c r="F246" s="16" t="n">
        <x:f>F186+F216</x:f>
        <x:v>1124130</x:v>
      </x:c>
      <x:c r="G246" s="16" t="n">
        <x:f>G186+G216</x:f>
        <x:v>152721400.00000003</x:v>
      </x:c>
      <x:c r="H246" s="16" t="n">
        <x:f>H186+H216</x:f>
        <x:v>286105.67653248523</x:v>
      </x:c>
      <x:c r="I246" s="16" t="n">
        <x:f>I186+I216</x:f>
        <x:v>71432.69081976096</x:v>
      </x:c>
      <x:c r="J246" s="16" t="n">
        <x:f>J186+J216</x:f>
        <x:v>24845.259883529987</x:v>
      </x:c>
      <x:c r="K246" s="16" t="n">
        <x:f>K186+K216</x:f>
        <x:v>382383.6272357762</x:v>
      </x:c>
      <x:c r="L246" s="16" t="n">
        <x:f>L186+L216</x:f>
        <x:v>209986.6388032746</x:v>
      </x:c>
      <x:c r="M246" s="16" t="n">
        <x:f>M186+M216</x:f>
        <x:v>274837.1367541946</x:v>
      </x:c>
      <x:c r="N246" s="16" t="n">
        <x:f>N186+N216</x:f>
        <x:v>1.0490541472857793</x:v>
      </x:c>
      <x:c r="O246" s="16" t="n">
        <x:f>O186+O216</x:f>
        <x:v>1.4020732998645127</x:v>
      </x:c>
      <x:c r="P246" s="16" t="n">
        <x:f>P186+P216</x:f>
        <x:v>0.7699510089453402</x:v>
      </x:c>
      <x:c r="Q246" s="16" t="n">
        <x:f>Q186+Q216</x:f>
        <x:v>1.0077361680987136</x:v>
      </x:c>
      <x:c r="R246" s="16" t="n">
        <x:f>R186+R216</x:f>
        <x:v>1.4020732998645127</x:v>
      </x:c>
      <x:c r="S246" s="16" t="n">
        <x:f>S186+S216</x:f>
        <x:v>1.0077361680987136</x:v>
      </x:c>
      <x:c r="T246" s="2"/>
      <x:c r="U246" s="2"/>
      <x:c r="V246" s="2" t="n">
        <x:f>V186+V216</x:f>
        <x:v>0.5245270736428896</x:v>
      </x:c>
    </x:row>
    <x:row r="247" ht="22" customHeight="1">
      <x:c r="A247" s="2" t="str">
        <x:v>CR_FAST</x:v>
      </x:c>
      <x:c r="B247" s="2" t="str">
        <x:v>UK total</x:v>
      </x:c>
      <x:c r="C247" s="2" t="n">
        <x:v>2029</x:v>
      </x:c>
      <x:c r="D247" s="16" t="n">
        <x:f>D187+D217</x:f>
        <x:v>1124130</x:v>
      </x:c>
      <x:c r="E247" s="16" t="n">
        <x:f>E187+E217</x:f>
        <x:v>0</x:v>
      </x:c>
      <x:c r="F247" s="16" t="n">
        <x:f>F187+F217</x:f>
        <x:v>1124130</x:v>
      </x:c>
      <x:c r="G247" s="16" t="n">
        <x:f>G187+G217</x:f>
        <x:v>152721400.00000003</x:v>
      </x:c>
      <x:c r="H247" s="16" t="n">
        <x:f>H187+H217</x:f>
        <x:v>865399.6820421331</x:v>
      </x:c>
      <x:c r="I247" s="16" t="n">
        <x:f>I187+I217</x:f>
        <x:v>216066.41529119102</x:v>
      </x:c>
      <x:c r="J247" s="16" t="n">
        <x:f>J187+J217</x:f>
        <x:v>37267.88982529498</x:v>
      </x:c>
      <x:c r="K247" s="16" t="n">
        <x:f>K187+K217</x:f>
        <x:v>1118733.987158619</x:v>
      </x:c>
      <x:c r="L247" s="16" t="n">
        <x:f>L187+L217</x:f>
        <x:v>579294.0055096478</x:v>
      </x:c>
      <x:c r="M247" s="16" t="n">
        <x:f>M187+M217</x:f>
        <x:v>736350.3599228428</x:v>
      </x:c>
      <x:c r="N247" s="16" t="n">
        <x:f>N187+N217</x:f>
        <x:v>3.1731321674878212</x:v>
      </x:c>
      <x:c r="O247" s="16" t="n">
        <x:f>O187+O217</x:f>
        <x:v>4.102024619581604</x:v>
      </x:c>
      <x:c r="P247" s="16" t="n">
        <x:f>P187+P217</x:f>
        <x:v>2.1240780202020417</x:v>
      </x:c>
      <x:c r="Q247" s="16" t="n">
        <x:f>Q187+Q217</x:f>
        <x:v>2.69995131971709</x:v>
      </x:c>
      <x:c r="R247" s="16" t="n">
        <x:f>R187+R217</x:f>
        <x:v>4.102024619581604</x:v>
      </x:c>
      <x:c r="S247" s="16" t="n">
        <x:f>S187+S217</x:f>
        <x:v>2.699951319717091</x:v>
      </x:c>
      <x:c r="T247" s="2"/>
      <x:c r="U247" s="2"/>
      <x:c r="V247" s="2" t="n">
        <x:f>V187+V217</x:f>
        <x:v>1.0577107224959403</x:v>
      </x:c>
    </x:row>
    <x:row r="248" ht="22" customHeight="1">
      <x:c r="A248" s="2" t="str">
        <x:v>CR_FAST</x:v>
      </x:c>
      <x:c r="B248" s="2" t="str">
        <x:v>UK total</x:v>
      </x:c>
      <x:c r="C248" s="2" t="n">
        <x:v>2030</x:v>
      </x:c>
      <x:c r="D248" s="16" t="n">
        <x:f>D188+D218</x:f>
        <x:v>1124130</x:v>
      </x:c>
      <x:c r="E248" s="16" t="n">
        <x:f>E188+E218</x:f>
        <x:v>0</x:v>
      </x:c>
      <x:c r="F248" s="16" t="n">
        <x:f>F188+F218</x:f>
        <x:v>1124130</x:v>
      </x:c>
      <x:c r="G248" s="16" t="n">
        <x:f>G188+G218</x:f>
        <x:v>152721400.00000003</x:v>
      </x:c>
      <x:c r="H248" s="16" t="n">
        <x:f>H188+H218</x:f>
        <x:v>1708848.6113754285</x:v>
      </x:c>
      <x:c r="I248" s="16" t="n">
        <x:f>I188+I218</x:f>
        <x:v>426652.3334789511</x:v>
      </x:c>
      <x:c r="J248" s="16" t="n">
        <x:f>J188+J218</x:f>
        <x:v>49690.519767059974</x:v>
      </x:c>
      <x:c r="K248" s="16" t="n">
        <x:f>K188+K218</x:f>
        <x:v>2185191.4646214396</x:v>
      </x:c>
      <x:c r="L248" s="16" t="n">
        <x:f>L188+L218</x:f>
        <x:v>843448.9293332954</x:v>
      </x:c>
      <x:c r="M248" s="16" t="n">
        <x:f>M188+M218</x:f>
        <x:v>1066457.4774628207</x:v>
      </x:c>
      <x:c r="N248" s="16" t="n">
        <x:f>N188+N218</x:f>
        <x:v>6.2657782417099055</x:v>
      </x:c>
      <x:c r="O248" s="16" t="n">
        <x:f>O188+O218</x:f>
        <x:v>8.012368703611946</x:v>
      </x:c>
      <x:c r="P248" s="16" t="n">
        <x:f>P188+P218</x:f>
        <x:v>3.092646074222083</x:v>
      </x:c>
      <x:c r="Q248" s="16" t="n">
        <x:f>Q188+Q218</x:f>
        <x:v>3.9103440840303425</x:v>
      </x:c>
      <x:c r="R248" s="16" t="n">
        <x:f>R188+R218</x:f>
        <x:v>8.012368703611946</x:v>
      </x:c>
      <x:c r="S248" s="16" t="n">
        <x:f>S188+S218</x:f>
        <x:v>3.9103440840303416</x:v>
      </x:c>
      <x:c r="T248" s="2"/>
      <x:c r="U248" s="2"/>
      <x:c r="V248" s="2" t="n">
        <x:f>V188+V218</x:f>
        <x:v>1.5664445604274764</x:v>
      </x:c>
    </x:row>
    <x:row r="249" ht="22" customHeight="1">
      <x:c r="A249" s="2" t="str">
        <x:v>CR_FAST</x:v>
      </x:c>
      <x:c r="B249" s="2" t="str">
        <x:v>UK total</x:v>
      </x:c>
      <x:c r="C249" s="2" t="n">
        <x:v>2031</x:v>
      </x:c>
      <x:c r="D249" s="16" t="n">
        <x:f>D189+D219</x:f>
        <x:v>1124130</x:v>
      </x:c>
      <x:c r="E249" s="16" t="n">
        <x:f>E189+E219</x:f>
        <x:v>0</x:v>
      </x:c>
      <x:c r="F249" s="16" t="n">
        <x:f>F189+F219</x:f>
        <x:v>1124130</x:v>
      </x:c>
      <x:c r="G249" s="16" t="n">
        <x:f>G189+G219</x:f>
        <x:v>152721400.00000003</x:v>
      </x:c>
      <x:c r="H249" s="16" t="n">
        <x:f>H189+H219</x:f>
        <x:v>3269904.659545335</x:v>
      </x:c>
      <x:c r="I249" s="16" t="n">
        <x:f>I189+I219</x:f>
        <x:v>816404.9430486448</x:v>
      </x:c>
      <x:c r="J249" s="16" t="n">
        <x:f>J189+J219</x:f>
        <x:v>62113.14970882497</x:v>
      </x:c>
      <x:c r="K249" s="16" t="n">
        <x:f>K189+K219</x:f>
        <x:v>4148422.752302805</x:v>
      </x:c>
      <x:c r="L249" s="16" t="n">
        <x:f>L189+L219</x:f>
        <x:v>1561056.0481699067</x:v>
      </x:c>
      <x:c r="M249" s="16" t="n">
        <x:f>M189+M219</x:f>
        <x:v>1963231.2876813652</x:v>
      </x:c>
      <x:c r="N249" s="16" t="n">
        <x:f>N189+N219</x:f>
        <x:v>11.989650418332895</x:v>
      </x:c>
      <x:c r="O249" s="16" t="n">
        <x:f>O189+O219</x:f>
        <x:v>15.210883425110286</x:v>
      </x:c>
      <x:c r="P249" s="16" t="n">
        <x:f>P189+P219</x:f>
        <x:v>5.723872176622991</x:v>
      </x:c>
      <x:c r="Q249" s="16" t="n">
        <x:f>Q189+Q219</x:f>
        <x:v>7.198514721498338</x:v>
      </x:c>
      <x:c r="R249" s="16" t="n">
        <x:f>R189+R219</x:f>
        <x:v>15.210883425110286</x:v>
      </x:c>
      <x:c r="S249" s="16" t="n">
        <x:f>S189+S219</x:f>
        <x:v>7.19851472149834</x:v>
      </x:c>
      <x:c r="T249" s="2"/>
      <x:c r="U249" s="2"/>
      <x:c r="V249" s="2" t="n">
        <x:f>V189+V219</x:f>
        <x:v>2.397930083666579</x:v>
      </x:c>
    </x:row>
    <x:row r="250" ht="22" customHeight="1">
      <x:c r="A250" s="2" t="str">
        <x:v>CR_FAST</x:v>
      </x:c>
      <x:c r="B250" s="2" t="str">
        <x:v>UK total</x:v>
      </x:c>
      <x:c r="C250" s="2" t="n">
        <x:v>2032</x:v>
      </x:c>
      <x:c r="D250" s="16" t="n">
        <x:f>D190+D220</x:f>
        <x:v>1124130</x:v>
      </x:c>
      <x:c r="E250" s="16" t="n">
        <x:f>E190+E220</x:f>
        <x:v>0</x:v>
      </x:c>
      <x:c r="F250" s="16" t="n">
        <x:f>F190+F220</x:f>
        <x:v>1124130</x:v>
      </x:c>
      <x:c r="G250" s="16" t="n">
        <x:f>G190+G220</x:f>
        <x:v>152721400.00000003</x:v>
      </x:c>
      <x:c r="H250" s="16" t="n">
        <x:f>H190+H220</x:f>
        <x:v>5745902.491072362</x:v>
      </x:c>
      <x:c r="I250" s="16" t="n">
        <x:f>I190+I220</x:f>
        <x:v>1434593.2632296558</x:v>
      </x:c>
      <x:c r="J250" s="16" t="n">
        <x:f>J190+J220</x:f>
        <x:v>74535.77965058996</x:v>
      </x:c>
      <x:c r="K250" s="16" t="n">
        <x:f>K190+K220</x:f>
        <x:v>7255031.533952609</x:v>
      </x:c>
      <x:c r="L250" s="16" t="n">
        <x:f>L190+L220</x:f>
        <x:v>2475997.8315270273</x:v>
      </x:c>
      <x:c r="M250" s="16" t="n">
        <x:f>M190+M220</x:f>
        <x:v>3106608.7816498033</x:v>
      </x:c>
      <x:c r="N250" s="16" t="n">
        <x:f>N190+N220</x:f>
        <x:v>21.068309133931997</x:v>
      </x:c>
      <x:c r="O250" s="16" t="n">
        <x:f>O190+O220</x:f>
        <x:v>26.601782291159562</x:v>
      </x:c>
      <x:c r="P250" s="16" t="n">
        <x:f>P190+P220</x:f>
        <x:v>9.078658715599103</x:v>
      </x:c>
      <x:c r="Q250" s="16" t="n">
        <x:f>Q190+Q220</x:f>
        <x:v>11.390898866049278</x:v>
      </x:c>
      <x:c r="R250" s="16" t="n">
        <x:f>R190+R220</x:f>
        <x:v>26.601782291159562</x:v>
      </x:c>
      <x:c r="S250" s="16" t="n">
        <x:f>S190+S220</x:f>
        <x:v>11.390898866049277</x:v>
      </x:c>
      <x:c r="T250" s="2"/>
      <x:c r="U250" s="2"/>
      <x:c r="V250" s="2" t="n">
        <x:f>V190+V220</x:f>
        <x:v>3.5113848556553338</x:v>
      </x:c>
    </x:row>
    <x:row r="251" ht="22" customHeight="1">
      <x:c r="A251" s="2" t="str">
        <x:v>CR_FAST</x:v>
      </x:c>
      <x:c r="B251" s="2" t="str">
        <x:v>UK total</x:v>
      </x:c>
      <x:c r="C251" s="2" t="n">
        <x:v>2033</x:v>
      </x:c>
      <x:c r="D251" s="16" t="n">
        <x:f>D191+D221</x:f>
        <x:v>1124130</x:v>
      </x:c>
      <x:c r="E251" s="16" t="n">
        <x:f>E191+E221</x:f>
        <x:v>0</x:v>
      </x:c>
      <x:c r="F251" s="16" t="n">
        <x:f>F191+F221</x:f>
        <x:v>1124130</x:v>
      </x:c>
      <x:c r="G251" s="16" t="n">
        <x:f>G191+G221</x:f>
        <x:v>152721400.00000003</x:v>
      </x:c>
      <x:c r="H251" s="16" t="n">
        <x:f>H191+H221</x:f>
        <x:v>6810373.383124802</x:v>
      </x:c>
      <x:c r="I251" s="16" t="n">
        <x:f>I191+I221</x:f>
        <x:v>1700362.2652298082</x:v>
      </x:c>
      <x:c r="J251" s="16" t="n">
        <x:f>J191+J221</x:f>
        <x:v>86958.40959235496</x:v>
      </x:c>
      <x:c r="K251" s="16" t="n">
        <x:f>K191+K221</x:f>
        <x:v>8597694.057946965</x:v>
      </x:c>
      <x:c r="L251" s="16" t="n">
        <x:f>L191+L221</x:f>
        <x:v>1064470.8920524395</x:v>
      </x:c>
      <x:c r="M251" s="16" t="n">
        <x:f>M191+M221</x:f>
        <x:v>1342662.5239943569</x:v>
      </x:c>
      <x:c r="N251" s="16" t="n">
        <x:f>N191+N221</x:f>
        <x:v>24.97136907145761</x:v>
      </x:c>
      <x:c r="O251" s="16" t="n">
        <x:f>O191+O221</x:f>
        <x:v>31.524878212472206</x:v>
      </x:c>
      <x:c r="P251" s="16" t="n">
        <x:f>P191+P221</x:f>
        <x:v>3.9030599375256116</x:v>
      </x:c>
      <x:c r="Q251" s="16" t="n">
        <x:f>Q191+Q221</x:f>
        <x:v>4.923095921312641</x:v>
      </x:c>
      <x:c r="R251" s="16" t="n">
        <x:f>R191+R221</x:f>
        <x:v>31.524878212472206</x:v>
      </x:c>
      <x:c r="S251" s="16" t="n">
        <x:f>S191+S221</x:f>
        <x:v>4.923095921312645</x:v>
      </x:c>
      <x:c r="T251" s="2"/>
      <x:c r="U251" s="2"/>
      <x:c r="V251" s="2" t="n">
        <x:f>V191+V221</x:f>
        <x:v>3.5673384387796583</x:v>
      </x:c>
    </x:row>
    <x:row r="252" ht="22" customHeight="1">
      <x:c r="A252" s="2" t="str">
        <x:v>CR_FAST</x:v>
      </x:c>
      <x:c r="B252" s="2" t="str">
        <x:v>UK total</x:v>
      </x:c>
      <x:c r="C252" s="2" t="n">
        <x:v>2034</x:v>
      </x:c>
      <x:c r="D252" s="16" t="n">
        <x:f>D192+D222</x:f>
        <x:v>1124130</x:v>
      </x:c>
      <x:c r="E252" s="16" t="n">
        <x:f>E192+E222</x:f>
        <x:v>0</x:v>
      </x:c>
      <x:c r="F252" s="16" t="n">
        <x:f>F192+F222</x:f>
        <x:v>1124130</x:v>
      </x:c>
      <x:c r="G252" s="16" t="n">
        <x:f>G192+G222</x:f>
        <x:v>152721400.00000003</x:v>
      </x:c>
      <x:c r="H252" s="16" t="n">
        <x:f>H192+H222</x:f>
        <x:v>7874844.275177243</x:v>
      </x:c>
      <x:c r="I252" s="16" t="n">
        <x:f>I192+I222</x:f>
        <x:v>1966131.267229961</x:v>
      </x:c>
      <x:c r="J252" s="16" t="n">
        <x:f>J192+J222</x:f>
        <x:v>99381.03953411995</x:v>
      </x:c>
      <x:c r="K252" s="16" t="n">
        <x:f>K192+K222</x:f>
        <x:v>9940356.581941323</x:v>
      </x:c>
      <x:c r="L252" s="16" t="n">
        <x:f>L192+L222</x:f>
        <x:v>1064470.892052441</x:v>
      </x:c>
      <x:c r="M252" s="16" t="n">
        <x:f>M192+M222</x:f>
        <x:v>1342662.5239943583</x:v>
      </x:c>
      <x:c r="N252" s="16" t="n">
        <x:f>N192+N222</x:f>
        <x:v>28.874429008983228</x:v>
      </x:c>
      <x:c r="O252" s="16" t="n">
        <x:f>O192+O222</x:f>
        <x:v>36.447974133784854</x:v>
      </x:c>
      <x:c r="P252" s="16" t="n">
        <x:f>P192+P222</x:f>
        <x:v>3.9030599375256165</x:v>
      </x:c>
      <x:c r="Q252" s="16" t="n">
        <x:f>Q192+Q222</x:f>
        <x:v>4.923095921312647</x:v>
      </x:c>
      <x:c r="R252" s="16" t="n">
        <x:f>R192+R222</x:f>
        <x:v>36.447974133784854</x:v>
      </x:c>
      <x:c r="S252" s="16" t="n">
        <x:f>S192+S222</x:f>
        <x:v>4.923095921312647</x:v>
      </x:c>
      <x:c r="T252" s="2"/>
      <x:c r="U252" s="2"/>
      <x:c r="V252" s="2" t="n">
        <x:f>V192+V222</x:f>
        <x:v>3.6093036261229035</x:v>
      </x:c>
    </x:row>
    <x:row r="253" ht="22" customHeight="1">
      <x:c r="A253" s="2" t="str">
        <x:v>CR_FAST</x:v>
      </x:c>
      <x:c r="B253" s="2" t="str">
        <x:v>UK total</x:v>
      </x:c>
      <x:c r="C253" s="2" t="n">
        <x:v>2035</x:v>
      </x:c>
      <x:c r="D253" s="16" t="n">
        <x:f>D193+D223</x:f>
        <x:v>1124130</x:v>
      </x:c>
      <x:c r="E253" s="16" t="n">
        <x:f>E193+E223</x:f>
        <x:v>0</x:v>
      </x:c>
      <x:c r="F253" s="16" t="n">
        <x:f>F193+F223</x:f>
        <x:v>1124130</x:v>
      </x:c>
      <x:c r="G253" s="16" t="n">
        <x:f>G193+G223</x:f>
        <x:v>152721400.00000003</x:v>
      </x:c>
      <x:c r="H253" s="16" t="n">
        <x:f>H193+H223</x:f>
        <x:v>8939315.16722968</x:v>
      </x:c>
      <x:c r="I253" s="16" t="n">
        <x:f>I193+I223</x:f>
        <x:v>2231900.269230113</x:v>
      </x:c>
      <x:c r="J253" s="16" t="n">
        <x:f>J193+J223</x:f>
        <x:v>111803.66947588493</x:v>
      </x:c>
      <x:c r="K253" s="16" t="n">
        <x:f>K193+K223</x:f>
        <x:v>11283019.10593568</x:v>
      </x:c>
      <x:c r="L253" s="16" t="n">
        <x:f>L193+L223</x:f>
        <x:v>1064470.8920524376</x:v>
      </x:c>
      <x:c r="M253" s="16" t="n">
        <x:f>M193+M223</x:f>
        <x:v>1342662.5239943562</x:v>
      </x:c>
      <x:c r="N253" s="16" t="n">
        <x:f>N193+N223</x:f>
        <x:v>32.777488946508825</x:v>
      </x:c>
      <x:c r="O253" s="16" t="n">
        <x:f>O193+O223</x:f>
        <x:v>41.37107005509749</x:v>
      </x:c>
      <x:c r="P253" s="16" t="n">
        <x:f>P193+P223</x:f>
        <x:v>3.9030599375256054</x:v>
      </x:c>
      <x:c r="Q253" s="16" t="n">
        <x:f>Q193+Q223</x:f>
        <x:v>4.923095921312639</x:v>
      </x:c>
      <x:c r="R253" s="16" t="n">
        <x:f>R193+R223</x:f>
        <x:v>41.37107005509749</x:v>
      </x:c>
      <x:c r="S253" s="16" t="n">
        <x:f>S193+S223</x:f>
        <x:v>4.923095921312639</x:v>
      </x:c>
      <x:c r="T253" s="2"/>
      <x:c r="U253" s="2"/>
      <x:c r="V253" s="2" t="n">
        <x:f>V193+V223</x:f>
        <x:v>3.6419432162787593</x:v>
      </x:c>
    </x:row>
    <x:row r="254" ht="22" customHeight="1">
      <x:c r="A254" s="2" t="str">
        <x:v>CR_FAST</x:v>
      </x:c>
      <x:c r="B254" s="2" t="str">
        <x:v>UK total</x:v>
      </x:c>
      <x:c r="C254" s="2" t="n">
        <x:v>2036</x:v>
      </x:c>
      <x:c r="D254" s="16" t="n">
        <x:f>D194+D224</x:f>
        <x:v>1124130</x:v>
      </x:c>
      <x:c r="E254" s="16" t="n">
        <x:f>E194+E224</x:f>
        <x:v>0</x:v>
      </x:c>
      <x:c r="F254" s="16" t="n">
        <x:f>F194+F224</x:f>
        <x:v>1124130</x:v>
      </x:c>
      <x:c r="G254" s="16" t="n">
        <x:f>G194+G224</x:f>
        <x:v>152721400.00000003</x:v>
      </x:c>
      <x:c r="H254" s="16" t="n">
        <x:f>H194+H224</x:f>
        <x:v>10739921.67096</x:v>
      </x:c>
      <x:c r="I254" s="16" t="n">
        <x:f>I194+I224</x:f>
        <x:v>2681462.0158821912</x:v>
      </x:c>
      <x:c r="J254" s="16" t="n">
        <x:f>J194+J224</x:f>
        <x:v>124226.29941764993</x:v>
      </x:c>
      <x:c r="K254" s="16" t="n">
        <x:f>K194+K224</x:f>
        <x:v>13545609.98625984</x:v>
      </x:c>
      <x:c r="L254" s="16" t="n">
        <x:f>L194+L224</x:f>
        <x:v>1800606.5037303183</x:v>
      </x:c>
      <x:c r="M254" s="16" t="n">
        <x:f>M194+M224</x:f>
        <x:v>2262590.8803241607</x:v>
      </x:c>
      <x:c r="N254" s="16" t="n">
        <x:f>N194+N224</x:f>
        <x:v>39.37971279351999</x:v>
      </x:c>
      <x:c r="O254" s="16" t="n">
        <x:f>O194+O224</x:f>
        <x:v>49.66723661628609</x:v>
      </x:c>
      <x:c r="P254" s="16" t="n">
        <x:f>P194+P224</x:f>
        <x:v>6.6022238470111665</x:v>
      </x:c>
      <x:c r="Q254" s="16" t="n">
        <x:f>Q194+Q224</x:f>
        <x:v>8.29616656118859</x:v>
      </x:c>
      <x:c r="R254" s="16" t="n">
        <x:f>R194+R224</x:f>
        <x:v>49.66723661628609</x:v>
      </x:c>
      <x:c r="S254" s="16" t="n">
        <x:f>S194+S224</x:f>
        <x:v>8.296166561188597</x:v>
      </x:c>
      <x:c r="T254" s="2"/>
      <x:c r="U254" s="2"/>
      <x:c r="V254" s="2" t="n">
        <x:f>V194+V224</x:f>
        <x:v>3.937971279351999</x:v>
      </x:c>
    </x:row>
    <x:row r="255" ht="22" customHeight="1">
      <x:c r="A255" s="2" t="str">
        <x:v>CR_FAST</x:v>
      </x:c>
      <x:c r="B255" s="2" t="str">
        <x:v>UK total</x:v>
      </x:c>
      <x:c r="C255" s="2" t="n">
        <x:v>2037</x:v>
      </x:c>
      <x:c r="D255" s="16" t="n">
        <x:f>D195+D225</x:f>
        <x:v>1124130</x:v>
      </x:c>
      <x:c r="E255" s="16" t="n">
        <x:f>E195+E225</x:f>
        <x:v>0</x:v>
      </x:c>
      <x:c r="F255" s="16" t="n">
        <x:f>F195+F225</x:f>
        <x:v>1124130</x:v>
      </x:c>
      <x:c r="G255" s="16" t="n">
        <x:f>G195+G225</x:f>
        <x:v>152721400.00000003</x:v>
      </x:c>
      <x:c r="H255" s="16" t="n">
        <x:f>H195+H225</x:f>
        <x:v>13390298.947324328</x:v>
      </x:c>
      <x:c r="I255" s="16" t="n">
        <x:f>I195+I225</x:f>
        <x:v>3343188.0705092717</x:v>
      </x:c>
      <x:c r="J255" s="16" t="n">
        <x:f>J195+J225</x:f>
        <x:v>136648.92935941493</x:v>
      </x:c>
      <x:c r="K255" s="16" t="n">
        <x:f>K195+K225</x:f>
        <x:v>16870135.94719301</x:v>
      </x:c>
      <x:c r="L255" s="16" t="n">
        <x:f>L195+L225</x:f>
        <x:v>2650377.2763643283</x:v>
      </x:c>
      <x:c r="M255" s="16" t="n">
        <x:f>M195+M225</x:f>
        <x:v>3324525.960933173</x:v>
      </x:c>
      <x:c r="N255" s="16" t="n">
        <x:f>N195+N225</x:f>
        <x:v>49.09776280685587</x:v>
      </x:c>
      <x:c r="O255" s="16" t="n">
        <x:f>O195+O225</x:f>
        <x:v>61.85716513970772</x:v>
      </x:c>
      <x:c r="P255" s="16" t="n">
        <x:f>P195+P225</x:f>
        <x:v>9.718050013335871</x:v>
      </x:c>
      <x:c r="Q255" s="16" t="n">
        <x:f>Q195+Q225</x:f>
        <x:v>12.189928523421633</x:v>
      </x:c>
      <x:c r="R255" s="16" t="n">
        <x:f>R195+R225</x:f>
        <x:v>61.85716513970772</x:v>
      </x:c>
      <x:c r="S255" s="16" t="n">
        <x:f>S195+S225</x:f>
        <x:v>12.18992852342163</x:v>
      </x:c>
      <x:c r="T255" s="2"/>
      <x:c r="U255" s="2"/>
      <x:c r="V255" s="2" t="n">
        <x:f>V195+V225</x:f>
        <x:v>4.463432982441444</x:v>
      </x:c>
    </x:row>
    <x:row r="256" ht="22" customHeight="1">
      <x:c r="A256" s="2" t="str">
        <x:v>CR_FAST</x:v>
      </x:c>
      <x:c r="B256" s="2" t="str">
        <x:v>UK total</x:v>
      </x:c>
      <x:c r="C256" s="2" t="n">
        <x:v>2038</x:v>
      </x:c>
      <x:c r="D256" s="16" t="n">
        <x:f>D196+D226</x:f>
        <x:v>1124130</x:v>
      </x:c>
      <x:c r="E256" s="16" t="n">
        <x:f>E196+E226</x:f>
        <x:v>0</x:v>
      </x:c>
      <x:c r="F256" s="16" t="n">
        <x:f>F196+F226</x:f>
        <x:v>1124130</x:v>
      </x:c>
      <x:c r="G256" s="16" t="n">
        <x:f>G196+G226</x:f>
        <x:v>152721400.00000003</x:v>
      </x:c>
      <x:c r="H256" s="16" t="n">
        <x:f>H196+H226</x:f>
        <x:v>16040676.22368866</x:v>
      </x:c>
      <x:c r="I256" s="16" t="n">
        <x:f>I196+I226</x:f>
        <x:v>4004914.1251363535</x:v>
      </x:c>
      <x:c r="J256" s="16" t="n">
        <x:f>J196+J226</x:f>
        <x:v>149071.55930117992</x:v>
      </x:c>
      <x:c r="K256" s="16" t="n">
        <x:f>K196+K226</x:f>
        <x:v>20194661.90812619</x:v>
      </x:c>
      <x:c r="L256" s="16" t="n">
        <x:f>L196+L226</x:f>
        <x:v>2650377.276364332</x:v>
      </x:c>
      <x:c r="M256" s="16" t="n">
        <x:f>M196+M226</x:f>
        <x:v>3324525.9609331787</x:v>
      </x:c>
      <x:c r="N256" s="16" t="n">
        <x:f>N196+N226</x:f>
        <x:v>58.81581282019176</x:v>
      </x:c>
      <x:c r="O256" s="16" t="n">
        <x:f>O196+O226</x:f>
        <x:v>74.04709366312936</x:v>
      </x:c>
      <x:c r="P256" s="16" t="n">
        <x:f>P196+P226</x:f>
        <x:v>9.718050013335885</x:v>
      </x:c>
      <x:c r="Q256" s="16" t="n">
        <x:f>Q196+Q226</x:f>
        <x:v>12.189928523421655</x:v>
      </x:c>
      <x:c r="R256" s="16" t="n">
        <x:f>R196+R226</x:f>
        <x:v>74.04709366312936</x:v>
      </x:c>
      <x:c r="S256" s="16" t="n">
        <x:f>S196+S226</x:f>
        <x:v>12.189928523421644</x:v>
      </x:c>
      <x:c r="T256" s="2"/>
      <x:c r="U256" s="2"/>
      <x:c r="V256" s="2" t="n">
        <x:f>V196+V226</x:f>
        <x:v>4.901317735015981</x:v>
      </x:c>
    </x:row>
    <x:row r="257" ht="22" customHeight="1">
      <x:c r="A257" s="2" t="str">
        <x:v>CR_FAST</x:v>
      </x:c>
      <x:c r="B257" s="2" t="str">
        <x:v>UK total</x:v>
      </x:c>
      <x:c r="C257" s="2" t="n">
        <x:v>2039</x:v>
      </x:c>
      <x:c r="D257" s="16" t="n">
        <x:f>D197+D227</x:f>
        <x:v>1124130</x:v>
      </x:c>
      <x:c r="E257" s="16" t="n">
        <x:f>E197+E227</x:f>
        <x:v>0</x:v>
      </x:c>
      <x:c r="F257" s="16" t="n">
        <x:f>F197+F227</x:f>
        <x:v>1124130</x:v>
      </x:c>
      <x:c r="G257" s="16" t="n">
        <x:f>G197+G227</x:f>
        <x:v>152721400.00000003</x:v>
      </x:c>
      <x:c r="H257" s="16" t="n">
        <x:f>H197+H227</x:f>
        <x:v>18691053.50005299</x:v>
      </x:c>
      <x:c r="I257" s="16" t="n">
        <x:f>I197+I227</x:f>
        <x:v>4666640.179763434</x:v>
      </x:c>
      <x:c r="J257" s="16" t="n">
        <x:f>J197+J227</x:f>
        <x:v>161494.1892429449</x:v>
      </x:c>
      <x:c r="K257" s="16" t="n">
        <x:f>K197+K227</x:f>
        <x:v>23519187.869059365</x:v>
      </x:c>
      <x:c r="L257" s="16" t="n">
        <x:f>L197+L227</x:f>
        <x:v>2650377.2763643283</x:v>
      </x:c>
      <x:c r="M257" s="16" t="n">
        <x:f>M197+M227</x:f>
        <x:v>3324525.960933175</x:v>
      </x:c>
      <x:c r="N257" s="16" t="n">
        <x:f>N197+N227</x:f>
        <x:v>68.53386283352762</x:v>
      </x:c>
      <x:c r="O257" s="16" t="n">
        <x:f>O197+O227</x:f>
        <x:v>86.237022186551</x:v>
      </x:c>
      <x:c r="P257" s="16" t="n">
        <x:f>P197+P227</x:f>
        <x:v>9.718050013335871</x:v>
      </x:c>
      <x:c r="Q257" s="16" t="n">
        <x:f>Q197+Q227</x:f>
        <x:v>12.18992852342164</x:v>
      </x:c>
      <x:c r="R257" s="16" t="n">
        <x:f>R197+R227</x:f>
        <x:v>86.237022186551</x:v>
      </x:c>
      <x:c r="S257" s="16" t="n">
        <x:f>S197+S227</x:f>
        <x:v>12.189928523421644</x:v>
      </x:c>
      <x:c r="T257" s="2"/>
      <x:c r="U257" s="2"/>
      <x:c r="V257" s="2" t="n">
        <x:f>V197+V227</x:f>
        <x:v>5.271835602579047</x:v>
      </x:c>
    </x:row>
    <x:row r="258" ht="22" customHeight="1">
      <x:c r="A258" s="2" t="str">
        <x:v>CR_FAST</x:v>
      </x:c>
      <x:c r="B258" s="2" t="str">
        <x:v>UK total</x:v>
      </x:c>
      <x:c r="C258" s="2" t="n">
        <x:v>2040</x:v>
      </x:c>
      <x:c r="D258" s="16" t="n">
        <x:f>D198+D228</x:f>
        <x:v>1124130</x:v>
      </x:c>
      <x:c r="E258" s="16" t="n">
        <x:f>E198+E228</x:f>
        <x:v>0</x:v>
      </x:c>
      <x:c r="F258" s="16" t="n">
        <x:f>F198+F228</x:f>
        <x:v>1124130</x:v>
      </x:c>
      <x:c r="G258" s="16" t="n">
        <x:f>G198+G228</x:f>
        <x:v>152721400.00000003</x:v>
      </x:c>
      <x:c r="H258" s="16" t="n">
        <x:f>H198+H228</x:f>
        <x:v>20381452.07530352</x:v>
      </x:c>
      <x:c r="I258" s="16" t="n">
        <x:f>I198+I228</x:f>
        <x:v>5088686.048449039</x:v>
      </x:c>
      <x:c r="J258" s="16" t="n">
        <x:f>J198+J228</x:f>
        <x:v>173916.81918470992</x:v>
      </x:c>
      <x:c r="K258" s="16" t="n">
        <x:f>K198+K228</x:f>
        <x:v>25644054.94293727</x:v>
      </x:c>
      <x:c r="L258" s="16" t="n">
        <x:f>L198+L228</x:f>
        <x:v>1690398.5752505315</x:v>
      </x:c>
      <x:c r="M258" s="16" t="n">
        <x:f>M198+M228</x:f>
        <x:v>2124867.073877902</x:v>
      </x:c>
      <x:c r="N258" s="16" t="n">
        <x:f>N198+N228</x:f>
        <x:v>74.73199094277957</x:v>
      </x:c>
      <x:c r="O258" s="16" t="n">
        <x:f>O198+O228</x:f>
        <x:v>94.02820145743665</x:v>
      </x:c>
      <x:c r="P258" s="16" t="n">
        <x:f>P198+P228</x:f>
        <x:v>6.1981281092519485</x:v>
      </x:c>
      <x:c r="Q258" s="16" t="n">
        <x:f>Q198+Q228</x:f>
        <x:v>7.79117927088564</x:v>
      </x:c>
      <x:c r="R258" s="16" t="n">
        <x:f>R198+R228</x:f>
        <x:v>94.02820145743665</x:v>
      </x:c>
      <x:c r="S258" s="16" t="n">
        <x:f>S198+S228</x:f>
        <x:v>7.791179270885642</x:v>
      </x:c>
      <x:c r="T258" s="2"/>
      <x:c r="U258" s="2"/>
      <x:c r="V258" s="2" t="n">
        <x:f>V198+V228</x:f>
        <x:v>5.337999353055683</x:v>
      </x:c>
    </x:row>
    <x:row r="259" ht="22" customHeight="1">
      <x:c r="A259" s="2" t="str">
        <x:v>CR_FAST</x:v>
      </x:c>
      <x:c r="B259" s="2" t="str">
        <x:v>UK total</x:v>
      </x:c>
      <x:c r="C259" s="2" t="n">
        <x:v>2041</x:v>
      </x:c>
      <x:c r="D259" s="16" t="n">
        <x:f>D199+D229</x:f>
        <x:v>1124130</x:v>
      </x:c>
      <x:c r="E259" s="16" t="n">
        <x:f>E199+E229</x:f>
        <x:v>0</x:v>
      </x:c>
      <x:c r="F259" s="16" t="n">
        <x:f>F199+F229</x:f>
        <x:v>1124130</x:v>
      </x:c>
      <x:c r="G259" s="16" t="n">
        <x:f>G199+G229</x:f>
        <x:v>152721400.00000003</x:v>
      </x:c>
      <x:c r="H259" s="16" t="n">
        <x:f>H199+H229</x:f>
        <x:v>23084895.375074506</x:v>
      </x:c>
      <x:c r="I259" s="16" t="n">
        <x:f>I199+I229</x:f>
        <x:v>5763661.224481133</x:v>
      </x:c>
      <x:c r="J259" s="16" t="n">
        <x:f>J199+J229</x:f>
        <x:v>186339.4491264749</x:v>
      </x:c>
      <x:c r="K259" s="16" t="n">
        <x:f>K199+K229</x:f>
        <x:v>29034896.048682112</x:v>
      </x:c>
      <x:c r="L259" s="16" t="n">
        <x:f>L199+L229</x:f>
        <x:v>2703443.2997709857</x:v>
      </x:c>
      <x:c r="M259" s="16" t="n">
        <x:f>M199+M229</x:f>
        <x:v>3390841.105744844</x:v>
      </x:c>
      <x:c r="N259" s="16" t="n">
        <x:f>N199+N229</x:f>
        <x:v>84.64461637527319</x:v>
      </x:c>
      <x:c r="O259" s="16" t="n">
        <x:f>O199+O229</x:f>
        <x:v>106.46128551183442</x:v>
      </x:c>
      <x:c r="P259" s="16" t="n">
        <x:f>P199+P229</x:f>
        <x:v>9.912625432493614</x:v>
      </x:c>
      <x:c r="Q259" s="16" t="n">
        <x:f>Q199+Q229</x:f>
        <x:v>12.43308405439776</x:v>
      </x:c>
      <x:c r="R259" s="16" t="n">
        <x:f>R199+R229</x:f>
        <x:v>106.46128551183442</x:v>
      </x:c>
      <x:c r="S259" s="16" t="n">
        <x:f>S199+S229</x:f>
        <x:v>12.433084054397769</x:v>
      </x:c>
      <x:c r="T259" s="2"/>
      <x:c r="U259" s="2"/>
      <x:c r="V259" s="2" t="n">
        <x:f>V199+V229</x:f>
        <x:v>5.642974425018213</x:v>
      </x:c>
    </x:row>
    <x:row r="260" ht="22" customHeight="1">
      <x:c r="A260" s="2" t="str">
        <x:v>CR_FAST</x:v>
      </x:c>
      <x:c r="B260" s="2" t="str">
        <x:v>UK total</x:v>
      </x:c>
      <x:c r="C260" s="2" t="n">
        <x:v>2042</x:v>
      </x:c>
      <x:c r="D260" s="16" t="n">
        <x:f>D200+D230</x:f>
        <x:v>1124130</x:v>
      </x:c>
      <x:c r="E260" s="16" t="n">
        <x:f>E200+E230</x:f>
        <x:v>0</x:v>
      </x:c>
      <x:c r="F260" s="16" t="n">
        <x:f>F200+F230</x:f>
        <x:v>1124130</x:v>
      </x:c>
      <x:c r="G260" s="16" t="n">
        <x:f>G200+G230</x:f>
        <x:v>152721400.00000003</x:v>
      </x:c>
      <x:c r="H260" s="16" t="n">
        <x:f>H200+H230</x:f>
        <x:v>26015862.04729358</x:v>
      </x:c>
      <x:c r="I260" s="16" t="n">
        <x:f>I200+I230</x:f>
        <x:v>6495442.706893897</x:v>
      </x:c>
      <x:c r="J260" s="16" t="n">
        <x:f>J200+J230</x:f>
        <x:v>198762.0790682399</x:v>
      </x:c>
      <x:c r="K260" s="16" t="n">
        <x:f>K200+K230</x:f>
        <x:v>32710066.833255716</x:v>
      </x:c>
      <x:c r="L260" s="16" t="n">
        <x:f>L200+L230</x:f>
        <x:v>2930966.6722190753</x:v>
      </x:c>
      <x:c r="M260" s="16" t="n">
        <x:f>M200+M230</x:f>
        <x:v>3675170.784573604</x:v>
      </x:c>
      <x:c r="N260" s="16" t="n">
        <x:f>N200+N230</x:f>
        <x:v>95.39149417340981</x:v>
      </x:c>
      <x:c r="O260" s="16" t="n">
        <x:f>O200+O230</x:f>
        <x:v>119.93691172193763</x:v>
      </x:c>
      <x:c r="P260" s="16" t="n">
        <x:f>P200+P230</x:f>
        <x:v>10.746877798136609</x:v>
      </x:c>
      <x:c r="Q260" s="16" t="n">
        <x:f>Q200+Q230</x:f>
        <x:v>13.475626210103215</x:v>
      </x:c>
      <x:c r="R260" s="16" t="n">
        <x:f>R200+R230</x:f>
        <x:v>119.93691172193763</x:v>
      </x:c>
      <x:c r="S260" s="16" t="n">
        <x:f>S200+S230</x:f>
        <x:v>13.475626210103204</x:v>
      </x:c>
      <x:c r="T260" s="2"/>
      <x:c r="U260" s="2"/>
      <x:c r="V260" s="2" t="n">
        <x:f>V200+V230</x:f>
        <x:v>5.961968385838113</x:v>
      </x:c>
    </x:row>
    <x:row r="261" ht="22" customHeight="1">
      <x:c r="A261" s="2" t="str">
        <x:v>CR_FAST</x:v>
      </x:c>
      <x:c r="B261" s="2" t="str">
        <x:v>UK total</x:v>
      </x:c>
      <x:c r="C261" s="2" t="n">
        <x:v>2043</x:v>
      </x:c>
      <x:c r="D261" s="16" t="n">
        <x:f>D201+D231</x:f>
        <x:v>1124130</x:v>
      </x:c>
      <x:c r="E261" s="16" t="n">
        <x:f>E201+E231</x:f>
        <x:v>0</x:v>
      </x:c>
      <x:c r="F261" s="16" t="n">
        <x:f>F201+F231</x:f>
        <x:v>1124130</x:v>
      </x:c>
      <x:c r="G261" s="16" t="n">
        <x:f>G201+G231</x:f>
        <x:v>152721400.00000003</x:v>
      </x:c>
      <x:c r="H261" s="16" t="n">
        <x:f>H201+H231</x:f>
        <x:v>28747624.354089413</x:v>
      </x:c>
      <x:c r="I261" s="16" t="n">
        <x:f>I201+I231</x:f>
        <x:v>7177488.357366222</x:v>
      </x:c>
      <x:c r="J261" s="16" t="n">
        <x:f>J201+J231</x:f>
        <x:v>211184.70901000488</x:v>
      </x:c>
      <x:c r="K261" s="16" t="n">
        <x:f>K201+K231</x:f>
        <x:v>36136297.42046564</x:v>
      </x:c>
      <x:c r="L261" s="16" t="n">
        <x:f>L201+L231</x:f>
        <x:v>2731762.3067958327</x:v>
      </x:c>
      <x:c r="M261" s="16" t="n">
        <x:f>M201+M231</x:f>
        <x:v>3426230.5872099246</x:v>
      </x:c>
      <x:c r="N261" s="16" t="n">
        <x:f>N201+N231</x:f>
        <x:v>105.40795596499453</x:v>
      </x:c>
      <x:c r="O261" s="16" t="n">
        <x:f>O201+O231</x:f>
        <x:v>132.49975720837404</x:v>
      </x:c>
      <x:c r="P261" s="16" t="n">
        <x:f>P201+P231</x:f>
        <x:v>10.01646179158472</x:v>
      </x:c>
      <x:c r="Q261" s="16" t="n">
        <x:f>Q201+Q231</x:f>
        <x:v>12.562845486436393</x:v>
      </x:c>
      <x:c r="R261" s="16" t="n">
        <x:f>R201+R231</x:f>
        <x:v>132.49975720837404</x:v>
      </x:c>
      <x:c r="S261" s="16" t="n">
        <x:f>S201+S231</x:f>
        <x:v>12.562845486436403</x:v>
      </x:c>
      <x:c r="T261" s="2"/>
      <x:c r="U261" s="2"/>
      <x:c r="V261" s="2" t="n">
        <x:f>V201+V231</x:f>
        <x:v>6.200467997940854</x:v>
      </x:c>
    </x:row>
    <x:row r="262" ht="22" customHeight="1">
      <x:c r="A262" s="2" t="str">
        <x:v>CR_FAST</x:v>
      </x:c>
      <x:c r="B262" s="2" t="str">
        <x:v>UK total</x:v>
      </x:c>
      <x:c r="C262" s="2" t="n">
        <x:v>2044</x:v>
      </x:c>
      <x:c r="D262" s="16" t="n">
        <x:f>D202+D232</x:f>
        <x:v>1124130</x:v>
      </x:c>
      <x:c r="E262" s="16" t="n">
        <x:f>E202+E232</x:f>
        <x:v>0</x:v>
      </x:c>
      <x:c r="F262" s="16" t="n">
        <x:f>F202+F232</x:f>
        <x:v>1124130</x:v>
      </x:c>
      <x:c r="G262" s="16" t="n">
        <x:f>G202+G232</x:f>
        <x:v>152721400.00000003</x:v>
      </x:c>
      <x:c r="H262" s="16" t="n">
        <x:f>H202+H232</x:f>
        <x:v>31747876.042032238</x:v>
      </x:c>
      <x:c r="I262" s="16" t="n">
        <x:f>I202+I232</x:f>
        <x:v>7926568.395916074</x:v>
      </x:c>
      <x:c r="J262" s="16" t="n">
        <x:f>J202+J232</x:f>
        <x:v>223607.33895176987</x:v>
      </x:c>
      <x:c r="K262" s="16" t="n">
        <x:f>K202+K232</x:f>
        <x:v>39898051.77690008</x:v>
      </x:c>
      <x:c r="L262" s="16" t="n">
        <x:f>L202+L232</x:f>
        <x:v>3000251.687942823</x:v>
      </x:c>
      <x:c r="M262" s="16" t="n">
        <x:f>M202+M232</x:f>
        <x:v>3761754.3564344426</x:v>
      </x:c>
      <x:c r="N262" s="16" t="n">
        <x:f>N202+N232</x:f>
        <x:v>116.40887882078488</x:v>
      </x:c>
      <x:c r="O262" s="16" t="n">
        <x:f>O202+O232</x:f>
        <x:v>146.29285651530031</x:v>
      </x:c>
      <x:c r="P262" s="16" t="n">
        <x:f>P202+P232</x:f>
        <x:v>11.00092285579035</x:v>
      </x:c>
      <x:c r="Q262" s="16" t="n">
        <x:f>Q202+Q232</x:f>
        <x:v>13.793099306926289</x:v>
      </x:c>
      <x:c r="R262" s="16" t="n">
        <x:f>R202+R232</x:f>
        <x:v>146.29285651530031</x:v>
      </x:c>
      <x:c r="S262" s="16" t="n">
        <x:f>S202+S232</x:f>
        <x:v>13.793099306926283</x:v>
      </x:c>
      <x:c r="T262" s="2"/>
      <x:c r="U262" s="2"/>
      <x:c r="V262" s="2" t="n">
        <x:f>V202+V232</x:f>
        <x:v>6.467159934488048</x:v>
      </x:c>
    </x:row>
    <x:row r="263" ht="22" customHeight="1">
      <x:c r="A263" s="2" t="str">
        <x:v>CR_FAST</x:v>
      </x:c>
      <x:c r="B263" s="2" t="str">
        <x:v>UK total</x:v>
      </x:c>
      <x:c r="C263" s="2" t="n">
        <x:v>2045</x:v>
      </x:c>
      <x:c r="D263" s="16" t="n">
        <x:f>D203+D233</x:f>
        <x:v>1124130</x:v>
      </x:c>
      <x:c r="E263" s="16" t="n">
        <x:f>E203+E233</x:f>
        <x:v>0</x:v>
      </x:c>
      <x:c r="F263" s="16" t="n">
        <x:f>F203+F233</x:f>
        <x:v>1124130</x:v>
      </x:c>
      <x:c r="G263" s="16" t="n">
        <x:f>G203+G233</x:f>
        <x:v>152721400.00000003</x:v>
      </x:c>
      <x:c r="H263" s="16" t="n">
        <x:f>H203+H233</x:f>
        <x:v>33875776.34085294</x:v>
      </x:c>
      <x:c r="I263" s="16" t="n">
        <x:f>I203+I233</x:f>
        <x:v>8457846.369786257</x:v>
      </x:c>
      <x:c r="J263" s="16" t="n">
        <x:f>J203+J233</x:f>
        <x:v>236029.96889353488</x:v>
      </x:c>
      <x:c r="K263" s="16" t="n">
        <x:f>K203+K233</x:f>
        <x:v>42569652.67953274</x:v>
      </x:c>
      <x:c r="L263" s="16" t="n">
        <x:f>L203+L233</x:f>
        <x:v>2127900.2988207047</x:v>
      </x:c>
      <x:c r="M263" s="16" t="n">
        <x:f>M203+M233</x:f>
        <x:v>2671600.902632653</x:v>
      </x:c>
      <x:c r="N263" s="16" t="n">
        <x:f>N203+N233</x:f>
        <x:v>124.21117991646078</x:v>
      </x:c>
      <x:c r="O263" s="16" t="n">
        <x:f>O203+O233</x:f>
        <x:v>156.08872649162004</x:v>
      </x:c>
      <x:c r="P263" s="16" t="n">
        <x:f>P203+P233</x:f>
        <x:v>7.802301095675917</x:v>
      </x:c>
      <x:c r="Q263" s="16" t="n">
        <x:f>Q203+Q233</x:f>
        <x:v>9.795869976319729</x:v>
      </x:c>
      <x:c r="R263" s="16" t="n">
        <x:f>R203+R233</x:f>
        <x:v>156.08872649162004</x:v>
      </x:c>
      <x:c r="S263" s="16" t="n">
        <x:f>S203+S233</x:f>
        <x:v>9.795869976319722</x:v>
      </x:c>
      <x:c r="T263" s="2"/>
      <x:c r="U263" s="2"/>
      <x:c r="V263" s="2" t="n">
        <x:f>V203+V233</x:f>
        <x:v>6.5374305219189885</x:v>
      </x:c>
    </x:row>
    <x:row r="264" ht="22" customHeight="1">
      <x:c r="A264" s="2" t="str">
        <x:v>CR_FAST</x:v>
      </x:c>
      <x:c r="B264" s="2" t="str">
        <x:v>UK total</x:v>
      </x:c>
      <x:c r="C264" s="2" t="n">
        <x:v>2046</x:v>
      </x:c>
      <x:c r="D264" s="16" t="n">
        <x:f>D204+D234</x:f>
        <x:v>1124130</x:v>
      </x:c>
      <x:c r="E264" s="16" t="n">
        <x:f>E204+E234</x:f>
        <x:v>0</x:v>
      </x:c>
      <x:c r="F264" s="16" t="n">
        <x:f>F204+F234</x:f>
        <x:v>1124130</x:v>
      </x:c>
      <x:c r="G264" s="16" t="n">
        <x:f>G204+G234</x:f>
        <x:v>152721400.00000003</x:v>
      </x:c>
      <x:c r="H264" s="16" t="n">
        <x:f>H204+H234</x:f>
        <x:v>35128633.41166299</x:v>
      </x:c>
      <x:c r="I264" s="16" t="n">
        <x:f>I204+I234</x:f>
        <x:v>8770650.201101935</x:v>
      </x:c>
      <x:c r="J264" s="16" t="n">
        <x:f>J204+J234</x:f>
        <x:v>248452.59883529987</x:v>
      </x:c>
      <x:c r="K264" s="16" t="n">
        <x:f>K204+K234</x:f>
        <x:v>44147736.21160022</x:v>
      </x:c>
      <x:c r="L264" s="16" t="n">
        <x:f>L204+L234</x:f>
        <x:v>1252857.0708100484</x:v>
      </x:c>
      <x:c r="M264" s="16" t="n">
        <x:f>M204+M234</x:f>
        <x:v>1578083.5320674889</x:v>
      </x:c>
      <x:c r="N264" s="16" t="n">
        <x:f>N204+N234</x:f>
        <x:v>128.80498917609762</x:v>
      </x:c>
      <x:c r="O264" s="16" t="n">
        <x:f>O204+O234</x:f>
        <x:v>161.8750327758675</x:v>
      </x:c>
      <x:c r="P264" s="16" t="n">
        <x:f>P204+P234</x:f>
        <x:v>4.593809259636845</x:v>
      </x:c>
      <x:c r="Q264" s="16" t="n">
        <x:f>Q204+Q234</x:f>
        <x:v>5.786306284247459</x:v>
      </x:c>
      <x:c r="R264" s="16" t="n">
        <x:f>R204+R234</x:f>
        <x:v>161.8750327758675</x:v>
      </x:c>
      <x:c r="S264" s="16" t="n">
        <x:f>S204+S234</x:f>
        <x:v>5.786306284247466</x:v>
      </x:c>
      <x:c r="T264" s="2"/>
      <x:c r="U264" s="2"/>
      <x:c r="V264" s="2" t="n">
        <x:f>V204+V234</x:f>
        <x:v>6.440249458804883</x:v>
      </x:c>
    </x:row>
    <x:row r="265" ht="22" customHeight="1">
      <x:c r="A265" s="2" t="str">
        <x:v>CR_FAST</x:v>
      </x:c>
      <x:c r="B265" s="2" t="str">
        <x:v>UK total</x:v>
      </x:c>
      <x:c r="C265" s="2" t="n">
        <x:v>2047</x:v>
      </x:c>
      <x:c r="D265" s="16" t="n">
        <x:f>D205+D235</x:f>
        <x:v>1124130</x:v>
      </x:c>
      <x:c r="E265" s="16" t="n">
        <x:f>E205+E235</x:f>
        <x:v>0</x:v>
      </x:c>
      <x:c r="F265" s="16" t="n">
        <x:f>F205+F235</x:f>
        <x:v>1124130</x:v>
      </x:c>
      <x:c r="G265" s="16" t="n">
        <x:f>G205+G235</x:f>
        <x:v>152721400.00000003</x:v>
      </x:c>
      <x:c r="H265" s="16" t="n">
        <x:f>H205+H235</x:f>
        <x:v>37149315.97741934</x:v>
      </x:c>
      <x:c r="I265" s="16" t="n">
        <x:f>I205+I235</x:f>
        <x:v>9275158.866270503</x:v>
      </x:c>
      <x:c r="J265" s="16" t="n">
        <x:f>J205+J235</x:f>
        <x:v>260875.22877706485</x:v>
      </x:c>
      <x:c r="K265" s="16" t="n">
        <x:f>K205+K235</x:f>
        <x:v>46685350.07246691</x:v>
      </x:c>
      <x:c r="L265" s="16" t="n">
        <x:f>L205+L235</x:f>
        <x:v>2020682.5657563475</x:v>
      </x:c>
      <x:c r="M265" s="16" t="n">
        <x:f>M205+M235</x:f>
        <x:v>2537613.860866683</x:v>
      </x:c>
      <x:c r="N265" s="16" t="n">
        <x:f>N205+N235</x:f>
        <x:v>136.2141585838709</x:v>
      </x:c>
      <x:c r="O265" s="16" t="n">
        <x:f>O205+O235</x:f>
        <x:v>171.17961693237865</x:v>
      </x:c>
      <x:c r="P265" s="16" t="n">
        <x:f>P205+P235</x:f>
        <x:v>7.409169407773273</x:v>
      </x:c>
      <x:c r="Q265" s="16" t="n">
        <x:f>Q205+Q235</x:f>
        <x:v>9.30458415651117</x:v>
      </x:c>
      <x:c r="R265" s="16" t="n">
        <x:f>R205+R235</x:f>
        <x:v>171.17961693237865</x:v>
      </x:c>
      <x:c r="S265" s="16" t="n">
        <x:f>S205+S235</x:f>
        <x:v>9.30458415651114</x:v>
      </x:c>
      <x:c r="T265" s="2"/>
      <x:c r="U265" s="2"/>
      <x:c r="V265" s="2" t="n">
        <x:f>V205+V235</x:f>
        <x:v>6.486388503993852</x:v>
      </x:c>
    </x:row>
    <x:row r="266" ht="22" customHeight="1">
      <x:c r="A266" s="2" t="str">
        <x:v>CR_FAST</x:v>
      </x:c>
      <x:c r="B266" s="2" t="str">
        <x:v>UK total</x:v>
      </x:c>
      <x:c r="C266" s="2" t="n">
        <x:v>2048</x:v>
      </x:c>
      <x:c r="D266" s="16" t="n">
        <x:f>D206+D236</x:f>
        <x:v>1124130</x:v>
      </x:c>
      <x:c r="E266" s="16" t="n">
        <x:f>E206+E236</x:f>
        <x:v>0</x:v>
      </x:c>
      <x:c r="F266" s="16" t="n">
        <x:f>F206+F236</x:f>
        <x:v>1124130</x:v>
      </x:c>
      <x:c r="G266" s="16" t="n">
        <x:f>G206+G236</x:f>
        <x:v>152721400.00000003</x:v>
      </x:c>
      <x:c r="H266" s="16" t="n">
        <x:f>H206+H236</x:f>
        <x:v>39419074.85962996</x:v>
      </x:c>
      <x:c r="I266" s="16" t="n">
        <x:f>I206+I236</x:f>
        <x:v>9841855.013069773</x:v>
      </x:c>
      <x:c r="J266" s="16" t="n">
        <x:f>J206+J236</x:f>
        <x:v>273297.85871882987</x:v>
      </x:c>
      <x:c r="K266" s="16" t="n">
        <x:f>K206+K236</x:f>
        <x:v>49534227.731418565</x:v>
      </x:c>
      <x:c r="L266" s="16" t="n">
        <x:f>L206+L236</x:f>
        <x:v>2269758.882210624</x:v>
      </x:c>
      <x:c r="M266" s="16" t="n">
        <x:f>M206+M236</x:f>
        <x:v>2848877.6589516606</x:v>
      </x:c>
      <x:c r="N266" s="16" t="n">
        <x:f>N206+N236</x:f>
        <x:v>144.53660781864318</x:v>
      </x:c>
      <x:c r="O266" s="16" t="n">
        <x:f>O206+O236</x:f>
        <x:v>181.6255016818681</x:v>
      </x:c>
      <x:c r="P266" s="16" t="n">
        <x:f>P206+P236</x:f>
        <x:v>8.322449234772288</x:v>
      </x:c>
      <x:c r="Q266" s="16" t="n">
        <x:f>Q206+Q236</x:f>
        <x:v>10.445884749489423</x:v>
      </x:c>
      <x:c r="R266" s="16" t="n">
        <x:f>R206+R236</x:f>
        <x:v>181.6255016818681</x:v>
      </x:c>
      <x:c r="S266" s="16" t="n">
        <x:f>S206+S236</x:f>
        <x:v>10.445884749489448</x:v>
      </x:c>
      <x:c r="T266" s="2"/>
      <x:c r="U266" s="2"/>
      <x:c r="V266" s="2" t="n">
        <x:f>V206+V236</x:f>
        <x:v>6.569845809938327</x:v>
      </x:c>
    </x:row>
    <x:row r="267" ht="22" customHeight="1">
      <x:c r="A267" s="2" t="str">
        <x:v>CR_FAST</x:v>
      </x:c>
      <x:c r="B267" s="2" t="str">
        <x:v>UK total</x:v>
      </x:c>
      <x:c r="C267" s="2" t="n">
        <x:v>2049</x:v>
      </x:c>
      <x:c r="D267" s="16" t="n">
        <x:f>D207+D237</x:f>
        <x:v>1124130</x:v>
      </x:c>
      <x:c r="E267" s="16" t="n">
        <x:f>E207+E237</x:f>
        <x:v>0</x:v>
      </x:c>
      <x:c r="F267" s="16" t="n">
        <x:f>F207+F237</x:f>
        <x:v>1124130</x:v>
      </x:c>
      <x:c r="G267" s="16" t="n">
        <x:f>G207+G237</x:f>
        <x:v>152721400.00000003</x:v>
      </x:c>
      <x:c r="H267" s="16" t="n">
        <x:f>H207+H237</x:f>
        <x:v>41878498.98607999</x:v>
      </x:c>
      <x:c r="I267" s="16" t="n">
        <x:f>I207+I237</x:f>
        <x:v>10455905.336532747</x:v>
      </x:c>
      <x:c r="J267" s="16" t="n">
        <x:f>J207+J237</x:f>
        <x:v>285720.48866059486</x:v>
      </x:c>
      <x:c r="K267" s="16" t="n">
        <x:f>K207+K237</x:f>
        <x:v>52620124.81127334</x:v>
      </x:c>
      <x:c r="L267" s="16" t="n">
        <x:f>L207+L237</x:f>
        <x:v>2459424.1264500297</x:v>
      </x:c>
      <x:c r="M267" s="16" t="n">
        <x:f>M207+M237</x:f>
        <x:v>3085897.079854768</x:v>
      </x:c>
      <x:c r="N267" s="16" t="n">
        <x:f>N207+N237</x:f>
        <x:v>153.55449628229331</x:v>
      </x:c>
      <x:c r="O267" s="16" t="n">
        <x:f>O207+O237</x:f>
        <x:v>192.94045764133557</x:v>
      </x:c>
      <x:c r="P267" s="16" t="n">
        <x:f>P207+P237</x:f>
        <x:v>9.017888463650108</x:v>
      </x:c>
      <x:c r="Q267" s="16" t="n">
        <x:f>Q207+Q237</x:f>
        <x:v>11.314955959467481</x:v>
      </x:c>
      <x:c r="R267" s="16" t="n">
        <x:f>R207+R237</x:f>
        <x:v>192.94045764133557</x:v>
      </x:c>
      <x:c r="S267" s="16" t="n">
        <x:f>S207+S237</x:f>
        <x:v>11.314955959467483</x:v>
      </x:c>
      <x:c r="T267" s="2"/>
      <x:c r="U267" s="2"/>
      <x:c r="V267" s="2" t="n">
        <x:f>V207+V237</x:f>
        <x:v>6.676282447056231</x:v>
      </x:c>
    </x:row>
    <x:row r="268" ht="22" customHeight="1">
      <x:c r="A268" s="2" t="str">
        <x:v>CR_FAST</x:v>
      </x:c>
      <x:c r="B268" s="2" t="str">
        <x:v>UK total</x:v>
      </x:c>
      <x:c r="C268" s="2" t="n">
        <x:v>2050</x:v>
      </x:c>
      <x:c r="D268" s="16" t="n">
        <x:f>D208+D238</x:f>
        <x:v>1124130</x:v>
      </x:c>
      <x:c r="E268" s="16" t="n">
        <x:f>E208+E238</x:f>
        <x:v>0</x:v>
      </x:c>
      <x:c r="F268" s="16" t="n">
        <x:f>F208+F238</x:f>
        <x:v>1124130</x:v>
      </x:c>
      <x:c r="G268" s="16" t="n">
        <x:f>G208+G238</x:f>
        <x:v>152721400.00000003</x:v>
      </x:c>
      <x:c r="H268" s="16" t="n">
        <x:f>H208+H238</x:f>
        <x:v>43916217.709530234</x:v>
      </x:c>
      <x:c r="I268" s="16" t="n">
        <x:f>I208+I238</x:f>
        <x:v>10964667.460073948</x:v>
      </x:c>
      <x:c r="J268" s="16" t="n">
        <x:f>J208+J238</x:f>
        <x:v>298143.11860235984</x:v>
      </x:c>
      <x:c r="K268" s="16" t="n">
        <x:f>K208+K238</x:f>
        <x:v>55179028.28820654</x:v>
      </x:c>
      <x:c r="L268" s="16" t="n">
        <x:f>L208+L238</x:f>
        <x:v>2037718.7234502425</x:v>
      </x:c>
      <x:c r="M268" s="16" t="n">
        <x:f>M208+M238</x:f>
        <x:v>2558903.476933201</x:v>
      </x:c>
      <x:c r="N268" s="16" t="n">
        <x:f>N208+N238</x:f>
        <x:v>161.02613160161084</x:v>
      </x:c>
      <x:c r="O268" s="16" t="n">
        <x:f>O208+O238</x:f>
        <x:v>202.323103723424</x:v>
      </x:c>
      <x:c r="P268" s="16" t="n">
        <x:f>P208+P238</x:f>
        <x:v>7.471635319317556</x:v>
      </x:c>
      <x:c r="Q268" s="16" t="n">
        <x:f>Q208+Q238</x:f>
        <x:v>9.382646082088403</x:v>
      </x:c>
      <x:c r="R268" s="16" t="n">
        <x:f>R208+R238</x:f>
        <x:v>202.323103723424</x:v>
      </x:c>
      <x:c r="S268" s="16" t="n">
        <x:f>S208+S238</x:f>
        <x:v>9.38264608208842</x:v>
      </x:c>
      <x:c r="T268" s="2"/>
      <x:c r="U268" s="2"/>
      <x:c r="V268" s="2" t="n">
        <x:f>V208+V238</x:f>
        <x:v>6.709422150067117</x:v>
      </x:c>
    </x:row>
    <x:row r="269" ht="22" customHeight="1">
      <x:c r="A269" s="2" t="str">
        <x:v>CR_FAST</x:v>
      </x:c>
      <x:c r="B269" s="2" t="str">
        <x:v>UK total</x:v>
      </x:c>
      <x:c r="C269" s="2" t="n">
        <x:v>2051</x:v>
      </x:c>
      <x:c r="D269" s="16" t="n">
        <x:f>D209+D239</x:f>
        <x:v>1124130</x:v>
      </x:c>
      <x:c r="E269" s="16" t="n">
        <x:f>E209+E239</x:f>
        <x:v>0</x:v>
      </x:c>
      <x:c r="F269" s="16" t="n">
        <x:f>F209+F239</x:f>
        <x:v>1124130</x:v>
      </x:c>
      <x:c r="G269" s="16" t="n">
        <x:f>G209+G239</x:f>
        <x:v>152721400.00000003</x:v>
      </x:c>
      <x:c r="H269" s="16" t="n">
        <x:f>H209+H239</x:f>
        <x:v>45823001.013552815</x:v>
      </x:c>
      <x:c r="I269" s="16" t="n">
        <x:f>I209+I239</x:f>
        <x:v>11440738.623244533</x:v>
      </x:c>
      <x:c r="J269" s="16" t="n">
        <x:f>J209+J239</x:f>
        <x:v>310565.7485441248</x:v>
      </x:c>
      <x:c r="K269" s="16" t="n">
        <x:f>K209+K239</x:f>
        <x:v>57574305.38534147</x:v>
      </x:c>
      <x:c r="L269" s="16" t="n">
        <x:f>L209+L239</x:f>
        <x:v>1906783.304022584</x:v>
      </x:c>
      <x:c r="M269" s="16" t="n">
        <x:f>M209+M239</x:f>
        <x:v>2395277.0971349385</x:v>
      </x:c>
      <x:c r="N269" s="16" t="n">
        <x:f>N209+N239</x:f>
        <x:v>168.017670383027</x:v>
      </x:c>
      <x:c r="O269" s="16" t="n">
        <x:f>O209+O239</x:f>
        <x:v>211.10578641291875</x:v>
      </x:c>
      <x:c r="P269" s="16" t="n">
        <x:f>P209+P239</x:f>
        <x:v>6.991538781416142</x:v>
      </x:c>
      <x:c r="Q269" s="16" t="n">
        <x:f>Q209+Q239</x:f>
        <x:v>8.782682689494774</x:v>
      </x:c>
      <x:c r="R269" s="16" t="n">
        <x:f>R209+R239</x:f>
        <x:v>211.10578641291875</x:v>
      </x:c>
      <x:c r="S269" s="16" t="n">
        <x:f>S209+S239</x:f>
        <x:v>8.782682689494761</x:v>
      </x:c>
      <x:c r="T269" s="2"/>
      <x:c r="U269" s="2"/>
      <x:c r="V269" s="2" t="n">
        <x:f>V209+V239</x:f>
        <x:v>6.720706815321081</x:v>
      </x:c>
    </x:row>
    <x:row r="270" ht="22" customHeight="1">
      <x:c r="A270" s="2" t="str">
        <x:v>CR_FAST</x:v>
      </x:c>
      <x:c r="B270" s="2" t="str">
        <x:v>UK total</x:v>
      </x:c>
      <x:c r="C270" s="2" t="n">
        <x:v>2052</x:v>
      </x:c>
      <x:c r="D270" s="16" t="n">
        <x:f>D210+D240</x:f>
        <x:v>1124130</x:v>
      </x:c>
      <x:c r="E270" s="16" t="n">
        <x:f>E210+E240</x:f>
        <x:v>0</x:v>
      </x:c>
      <x:c r="F270" s="16" t="n">
        <x:f>F210+F240</x:f>
        <x:v>1124130</x:v>
      </x:c>
      <x:c r="G270" s="16" t="n">
        <x:f>G210+G240</x:f>
        <x:v>152721400.00000003</x:v>
      </x:c>
      <x:c r="H270" s="16" t="n">
        <x:f>H210+H240</x:f>
        <x:v>48286618.70674391</x:v>
      </x:c>
      <x:c r="I270" s="16" t="n">
        <x:f>I210+I240</x:f>
        <x:v>12055835.964578936</x:v>
      </x:c>
      <x:c r="J270" s="16" t="n">
        <x:f>J210+J240</x:f>
        <x:v>322988.3784858898</x:v>
      </x:c>
      <x:c r="K270" s="16" t="n">
        <x:f>K210+K240</x:f>
        <x:v>60665443.04980874</x:v>
      </x:c>
      <x:c r="L270" s="16" t="n">
        <x:f>L210+L240</x:f>
        <x:v>2463617.6931910943</x:v>
      </x:c>
      <x:c r="M270" s="16" t="n">
        <x:f>M210+M240</x:f>
        <x:v>3091137.664467265</x:v>
      </x:c>
      <x:c r="N270" s="16" t="n">
        <x:f>N210+N240</x:f>
        <x:v>177.050935258061</x:v>
      </x:c>
      <x:c r="O270" s="16" t="n">
        <x:f>O210+O240</x:f>
        <x:v>222.4399578492987</x:v>
      </x:c>
      <x:c r="P270" s="16" t="n">
        <x:f>P210+P240</x:f>
        <x:v>9.033264875034012</x:v>
      </x:c>
      <x:c r="Q270" s="16" t="n">
        <x:f>Q210+Q240</x:f>
        <x:v>11.334171436379972</x:v>
      </x:c>
      <x:c r="R270" s="16" t="n">
        <x:f>R210+R240</x:f>
        <x:v>222.4399578492987</x:v>
      </x:c>
      <x:c r="S270" s="16" t="n">
        <x:f>S210+S240</x:f>
        <x:v>11.334171436379963</x:v>
      </x:c>
      <x:c r="T270" s="2"/>
      <x:c r="U270" s="2"/>
      <x:c r="V270" s="2" t="n">
        <x:f>V210+V240</x:f>
        <x:v>6.809651356079269</x:v>
      </x:c>
    </x:row>
    <x:row r="271" ht="22" customHeight="1">
      <x:c r="A271" s="2" t="str">
        <x:v>CR_FAST</x:v>
      </x:c>
      <x:c r="B271" s="2" t="str">
        <x:v>UK total</x:v>
      </x:c>
      <x:c r="C271" s="2" t="n">
        <x:v>2053</x:v>
      </x:c>
      <x:c r="D271" s="16" t="n">
        <x:f>D211+D241</x:f>
        <x:v>1124130</x:v>
      </x:c>
      <x:c r="E271" s="16" t="n">
        <x:f>E211+E241</x:f>
        <x:v>0</x:v>
      </x:c>
      <x:c r="F271" s="16" t="n">
        <x:f>F211+F241</x:f>
        <x:v>1124130</x:v>
      </x:c>
      <x:c r="G271" s="16" t="n">
        <x:f>G211+G241</x:f>
        <x:v>152721400.00000003</x:v>
      </x:c>
      <x:c r="H271" s="16" t="n">
        <x:f>H211+H241</x:f>
        <x:v>49898881.02263519</x:v>
      </x:c>
      <x:c r="I271" s="16" t="n">
        <x:f>I211+I241</x:f>
        <x:v>12458373.365888892</x:v>
      </x:c>
      <x:c r="J271" s="16" t="n">
        <x:f>J211+J241</x:f>
        <x:v>335411.0084276548</x:v>
      </x:c>
      <x:c r="K271" s="16" t="n">
        <x:f>K211+K241</x:f>
        <x:v>62692665.39695174</x:v>
      </x:c>
      <x:c r="L271" s="16" t="n">
        <x:f>L211+L241</x:f>
        <x:v>1612262.3158912808</x:v>
      </x:c>
      <x:c r="M271" s="16" t="n">
        <x:f>M211+M241</x:f>
        <x:v>2027222.347143</x:v>
      </x:c>
      <x:c r="N271" s="16" t="n">
        <x:f>N211+N241</x:f>
        <x:v>182.9625637496624</x:v>
      </x:c>
      <x:c r="O271" s="16" t="n">
        <x:f>O211+O241</x:f>
        <x:v>229.8731064554897</x:v>
      </x:c>
      <x:c r="P271" s="16" t="n">
        <x:f>P211+P241</x:f>
        <x:v>5.9116284916013635</x:v>
      </x:c>
      <x:c r="Q271" s="16" t="n">
        <x:f>Q211+Q241</x:f>
        <x:v>7.433148606191001</x:v>
      </x:c>
      <x:c r="R271" s="16" t="n">
        <x:f>R211+R241</x:f>
        <x:v>229.8731064554897</x:v>
      </x:c>
      <x:c r="S271" s="16" t="n">
        <x:f>S211+S241</x:f>
        <x:v>7.433148606190997</x:v>
      </x:c>
      <x:c r="T271" s="2"/>
      <x:c r="U271" s="2"/>
      <x:c r="V271" s="2" t="n">
        <x:f>V211+V241</x:f>
        <x:v>6.776391249987496</x:v>
      </x:c>
    </x:row>
    <x:row r="272" ht="22" customHeight="1">
      <x:c r="A272" s="2" t="str">
        <x:v>CR_FAST</x:v>
      </x:c>
      <x:c r="B272" s="2" t="str">
        <x:v>UK total</x:v>
      </x:c>
      <x:c r="C272" s="2" t="n">
        <x:v>2054</x:v>
      </x:c>
      <x:c r="D272" s="16" t="n">
        <x:f>D212+D242</x:f>
        <x:v>1124130</x:v>
      </x:c>
      <x:c r="E272" s="16" t="n">
        <x:f>E212+E242</x:f>
        <x:v>0</x:v>
      </x:c>
      <x:c r="F272" s="16" t="n">
        <x:f>F212+F242</x:f>
        <x:v>1124130</x:v>
      </x:c>
      <x:c r="G272" s="16" t="n">
        <x:f>G212+G242</x:f>
        <x:v>152721400.00000003</x:v>
      </x:c>
      <x:c r="H272" s="16" t="n">
        <x:f>H212+H242</x:f>
        <x:v>51616718.453155905</x:v>
      </x:c>
      <x:c r="I272" s="16" t="n">
        <x:f>I212+I242</x:f>
        <x:v>12887269.959414067</x:v>
      </x:c>
      <x:c r="J272" s="16" t="n">
        <x:f>J212+J242</x:f>
        <x:v>347833.63836941984</x:v>
      </x:c>
      <x:c r="K272" s="16" t="n">
        <x:f>K212+K242</x:f>
        <x:v>64851822.050939396</x:v>
      </x:c>
      <x:c r="L272" s="16" t="n">
        <x:f>L212+L242</x:f>
        <x:v>1717837.4305207143</x:v>
      </x:c>
      <x:c r="M272" s="16" t="n">
        <x:f>M212+M242</x:f>
        <x:v>2159156.6539876526</x:v>
      </x:c>
      <x:c r="N272" s="16" t="n">
        <x:f>N212+N242</x:f>
        <x:v>189.26130099490499</x:v>
      </x:c>
      <x:c r="O272" s="16" t="n">
        <x:f>O212+O242</x:f>
        <x:v>237.79001418677777</x:v>
      </x:c>
      <x:c r="P272" s="16" t="n">
        <x:f>P212+P242</x:f>
        <x:v>6.298737245242619</x:v>
      </x:c>
      <x:c r="Q272" s="16" t="n">
        <x:f>Q212+Q242</x:f>
        <x:v>7.91690773128806</x:v>
      </x:c>
      <x:c r="R272" s="16" t="n">
        <x:f>R212+R242</x:f>
        <x:v>237.79001418677777</x:v>
      </x:c>
      <x:c r="S272" s="16" t="n">
        <x:f>S212+S242</x:f>
        <x:v>7.916907731288067</x:v>
      </x:c>
      <x:c r="T272" s="2"/>
      <x:c r="U272" s="2"/>
      <x:c r="V272" s="2" t="n">
        <x:f>V212+V242</x:f>
        <x:v>6.759332178389464</x:v>
      </x:c>
    </x:row>
    <x:row r="273" ht="22" customHeight="1">
      <x:c r="A273" s="2" t="str">
        <x:v>CR_FAST</x:v>
      </x:c>
      <x:c r="B273" s="2" t="str">
        <x:v>UK total</x:v>
      </x:c>
      <x:c r="C273" s="2" t="n">
        <x:v>2055</x:v>
      </x:c>
      <x:c r="D273" s="16" t="n">
        <x:f>D213+D243</x:f>
        <x:v>1124130</x:v>
      </x:c>
      <x:c r="E273" s="16" t="n">
        <x:f>E213+E243</x:f>
        <x:v>0</x:v>
      </x:c>
      <x:c r="F273" s="16" t="n">
        <x:f>F213+F243</x:f>
        <x:v>1124130</x:v>
      </x:c>
      <x:c r="G273" s="16" t="n">
        <x:f>G213+G243</x:f>
        <x:v>152721400.00000003</x:v>
      </x:c>
      <x:c r="H273" s="16" t="n">
        <x:f>H213+H243</x:f>
        <x:v>55027730.83216473</x:v>
      </x:c>
      <x:c r="I273" s="16" t="n">
        <x:f>I213+I243</x:f>
        <x:v>13738905.60539346</x:v>
      </x:c>
      <x:c r="J273" s="16" t="n">
        <x:f>J213+J243</x:f>
        <x:v>360256.26831118483</x:v>
      </x:c>
      <x:c r="K273" s="16" t="n">
        <x:f>K213+K243</x:f>
        <x:v>69126892.70586938</x:v>
      </x:c>
      <x:c r="L273" s="16" t="n">
        <x:f>L213+L243</x:f>
        <x:v>3411012.3790088175</x:v>
      </x:c>
      <x:c r="M273" s="16" t="n">
        <x:f>M213+M243</x:f>
        <x:v>4275070.654929976</x:v>
      </x:c>
      <x:c r="N273" s="16" t="n">
        <x:f>N213+N243</x:f>
        <x:v>201.76834638460397</x:v>
      </x:c>
      <x:c r="O273" s="16" t="n">
        <x:f>O213+O243</x:f>
        <x:v>253.46527325485437</x:v>
      </x:c>
      <x:c r="P273" s="16" t="n">
        <x:f>P213+P243</x:f>
        <x:v>12.507045389698996</x:v>
      </x:c>
      <x:c r="Q273" s="16" t="n">
        <x:f>Q213+Q243</x:f>
        <x:v>15.675259068076578</x:v>
      </x:c>
      <x:c r="R273" s="16" t="n">
        <x:f>R213+R243</x:f>
        <x:v>253.46527325485437</x:v>
      </x:c>
      <x:c r="S273" s="16" t="n">
        <x:f>S213+S243</x:f>
        <x:v>15.675259068076588</x:v>
      </x:c>
      <x:c r="T273" s="2"/>
      <x:c r="U273" s="2"/>
      <x:c r="V273" s="2" t="n">
        <x:f>V213+V243</x:f>
        <x:v>6.957529185676</x:v>
      </x:c>
    </x:row>
    <x:row r="274" ht="22" customHeight="1">
      <x:c r="A274" s="2" t="str">
        <x:v>CR_FAST</x:v>
      </x:c>
      <x:c r="B274" s="2" t="str">
        <x:v>UK total</x:v>
      </x:c>
      <x:c r="C274" s="2" t="n">
        <x:v>2056</x:v>
      </x:c>
      <x:c r="D274" s="16" t="n">
        <x:f>D214+D244</x:f>
        <x:v>1124130</x:v>
      </x:c>
      <x:c r="E274" s="16" t="n">
        <x:f>E214+E244</x:f>
        <x:v>0</x:v>
      </x:c>
      <x:c r="F274" s="16" t="n">
        <x:f>F214+F244</x:f>
        <x:v>1124130</x:v>
      </x:c>
      <x:c r="G274" s="16" t="n">
        <x:f>G214+G244</x:f>
        <x:v>152721400.00000003</x:v>
      </x:c>
      <x:c r="H274" s="16" t="n">
        <x:f>H214+H244</x:f>
        <x:v>57015665.45400591</x:v>
      </x:c>
      <x:c r="I274" s="16" t="n">
        <x:f>I214+I244</x:f>
        <x:v>14235238.012820395</x:v>
      </x:c>
      <x:c r="J274" s="16" t="n">
        <x:f>J214+J244</x:f>
        <x:v>372678.8982529498</x:v>
      </x:c>
      <x:c r="K274" s="16" t="n">
        <x:f>K214+K244</x:f>
        <x:v>71623582.36507925</x:v>
      </x:c>
      <x:c r="L274" s="16" t="n">
        <x:f>L214+L244</x:f>
        <x:v>1987934.6218411885</x:v>
      </x:c>
      <x:c r="M274" s="16" t="n">
        <x:f>M214+M244</x:f>
        <x:v>2496689.6592098856</x:v>
      </x:c>
      <x:c r="N274" s="16" t="n">
        <x:f>N214+N244</x:f>
        <x:v>209.05743999802164</x:v>
      </x:c>
      <x:c r="O274" s="16" t="n">
        <x:f>O214+O244</x:f>
        <x:v>262.6198020052906</x:v>
      </x:c>
      <x:c r="P274" s="16" t="n">
        <x:f>P214+P244</x:f>
        <x:v>7.289093613417691</x:v>
      </x:c>
      <x:c r="Q274" s="16" t="n">
        <x:f>Q214+Q244</x:f>
        <x:v>9.154528750436247</x:v>
      </x:c>
      <x:c r="R274" s="16" t="n">
        <x:f>R214+R244</x:f>
        <x:v>262.6198020052906</x:v>
      </x:c>
      <x:c r="S274" s="16" t="n">
        <x:f>S214+S244</x:f>
        <x:v>9.154528750436235</x:v>
      </x:c>
      <x:c r="T274" s="2"/>
      <x:c r="U274" s="2"/>
      <x:c r="V274" s="2" t="n">
        <x:f>V214+V244</x:f>
        <x:v>6.96858133326739</x:v>
      </x:c>
    </x:row>
    <x:row r="275" ht="22" customHeight="1">
      <x:c r="A275" s="2" t="str">
        <x:v>CR_STEADY</x:v>
      </x:c>
      <x:c r="B275" s="2" t="str">
        <x:v>Permanent grassland</x:v>
      </x:c>
      <x:c r="C275" s="2" t="n">
        <x:v>2027</x:v>
      </x:c>
      <x:c r="D275" s="16" t="n">
        <x:f>Inputs!H13</x:f>
        <x:v>837900.0000000001</x:v>
      </x:c>
      <x:c r="E275" s="16" t="n">
        <x:f>D275*'Cohort factors'!C35</x:f>
        <x:v>34912.5</x:v>
      </x:c>
      <x:c r="F275" s="16" t="n">
        <x:f>D275*'Cohort factors'!D35</x:f>
        <x:v>34912.5</x:v>
      </x:c>
      <x:c r="G275" s="16" t="n">
        <x:f>F275*Inputs!D13</x:f>
        <x:v>5795475</x:v>
      </x:c>
      <x:c r="H275" s="16" t="n">
        <x:f>D275*Inputs!D13*'Cohort factors'!E35*Inputs!$B$5/1000</x:f>
        <x:v>2888.5668949059996</x:v>
      </x:c>
      <x:c r="I275" s="16" t="n">
        <x:f>H275*Inputs!$B$10</x:f>
        <x:v>721.1954282654332</x:v>
      </x:c>
      <x:c r="J275" s="16" t="n">
        <x:f>D275*T275*Inputs!$B$8*U275*0</x:f>
        <x:v>0</x:v>
      </x:c>
      <x:c r="K275" s="16" t="n">
        <x:f>SUM(H275:J275)</x:f>
        <x:v>3609.762323171433</x:v>
      </x:c>
      <x:c r="L275" s="16" t="n">
        <x:f>H275</x:f>
        <x:v>2888.5668949059996</x:v>
      </x:c>
      <x:c r="M275" s="16" t="n">
        <x:f>K275</x:f>
        <x:v>3609.762323171433</x:v>
      </x:c>
      <x:c r="N275" s="16" t="n">
        <x:f>H275*44/12/1000000</x:f>
        <x:v>0.010591411947988665</x:v>
      </x:c>
      <x:c r="O275" s="16" t="n">
        <x:f>K275*44/12/1000000</x:f>
        <x:v>0.01323579518496192</x:v>
      </x:c>
      <x:c r="P275" s="16" t="n">
        <x:f>L275*44/12/1000000</x:f>
        <x:v>0.010591411947988665</x:v>
      </x:c>
      <x:c r="Q275" s="16" t="n">
        <x:f>M275*44/12/1000000</x:f>
        <x:v>0.01323579518496192</x:v>
      </x:c>
      <x:c r="R275" s="16" t="n">
        <x:f>(H275+I275)*44/12/1000000</x:f>
        <x:v>0.01323579518496192</x:v>
      </x:c>
      <x:c r="S275" s="16" t="n">
        <x:f>R275</x:f>
        <x:v>0.01323579518496192</x:v>
      </x:c>
      <x:c r="T275" s="2" t="n">
        <x:f>Inputs!E13/Inputs!F13</x:f>
        <x:v>0.2</x:v>
      </x:c>
      <x:c r="U275" s="2" t="n">
        <x:f>'Cohort factors'!F35</x:f>
        <x:v>0.041666666666666664</x:v>
      </x:c>
      <x:c r="V275" s="2" t="n">
        <x:f>D275*Inputs!D13*'Cohort factors'!G35*Inputs!$B$5/1000*44/12/1000000</x:f>
        <x:v>0.010591411947988665</x:v>
      </x:c>
    </x:row>
    <x:row r="276" ht="22" customHeight="1">
      <x:c r="A276" s="2" t="str">
        <x:v>CR_STEADY</x:v>
      </x:c>
      <x:c r="B276" s="2" t="str">
        <x:v>Permanent grassland</x:v>
      </x:c>
      <x:c r="C276" s="2" t="n">
        <x:v>2028</x:v>
      </x:c>
      <x:c r="D276" s="16" t="n">
        <x:f>Inputs!H13</x:f>
        <x:v>837900.0000000001</x:v>
      </x:c>
      <x:c r="E276" s="16" t="n">
        <x:f>D276*'Cohort factors'!C36</x:f>
        <x:v>34912.5</x:v>
      </x:c>
      <x:c r="F276" s="16" t="n">
        <x:f>D276*'Cohort factors'!D36</x:f>
        <x:v>69825</x:v>
      </x:c>
      <x:c r="G276" s="16" t="n">
        <x:f>F276*Inputs!D13</x:f>
        <x:v>11590950</x:v>
      </x:c>
      <x:c r="H276" s="16" t="n">
        <x:f>D276*Inputs!D13*'Cohort factors'!E36*Inputs!$B$5/1000</x:f>
        <x:v>13745.711314103999</x:v>
      </x:c>
      <x:c r="I276" s="16" t="n">
        <x:f>H276*Inputs!$B$10</x:f>
        <x:v>3431.9247289963996</x:v>
      </x:c>
      <x:c r="J276" s="16" t="n">
        <x:f>D276*T276*Inputs!$B$8*U276*0</x:f>
        <x:v>0</x:v>
      </x:c>
      <x:c r="K276" s="16" t="n">
        <x:f>SUM(H276:J276)</x:f>
        <x:v>17177.6360431004</x:v>
      </x:c>
      <x:c r="L276" s="16" t="n">
        <x:f>H276-H275</x:f>
        <x:v>10857.144419197999</x:v>
      </x:c>
      <x:c r="M276" s="16" t="n">
        <x:f>K276-K275</x:f>
        <x:v>13567.873719928966</x:v>
      </x:c>
      <x:c r="N276" s="16" t="n">
        <x:f>H276*44/12/1000000</x:f>
        <x:v>0.050400941485048</x:v>
      </x:c>
      <x:c r="O276" s="16" t="n">
        <x:f>K276*44/12/1000000</x:f>
        <x:v>0.06298466549136814</x:v>
      </x:c>
      <x:c r="P276" s="16" t="n">
        <x:f>L276*44/12/1000000</x:f>
        <x:v>0.03980952953705933</x:v>
      </x:c>
      <x:c r="Q276" s="16" t="n">
        <x:f>M276*44/12/1000000</x:f>
        <x:v>0.04974887030640621</x:v>
      </x:c>
      <x:c r="R276" s="16" t="n">
        <x:f>(H276+I276)*44/12/1000000</x:f>
        <x:v>0.06298466549136814</x:v>
      </x:c>
      <x:c r="S276" s="16" t="n">
        <x:f>R276-R275</x:f>
        <x:v>0.049748870306406213</x:v>
      </x:c>
      <x:c r="T276" s="2" t="n">
        <x:f>Inputs!E13/Inputs!F13</x:f>
        <x:v>0.2</x:v>
      </x:c>
      <x:c r="U276" s="2" t="n">
        <x:f>'Cohort factors'!F36</x:f>
        <x:v>0.125</x:v>
      </x:c>
      <x:c r="V276" s="2" t="n">
        <x:f>D276*Inputs!D13*'Cohort factors'!G36*Inputs!$B$5/1000*44/12/1000000</x:f>
        <x:v>0.030496176716518327</x:v>
      </x:c>
    </x:row>
    <x:row r="277" ht="22" customHeight="1">
      <x:c r="A277" s="2" t="str">
        <x:v>CR_STEADY</x:v>
      </x:c>
      <x:c r="B277" s="2" t="str">
        <x:v>Permanent grassland</x:v>
      </x:c>
      <x:c r="C277" s="2" t="n">
        <x:v>2029</x:v>
      </x:c>
      <x:c r="D277" s="16" t="n">
        <x:f>Inputs!H13</x:f>
        <x:v>837900.0000000001</x:v>
      </x:c>
      <x:c r="E277" s="16" t="n">
        <x:f>D277*'Cohort factors'!C37</x:f>
        <x:v>34912.5</x:v>
      </x:c>
      <x:c r="F277" s="16" t="n">
        <x:f>D277*'Cohort factors'!D37</x:f>
        <x:v>104737.50000000001</x:v>
      </x:c>
      <x:c r="G277" s="16" t="n">
        <x:f>F277*Inputs!D13</x:f>
        <x:v>17386425.000000004</x:v>
      </x:c>
      <x:c r="H277" s="16" t="n">
        <x:f>D277*Inputs!D13*'Cohort factors'!E37*Inputs!$B$5/1000</x:f>
        <x:v>46585.917220303985</x:v>
      </x:c>
      <x:c r="I277" s="16" t="n">
        <x:f>H277*Inputs!$B$10</x:f>
        <x:v>11631.217743333062</x:v>
      </x:c>
      <x:c r="J277" s="16" t="n">
        <x:f>D277*T277*Inputs!$B$8*U277*0</x:f>
        <x:v>0</x:v>
      </x:c>
      <x:c r="K277" s="16" t="n">
        <x:f>SUM(H277:J277)</x:f>
        <x:v>58217.13496363704</x:v>
      </x:c>
      <x:c r="L277" s="16" t="n">
        <x:f>H277-H276</x:f>
        <x:v>32840.20590619999</x:v>
      </x:c>
      <x:c r="M277" s="16" t="n">
        <x:f>K277-K276</x:f>
        <x:v>41039.498920536644</x:v>
      </x:c>
      <x:c r="N277" s="16" t="n">
        <x:f>H277*44/12/1000000</x:f>
        <x:v>0.17081502980778127</x:v>
      </x:c>
      <x:c r="O277" s="16" t="n">
        <x:f>K277*44/12/1000000</x:f>
        <x:v>0.2134628282000025</x:v>
      </x:c>
      <x:c r="P277" s="16" t="n">
        <x:f>L277*44/12/1000000</x:f>
        <x:v>0.1204140883227333</x:v>
      </x:c>
      <x:c r="Q277" s="16" t="n">
        <x:f>M277*44/12/1000000</x:f>
        <x:v>0.15047816270863437</x:v>
      </x:c>
      <x:c r="R277" s="16" t="n">
        <x:f>(H277+I277)*44/12/1000000</x:f>
        <x:v>0.2134628282000025</x:v>
      </x:c>
      <x:c r="S277" s="16" t="n">
        <x:f>R277-R276</x:f>
        <x:v>0.15047816270863437</x:v>
      </x:c>
      <x:c r="T277" s="2" t="n">
        <x:f>Inputs!E13/Inputs!F13</x:f>
        <x:v>0.2</x:v>
      </x:c>
      <x:c r="U277" s="2" t="n">
        <x:f>'Cohort factors'!F37</x:f>
        <x:v>0.25</x:v>
      </x:c>
      <x:c r="V277" s="2" t="n">
        <x:f>D277*Inputs!D13*'Cohort factors'!G37*Inputs!$B$5/1000*44/12/1000000</x:f>
        <x:v>0.07063420615742942</x:v>
      </x:c>
    </x:row>
    <x:row r="278" ht="22" customHeight="1">
      <x:c r="A278" s="2" t="str">
        <x:v>CR_STEADY</x:v>
      </x:c>
      <x:c r="B278" s="2" t="str">
        <x:v>Permanent grassland</x:v>
      </x:c>
      <x:c r="C278" s="2" t="n">
        <x:v>2030</x:v>
      </x:c>
      <x:c r="D278" s="16" t="n">
        <x:f>Inputs!H13</x:f>
        <x:v>837900.0000000001</x:v>
      </x:c>
      <x:c r="E278" s="16" t="n">
        <x:f>D278*'Cohort factors'!C38</x:f>
        <x:v>34912.5</x:v>
      </x:c>
      <x:c r="F278" s="16" t="n">
        <x:f>D278*'Cohort factors'!D38</x:f>
        <x:v>139650</x:v>
      </x:c>
      <x:c r="G278" s="16" t="n">
        <x:f>F278*Inputs!D13</x:f>
        <x:v>23181900</x:v>
      </x:c>
      <x:c r="H278" s="16" t="n">
        <x:f>D278*Inputs!D13*'Cohort factors'!E38*Inputs!$B$5/1000</x:f>
        <x:v>111433.34139275795</x:v>
      </x:c>
      <x:c r="I278" s="16" t="n">
        <x:f>H278*Inputs!$B$10</x:f>
        <x:v>27821.82974904362</x:v>
      </x:c>
      <x:c r="J278" s="16" t="n">
        <x:f>D278*T278*Inputs!$B$8*U278*0</x:f>
        <x:v>0</x:v>
      </x:c>
      <x:c r="K278" s="16" t="n">
        <x:f>SUM(H278:J278)</x:f>
        <x:v>139255.17114180158</x:v>
      </x:c>
      <x:c r="L278" s="16" t="n">
        <x:f>H278-H277</x:f>
        <x:v>64847.42417245397</x:v>
      </x:c>
      <x:c r="M278" s="16" t="n">
        <x:f>K278-K277</x:f>
        <x:v>81038.03617816453</x:v>
      </x:c>
      <x:c r="N278" s="16" t="n">
        <x:f>H278*44/12/1000000</x:f>
        <x:v>0.4085889184401126</x:v>
      </x:c>
      <x:c r="O278" s="16" t="n">
        <x:f>K278*44/12/1000000</x:f>
        <x:v>0.5106022941866057</x:v>
      </x:c>
      <x:c r="P278" s="16" t="n">
        <x:f>L278*44/12/1000000</x:f>
        <x:v>0.23777388863233118</x:v>
      </x:c>
      <x:c r="Q278" s="16" t="n">
        <x:f>M278*44/12/1000000</x:f>
        <x:v>0.2971394659866033</x:v>
      </x:c>
      <x:c r="R278" s="16" t="n">
        <x:f>(H278+I278)*44/12/1000000</x:f>
        <x:v>0.5106022941866057</x:v>
      </x:c>
      <x:c r="S278" s="16" t="n">
        <x:f>R278-R277</x:f>
        <x:v>0.29713946598660324</x:v>
      </x:c>
      <x:c r="T278" s="2" t="n">
        <x:f>Inputs!E13/Inputs!F13</x:f>
        <x:v>0.2</x:v>
      </x:c>
      <x:c r="U278" s="2" t="n">
        <x:f>'Cohort factors'!F38</x:f>
        <x:v>0.4166666666666667</x:v>
      </x:c>
      <x:c r="V278" s="2" t="n">
        <x:f>D278*Inputs!D13*'Cohort factors'!G38*Inputs!$B$5/1000*44/12/1000000</x:f>
        <x:v>0.13007767831551226</x:v>
      </x:c>
    </x:row>
    <x:row r="279" ht="22" customHeight="1">
      <x:c r="A279" s="2" t="str">
        <x:v>CR_STEADY</x:v>
      </x:c>
      <x:c r="B279" s="2" t="str">
        <x:v>Permanent grassland</x:v>
      </x:c>
      <x:c r="C279" s="2" t="n">
        <x:v>2031</x:v>
      </x:c>
      <x:c r="D279" s="16" t="n">
        <x:f>Inputs!H13</x:f>
        <x:v>837900.0000000001</x:v>
      </x:c>
      <x:c r="E279" s="16" t="n">
        <x:f>D279*'Cohort factors'!C39</x:f>
        <x:v>34912.5</x:v>
      </x:c>
      <x:c r="F279" s="16" t="n">
        <x:f>D279*'Cohort factors'!D39</x:f>
        <x:v>174562.50000000003</x:v>
      </x:c>
      <x:c r="G279" s="16" t="n">
        <x:f>F279*Inputs!D13</x:f>
        <x:v>28977375.000000004</x:v>
      </x:c>
      <x:c r="H279" s="16" t="n">
        <x:f>D279*Inputs!D13*'Cohort factors'!E39*Inputs!$B$5/1000</x:f>
        <x:v>235519.754343258</x:v>
      </x:c>
      <x:c r="I279" s="16" t="n">
        <x:f>H279*Inputs!$B$10</x:f>
        <x:v>58802.782237135296</x:v>
      </x:c>
      <x:c r="J279" s="16" t="n">
        <x:f>D279*T279*Inputs!$B$8*U279*0</x:f>
        <x:v>0</x:v>
      </x:c>
      <x:c r="K279" s="16" t="n">
        <x:f>SUM(H279:J279)</x:f>
        <x:v>294322.5365803933</x:v>
      </x:c>
      <x:c r="L279" s="16" t="n">
        <x:f>H279-H278</x:f>
        <x:v>124086.41295050006</x:v>
      </x:c>
      <x:c r="M279" s="16" t="n">
        <x:f>K279-K278</x:f>
        <x:v>155067.36543859175</x:v>
      </x:c>
      <x:c r="N279" s="16" t="n">
        <x:f>H279*44/12/1000000</x:f>
        <x:v>0.8635724325919459</x:v>
      </x:c>
      <x:c r="O279" s="16" t="n">
        <x:f>K279*44/12/1000000</x:f>
        <x:v>1.0791826341281088</x:v>
      </x:c>
      <x:c r="P279" s="16" t="n">
        <x:f>L279*44/12/1000000</x:f>
        <x:v>0.4549835141518335</x:v>
      </x:c>
      <x:c r="Q279" s="16" t="n">
        <x:f>M279*44/12/1000000</x:f>
        <x:v>0.5685803399415031</x:v>
      </x:c>
      <x:c r="R279" s="16" t="n">
        <x:f>(H279+I279)*44/12/1000000</x:f>
        <x:v>1.0791826341281088</x:v>
      </x:c>
      <x:c r="S279" s="16" t="n">
        <x:f>R279-R278</x:f>
        <x:v>0.568580339941503</x:v>
      </x:c>
      <x:c r="T279" s="2" t="n">
        <x:f>Inputs!E13/Inputs!F13</x:f>
        <x:v>0.2</x:v>
      </x:c>
      <x:c r="U279" s="2" t="n">
        <x:f>'Cohort factors'!F39</x:f>
        <x:v>0.625</x:v>
      </x:c>
      <x:c r="V279" s="2" t="n">
        <x:f>D279*Inputs!D13*'Cohort factors'!G39*Inputs!$B$5/1000*44/12/1000000</x:f>
        <x:v>0.22107438114587896</x:v>
      </x:c>
    </x:row>
    <x:row r="280" ht="22" customHeight="1">
      <x:c r="A280" s="2" t="str">
        <x:v>CR_STEADY</x:v>
      </x:c>
      <x:c r="B280" s="2" t="str">
        <x:v>Permanent grassland</x:v>
      </x:c>
      <x:c r="C280" s="2" t="n">
        <x:v>2032</x:v>
      </x:c>
      <x:c r="D280" s="16" t="n">
        <x:f>Inputs!H13</x:f>
        <x:v>837900.0000000001</x:v>
      </x:c>
      <x:c r="E280" s="16" t="n">
        <x:f>D280*'Cohort factors'!C40</x:f>
        <x:v>34912.5</x:v>
      </x:c>
      <x:c r="F280" s="16" t="n">
        <x:f>D280*'Cohort factors'!D40</x:f>
        <x:v>209475.00000000003</x:v>
      </x:c>
      <x:c r="G280" s="16" t="n">
        <x:f>F280*Inputs!D13</x:f>
        <x:v>34772850.00000001</x:v>
      </x:c>
      <x:c r="H280" s="16" t="n">
        <x:f>D280*Inputs!D13*'Cohort factors'!E40*Inputs!$B$5/1000</x:f>
        <x:v>453565.3867133621</x:v>
      </x:c>
      <x:c r="I280" s="16" t="n">
        <x:f>H280*Inputs!$B$10</x:f>
        <x:v>113242.75850906505</x:v>
      </x:c>
      <x:c r="J280" s="16" t="n">
        <x:f>D280*T280*Inputs!$B$8*U280*0</x:f>
        <x:v>0</x:v>
      </x:c>
      <x:c r="K280" s="16" t="n">
        <x:f>SUM(H280:J280)</x:f>
        <x:v>566808.1452224272</x:v>
      </x:c>
      <x:c r="L280" s="16" t="n">
        <x:f>H280-H279</x:f>
        <x:v>218045.6323701041</x:v>
      </x:c>
      <x:c r="M280" s="16" t="n">
        <x:f>K280-K279</x:f>
        <x:v>272485.6086420339</x:v>
      </x:c>
      <x:c r="N280" s="16" t="n">
        <x:f>H280*44/12/1000000</x:f>
        <x:v>1.6630730846156612</x:v>
      </x:c>
      <x:c r="O280" s="16" t="n">
        <x:f>K280*44/12/1000000</x:f>
        <x:v>2.0782965324822333</x:v>
      </x:c>
      <x:c r="P280" s="16" t="n">
        <x:f>L280*44/12/1000000</x:f>
        <x:v>0.7995006520237151</x:v>
      </x:c>
      <x:c r="Q280" s="16" t="n">
        <x:f>M280*44/12/1000000</x:f>
        <x:v>0.9991138983541242</x:v>
      </x:c>
      <x:c r="R280" s="16" t="n">
        <x:f>(H280+I280)*44/12/1000000</x:f>
        <x:v>2.0782965324822333</x:v>
      </x:c>
      <x:c r="S280" s="16" t="n">
        <x:f>R280-R279</x:f>
        <x:v>0.9991138983541246</x:v>
      </x:c>
      <x:c r="T280" s="2" t="n">
        <x:f>Inputs!E13/Inputs!F13</x:f>
        <x:v>0.2</x:v>
      </x:c>
      <x:c r="U280" s="2" t="n">
        <x:f>'Cohort factors'!F40</x:f>
        <x:v>0.875</x:v>
      </x:c>
      <x:c r="V280" s="2" t="n">
        <x:f>D280*Inputs!D13*'Cohort factors'!G40*Inputs!$B$5/1000*44/12/1000000</x:f>
        <x:v>0.35432448981649806</x:v>
      </x:c>
    </x:row>
    <x:row r="281" ht="22" customHeight="1">
      <x:c r="A281" s="2" t="str">
        <x:v>CR_STEADY</x:v>
      </x:c>
      <x:c r="B281" s="2" t="str">
        <x:v>Permanent grassland</x:v>
      </x:c>
      <x:c r="C281" s="2" t="n">
        <x:v>2033</x:v>
      </x:c>
      <x:c r="D281" s="16" t="n">
        <x:f>Inputs!H13</x:f>
        <x:v>837900.0000000001</x:v>
      </x:c>
      <x:c r="E281" s="16" t="n">
        <x:f>D281*'Cohort factors'!C41</x:f>
        <x:v>34912.5</x:v>
      </x:c>
      <x:c r="F281" s="16" t="n">
        <x:f>D281*'Cohort factors'!D41</x:f>
        <x:v>244387.50000000006</x:v>
      </x:c>
      <x:c r="G281" s="16" t="n">
        <x:f>F281*Inputs!D13</x:f>
        <x:v>40568325.00000001</x:v>
      </x:c>
      <x:c r="H281" s="16" t="n">
        <x:f>D281*Inputs!D13*'Cohort factors'!E41*Inputs!$B$5/1000</x:f>
        <x:v>712005.5835853473</x:v>
      </x:c>
      <x:c r="I281" s="16" t="n">
        <x:f>H281*Inputs!$B$10</x:f>
        <x:v>177768.14263390098</x:v>
      </x:c>
      <x:c r="J281" s="16" t="n">
        <x:f>D281*T281*Inputs!$B$8*U281*0</x:f>
        <x:v>0</x:v>
      </x:c>
      <x:c r="K281" s="16" t="n">
        <x:f>SUM(H281:J281)</x:f>
        <x:v>889773.7262192483</x:v>
      </x:c>
      <x:c r="L281" s="16" t="n">
        <x:f>H281-H280</x:f>
        <x:v>258440.19687198516</x:v>
      </x:c>
      <x:c r="M281" s="16" t="n">
        <x:f>K281-K280</x:f>
        <x:v>322965.58099682105</x:v>
      </x:c>
      <x:c r="N281" s="16" t="n">
        <x:f>H281*44/12/1000000</x:f>
        <x:v>2.6106871398129403</x:v>
      </x:c>
      <x:c r="O281" s="16" t="n">
        <x:f>K281*44/12/1000000</x:f>
        <x:v>3.26250366280391</x:v>
      </x:c>
      <x:c r="P281" s="16" t="n">
        <x:f>L281*44/12/1000000</x:f>
        <x:v>0.9476140551972789</x:v>
      </x:c>
      <x:c r="Q281" s="16" t="n">
        <x:f>M281*44/12/1000000</x:f>
        <x:v>1.184207130321677</x:v>
      </x:c>
      <x:c r="R281" s="16" t="n">
        <x:f>(H281+I281)*44/12/1000000</x:f>
        <x:v>3.26250366280391</x:v>
      </x:c>
      <x:c r="S281" s="16" t="n">
        <x:f>R281-R280</x:f>
        <x:v>1.1842071303216768</x:v>
      </x:c>
      <x:c r="T281" s="2" t="n">
        <x:f>Inputs!E13/Inputs!F13</x:f>
        <x:v>0.2</x:v>
      </x:c>
      <x:c r="U281" s="2" t="n">
        <x:f>'Cohort factors'!F41</x:f>
        <x:v>1.1666666666666667</x:v>
      </x:c>
      <x:c r="V281" s="2" t="n">
        <x:f>D281*Inputs!D13*'Cohort factors'!G41*Inputs!$B$5/1000*44/12/1000000</x:f>
        <x:v>0.48969792627325237</x:v>
      </x:c>
    </x:row>
    <x:row r="282" ht="22" customHeight="1">
      <x:c r="A282" s="2" t="str">
        <x:v>CR_STEADY</x:v>
      </x:c>
      <x:c r="B282" s="2" t="str">
        <x:v>Permanent grassland</x:v>
      </x:c>
      <x:c r="C282" s="2" t="n">
        <x:v>2034</x:v>
      </x:c>
      <x:c r="D282" s="16" t="n">
        <x:f>Inputs!H13</x:f>
        <x:v>837900.0000000001</x:v>
      </x:c>
      <x:c r="E282" s="16" t="n">
        <x:f>D282*'Cohort factors'!C42</x:f>
        <x:v>34912.5</x:v>
      </x:c>
      <x:c r="F282" s="16" t="n">
        <x:f>D282*'Cohort factors'!D42</x:f>
        <x:v>279300</x:v>
      </x:c>
      <x:c r="G282" s="16" t="n">
        <x:f>F282*Inputs!D13</x:f>
        <x:v>46363800</x:v>
      </x:c>
      <x:c r="H282" s="16" t="n">
        <x:f>D282*Inputs!D13*'Cohort factors'!E42*Inputs!$B$5/1000</x:f>
        <x:v>1010840.344959214</x:v>
      </x:c>
      <x:c r="I282" s="16" t="n">
        <x:f>H282*Inputs!$B$10</x:f>
        <x:v>252378.9346116432</x:v>
      </x:c>
      <x:c r="J282" s="16" t="n">
        <x:f>D282*T282*Inputs!$B$8*U282*0</x:f>
        <x:v>0</x:v>
      </x:c>
      <x:c r="K282" s="16" t="n">
        <x:f>SUM(H282:J282)</x:f>
        <x:v>1263219.279570857</x:v>
      </x:c>
      <x:c r="L282" s="16" t="n">
        <x:f>H282-H281</x:f>
        <x:v>298834.7613738667</x:v>
      </x:c>
      <x:c r="M282" s="16" t="n">
        <x:f>K282-K281</x:f>
        <x:v>373445.5533516088</x:v>
      </x:c>
      <x:c r="N282" s="16" t="n">
        <x:f>H282*44/12/1000000</x:f>
        <x:v>3.706414598183785</x:v>
      </x:c>
      <x:c r="O282" s="16" t="n">
        <x:f>K282*44/12/1000000</x:f>
        <x:v>4.6318040250931425</x:v>
      </x:c>
      <x:c r="P282" s="16" t="n">
        <x:f>L282*44/12/1000000</x:f>
        <x:v>1.0957274583708445</x:v>
      </x:c>
      <x:c r="Q282" s="16" t="n">
        <x:f>M282*44/12/1000000</x:f>
        <x:v>1.3693003622892321</x:v>
      </x:c>
      <x:c r="R282" s="16" t="n">
        <x:f>(H282+I282)*44/12/1000000</x:f>
        <x:v>4.6318040250931425</x:v>
      </x:c>
      <x:c r="S282" s="16" t="n">
        <x:f>R282-R281</x:f>
        <x:v>1.3693003622892324</x:v>
      </x:c>
      <x:c r="T282" s="2" t="n">
        <x:f>Inputs!E13/Inputs!F13</x:f>
        <x:v>0.2</x:v>
      </x:c>
      <x:c r="U282" s="2" t="n">
        <x:f>'Cohort factors'!F42</x:f>
        <x:v>1.5</x:v>
      </x:c>
      <x:c r="V282" s="2" t="n">
        <x:f>D282*Inputs!D13*'Cohort factors'!G42*Inputs!$B$5/1000*44/12/1000000</x:f>
        <x:v>0.6266638585696077</x:v>
      </x:c>
    </x:row>
    <x:row r="283" ht="22" customHeight="1">
      <x:c r="A283" s="2" t="str">
        <x:v>CR_STEADY</x:v>
      </x:c>
      <x:c r="B283" s="2" t="str">
        <x:v>Permanent grassland</x:v>
      </x:c>
      <x:c r="C283" s="2" t="n">
        <x:v>2035</x:v>
      </x:c>
      <x:c r="D283" s="16" t="n">
        <x:f>Inputs!H13</x:f>
        <x:v>837900.0000000001</x:v>
      </x:c>
      <x:c r="E283" s="16" t="n">
        <x:f>D283*'Cohort factors'!C43</x:f>
        <x:v>34912.5</x:v>
      </x:c>
      <x:c r="F283" s="16" t="n">
        <x:f>D283*'Cohort factors'!D43</x:f>
        <x:v>314212.50000000006</x:v>
      </x:c>
      <x:c r="G283" s="16" t="n">
        <x:f>F283*Inputs!D13</x:f>
        <x:v>52159275.00000001</x:v>
      </x:c>
      <x:c r="H283" s="16" t="n">
        <x:f>D283*Inputs!D13*'Cohort factors'!E43*Inputs!$B$5/1000</x:f>
        <x:v>1350069.6708349618</x:v>
      </x:c>
      <x:c r="I283" s="16" t="n">
        <x:f>H283*Inputs!$B$10</x:f>
        <x:v>337075.13444229163</x:v>
      </x:c>
      <x:c r="J283" s="16" t="n">
        <x:f>D283*T283*Inputs!$B$8*U283*0</x:f>
        <x:v>0</x:v>
      </x:c>
      <x:c r="K283" s="16" t="n">
        <x:f>SUM(H283:J283)</x:f>
        <x:v>1687144.8052772535</x:v>
      </x:c>
      <x:c r="L283" s="16" t="n">
        <x:f>H283-H282</x:f>
        <x:v>339229.32587574783</x:v>
      </x:c>
      <x:c r="M283" s="16" t="n">
        <x:f>K283-K282</x:f>
        <x:v>423925.52570639644</x:v>
      </x:c>
      <x:c r="N283" s="16" t="n">
        <x:f>H283*44/12/1000000</x:f>
        <x:v>4.950255459728194</x:v>
      </x:c>
      <x:c r="O283" s="16" t="n">
        <x:f>K283*44/12/1000000</x:f>
        <x:v>6.1861976193499295</x:v>
      </x:c>
      <x:c r="P283" s="16" t="n">
        <x:f>L283*44/12/1000000</x:f>
        <x:v>1.2438408615444085</x:v>
      </x:c>
      <x:c r="Q283" s="16" t="n">
        <x:f>M283*44/12/1000000</x:f>
        <x:v>1.5543935942567868</x:v>
      </x:c>
      <x:c r="R283" s="16" t="n">
        <x:f>(H283+I283)*44/12/1000000</x:f>
        <x:v>6.1861976193499295</x:v>
      </x:c>
      <x:c r="S283" s="16" t="n">
        <x:f>R283-R282</x:f>
        <x:v>1.554393594256787</x:v>
      </x:c>
      <x:c r="T283" s="2" t="n">
        <x:f>Inputs!E13/Inputs!F13</x:f>
        <x:v>0.2</x:v>
      </x:c>
      <x:c r="U283" s="2" t="n">
        <x:f>'Cohort factors'!F43</x:f>
        <x:v>1.875</x:v>
      </x:c>
      <x:c r="V283" s="2" t="n">
        <x:f>D283*Inputs!D13*'Cohort factors'!G43*Inputs!$B$5/1000*44/12/1000000</x:f>
        <x:v>0.7648683987412089</x:v>
      </x:c>
    </x:row>
    <x:row r="284" ht="22" customHeight="1">
      <x:c r="A284" s="2" t="str">
        <x:v>CR_STEADY</x:v>
      </x:c>
      <x:c r="B284" s="2" t="str">
        <x:v>Permanent grassland</x:v>
      </x:c>
      <x:c r="C284" s="2" t="n">
        <x:v>2036</x:v>
      </x:c>
      <x:c r="D284" s="16" t="n">
        <x:f>Inputs!H13</x:f>
        <x:v>837900.0000000001</x:v>
      </x:c>
      <x:c r="E284" s="16" t="n">
        <x:f>D284*'Cohort factors'!C44</x:f>
        <x:v>34912.5</x:v>
      </x:c>
      <x:c r="F284" s="16" t="n">
        <x:f>D284*'Cohort factors'!D44</x:f>
        <x:v>349125.00000000006</x:v>
      </x:c>
      <x:c r="G284" s="16" t="n">
        <x:f>F284*Inputs!D13</x:f>
        <x:v>57954750.00000001</x:v>
      </x:c>
      <x:c r="H284" s="16" t="n">
        <x:f>D284*Inputs!D13*'Cohort factors'!E44*Inputs!$B$5/1000</x:f>
        <x:v>1757628.4513726397</x:v>
      </x:c>
      <x:c r="I284" s="16" t="n">
        <x:f>H284*Inputs!$B$10</x:f>
        <x:v>438831.31318669056</x:v>
      </x:c>
      <x:c r="J284" s="16" t="n">
        <x:f>D284*T284*Inputs!$B$8*U284*0</x:f>
        <x:v>0</x:v>
      </x:c>
      <x:c r="K284" s="16" t="n">
        <x:f>SUM(H284:J284)</x:f>
        <x:v>2196459.7645593304</x:v>
      </x:c>
      <x:c r="L284" s="16" t="n">
        <x:f>H284-H283</x:f>
        <x:v>407558.7805376779</x:v>
      </x:c>
      <x:c r="M284" s="16" t="n">
        <x:f>K284-K283</x:f>
        <x:v>509314.9592820769</x:v>
      </x:c>
      <x:c r="N284" s="16" t="n">
        <x:f>H284*44/12/1000000</x:f>
        <x:v>6.444637655033012</x:v>
      </x:c>
      <x:c r="O284" s="16" t="n">
        <x:f>K284*44/12/1000000</x:f>
        <x:v>8.053685803384212</x:v>
      </x:c>
      <x:c r="P284" s="16" t="n">
        <x:f>L284*44/12/1000000</x:f>
        <x:v>1.494382195304819</x:v>
      </x:c>
      <x:c r="Q284" s="16" t="n">
        <x:f>M284*44/12/1000000</x:f>
        <x:v>1.867488184034282</x:v>
      </x:c>
      <x:c r="R284" s="16" t="n">
        <x:f>(H284+I284)*44/12/1000000</x:f>
        <x:v>8.053685803384212</x:v>
      </x:c>
      <x:c r="S284" s="16" t="n">
        <x:f>R284-R283</x:f>
        <x:v>1.8674881840342827</x:v>
      </x:c>
      <x:c r="T284" s="2" t="n">
        <x:f>Inputs!E13/Inputs!F13</x:f>
        <x:v>0.2</x:v>
      </x:c>
      <x:c r="U284" s="2" t="n">
        <x:f>'Cohort factors'!F44</x:f>
        <x:v>2.2916666666666665</x:v>
      </x:c>
      <x:c r="V284" s="2" t="n">
        <x:f>D284*Inputs!D13*'Cohort factors'!G44*Inputs!$B$5/1000*44/12/1000000</x:f>
        <x:v>0.9143066182716908</x:v>
      </x:c>
    </x:row>
    <x:row r="285" ht="22" customHeight="1">
      <x:c r="A285" s="2" t="str">
        <x:v>CR_STEADY</x:v>
      </x:c>
      <x:c r="B285" s="2" t="str">
        <x:v>Permanent grassland</x:v>
      </x:c>
      <x:c r="C285" s="2" t="n">
        <x:v>2037</x:v>
      </x:c>
      <x:c r="D285" s="16" t="n">
        <x:f>Inputs!H13</x:f>
        <x:v>837900.0000000001</x:v>
      </x:c>
      <x:c r="E285" s="16" t="n">
        <x:f>D285*'Cohort factors'!C45</x:f>
        <x:v>34912.5</x:v>
      </x:c>
      <x:c r="F285" s="16" t="n">
        <x:f>D285*'Cohort factors'!D45</x:f>
        <x:v>384037.50000000006</x:v>
      </x:c>
      <x:c r="G285" s="16" t="n">
        <x:f>F285*Inputs!D13</x:f>
        <x:v>63750225.00000001</x:v>
      </x:c>
      <x:c r="H285" s="16" t="n">
        <x:f>D285*Inputs!D13*'Cohort factors'!E45*Inputs!$B$5/1000</x:f>
        <x:v>2265763.8062852086</x:v>
      </x:c>
      <x:c r="I285" s="16" t="n">
        <x:f>H285*Inputs!$B$10</x:f>
        <x:v>565698.6866060981</x:v>
      </x:c>
      <x:c r="J285" s="16" t="n">
        <x:f>D285*T285*Inputs!$B$8*U285*0</x:f>
        <x:v>0</x:v>
      </x:c>
      <x:c r="K285" s="16" t="n">
        <x:f>SUM(H285:J285)</x:f>
        <x:v>2831462.4928913065</x:v>
      </x:c>
      <x:c r="L285" s="16" t="n">
        <x:f>H285-H284</x:f>
        <x:v>508135.3549125688</x:v>
      </x:c>
      <x:c r="M285" s="16" t="n">
        <x:f>K285-K284</x:f>
        <x:v>635002.7283319761</x:v>
      </x:c>
      <x:c r="N285" s="16" t="n">
        <x:f>H285*44/12/1000000</x:f>
        <x:v>8.307800623045765</x:v>
      </x:c>
      <x:c r="O285" s="16" t="n">
        <x:f>K285*44/12/1000000</x:f>
        <x:v>10.382029140601459</x:v>
      </x:c>
      <x:c r="P285" s="16" t="n">
        <x:f>L285*44/12/1000000</x:f>
        <x:v>1.8631629680127522</x:v>
      </x:c>
      <x:c r="Q285" s="16" t="n">
        <x:f>M285*44/12/1000000</x:f>
        <x:v>2.3283433372172455</x:v>
      </x:c>
      <x:c r="R285" s="16" t="n">
        <x:f>(H285+I285)*44/12/1000000</x:f>
        <x:v>10.382029140601459</x:v>
      </x:c>
      <x:c r="S285" s="16" t="n">
        <x:f>R285-R284</x:f>
        <x:v>2.3283433372172464</x:v>
      </x:c>
      <x:c r="T285" s="2" t="n">
        <x:f>Inputs!E13/Inputs!F13</x:f>
        <x:v>0.2</x:v>
      </x:c>
      <x:c r="U285" s="2" t="n">
        <x:f>'Cohort factors'!F45</x:f>
        <x:v>2.75</x:v>
      </x:c>
      <x:c r="V285" s="2" t="n">
        <x:f>D285*Inputs!D13*'Cohort factors'!G45*Inputs!$B$5/1000*44/12/1000000</x:f>
        <x:v>1.0836850699092138</x:v>
      </x:c>
    </x:row>
    <x:row r="286" ht="22" customHeight="1">
      <x:c r="A286" s="2" t="str">
        <x:v>CR_STEADY</x:v>
      </x:c>
      <x:c r="B286" s="2" t="str">
        <x:v>Permanent grassland</x:v>
      </x:c>
      <x:c r="C286" s="2" t="n">
        <x:v>2038</x:v>
      </x:c>
      <x:c r="D286" s="16" t="n">
        <x:f>Inputs!H13</x:f>
        <x:v>837900.0000000001</x:v>
      </x:c>
      <x:c r="E286" s="16" t="n">
        <x:f>D286*'Cohort factors'!C46</x:f>
        <x:v>34912.5</x:v>
      </x:c>
      <x:c r="F286" s="16" t="n">
        <x:f>D286*'Cohort factors'!D46</x:f>
        <x:v>418950.00000000006</x:v>
      </x:c>
      <x:c r="G286" s="16" t="n">
        <x:f>F286*Inputs!D13</x:f>
        <x:v>69545700.00000001</x:v>
      </x:c>
      <x:c r="H286" s="16" t="n">
        <x:f>D286*Inputs!D13*'Cohort factors'!E46*Inputs!$B$5/1000</x:f>
        <x:v>2874475.73557267</x:v>
      </x:c>
      <x:c r="I286" s="16" t="n">
        <x:f>H286*Inputs!$B$10</x:f>
        <x:v>717677.2547005147</x:v>
      </x:c>
      <x:c r="J286" s="16" t="n">
        <x:f>D286*T286*Inputs!$B$8*U286*0</x:f>
        <x:v>0</x:v>
      </x:c>
      <x:c r="K286" s="16" t="n">
        <x:f>SUM(H286:J286)</x:f>
        <x:v>3592152.990273185</x:v>
      </x:c>
      <x:c r="L286" s="16" t="n">
        <x:f>H286-H285</x:f>
        <x:v>608711.9292874616</x:v>
      </x:c>
      <x:c r="M286" s="16" t="n">
        <x:f>K286-K285</x:f>
        <x:v>760690.4973818786</x:v>
      </x:c>
      <x:c r="N286" s="16" t="n">
        <x:f>H286*44/12/1000000</x:f>
        <x:v>10.539744363766456</x:v>
      </x:c>
      <x:c r="O286" s="16" t="n">
        <x:f>K286*44/12/1000000</x:f>
        <x:v>13.17122763100168</x:v>
      </x:c>
      <x:c r="P286" s="16" t="n">
        <x:f>L286*44/12/1000000</x:f>
        <x:v>2.2319437407206926</x:v>
      </x:c>
      <x:c r="Q286" s="16" t="n">
        <x:f>M286*44/12/1000000</x:f>
        <x:v>2.789198490400221</x:v>
      </x:c>
      <x:c r="R286" s="16" t="n">
        <x:f>(H286+I286)*44/12/1000000</x:f>
        <x:v>13.17122763100168</x:v>
      </x:c>
      <x:c r="S286" s="16" t="n">
        <x:f>R286-R285</x:f>
        <x:v>2.7891984904002207</x:v>
      </x:c>
      <x:c r="T286" s="2" t="n">
        <x:f>Inputs!E13/Inputs!F13</x:f>
        <x:v>0.2</x:v>
      </x:c>
      <x:c r="U286" s="2" t="n">
        <x:f>'Cohort factors'!F46</x:f>
        <x:v>3.25</x:v>
      </x:c>
      <x:c r="V286" s="2" t="n">
        <x:f>D286*Inputs!D13*'Cohort factors'!G46*Inputs!$B$5/1000*44/12/1000000</x:f>
        <x:v>1.269680381635938</x:v>
      </x:c>
    </x:row>
    <x:row r="287" ht="22" customHeight="1">
      <x:c r="A287" s="2" t="str">
        <x:v>CR_STEADY</x:v>
      </x:c>
      <x:c r="B287" s="2" t="str">
        <x:v>Permanent grassland</x:v>
      </x:c>
      <x:c r="C287" s="2" t="n">
        <x:v>2039</x:v>
      </x:c>
      <x:c r="D287" s="16" t="n">
        <x:f>Inputs!H13</x:f>
        <x:v>837900.0000000001</x:v>
      </x:c>
      <x:c r="E287" s="16" t="n">
        <x:f>D287*'Cohort factors'!C47</x:f>
        <x:v>34912.5</x:v>
      </x:c>
      <x:c r="F287" s="16" t="n">
        <x:f>D287*'Cohort factors'!D47</x:f>
        <x:v>453862.50000000006</x:v>
      </x:c>
      <x:c r="G287" s="16" t="n">
        <x:f>F287*Inputs!D13</x:f>
        <x:v>75341175.00000001</x:v>
      </x:c>
      <x:c r="H287" s="16" t="n">
        <x:f>D287*Inputs!D13*'Cohort factors'!E47*Inputs!$B$5/1000</x:f>
        <x:v>3583764.239235022</x:v>
      </x:c>
      <x:c r="I287" s="16" t="n">
        <x:f>H287*Inputs!$B$10</x:f>
        <x:v>894767.0174699398</x:v>
      </x:c>
      <x:c r="J287" s="16" t="n">
        <x:f>D287*T287*Inputs!$B$8*U287*0</x:f>
        <x:v>0</x:v>
      </x:c>
      <x:c r="K287" s="16" t="n">
        <x:f>SUM(H287:J287)</x:f>
        <x:v>4478531.256704962</x:v>
      </x:c>
      <x:c r="L287" s="16" t="n">
        <x:f>H287-H286</x:f>
        <x:v>709288.503662352</x:v>
      </x:c>
      <x:c r="M287" s="16" t="n">
        <x:f>K287-K286</x:f>
        <x:v>886378.2664317768</x:v>
      </x:c>
      <x:c r="N287" s="16" t="n">
        <x:f>H287*44/12/1000000</x:f>
        <x:v>13.140468877195081</x:v>
      </x:c>
      <x:c r="O287" s="16" t="n">
        <x:f>K287*44/12/1000000</x:f>
        <x:v>16.42128127458486</x:v>
      </x:c>
      <x:c r="P287" s="16" t="n">
        <x:f>L287*44/12/1000000</x:f>
        <x:v>2.600724513428624</x:v>
      </x:c>
      <x:c r="Q287" s="16" t="n">
        <x:f>M287*44/12/1000000</x:f>
        <x:v>3.2500536435831817</x:v>
      </x:c>
      <x:c r="R287" s="16" t="n">
        <x:f>(H287+I287)*44/12/1000000</x:f>
        <x:v>16.42128127458486</x:v>
      </x:c>
      <x:c r="S287" s="16" t="n">
        <x:f>R287-R286</x:f>
        <x:v>3.250053643583181</x:v>
      </x:c>
      <x:c r="T287" s="2" t="n">
        <x:f>Inputs!E13/Inputs!F13</x:f>
        <x:v>0.2</x:v>
      </x:c>
      <x:c r="U287" s="2" t="n">
        <x:f>'Cohort factors'!F47</x:f>
        <x:v>3.7916666666666665</x:v>
      </x:c>
      <x:c r="V287" s="2" t="n">
        <x:f>D287*Inputs!D13*'Cohort factors'!G47*Inputs!$B$5/1000*44/12/1000000</x:f>
        <x:v>1.46973611343814</x:v>
      </x:c>
    </x:row>
    <x:row r="288" ht="22" customHeight="1">
      <x:c r="A288" s="2" t="str">
        <x:v>CR_STEADY</x:v>
      </x:c>
      <x:c r="B288" s="2" t="str">
        <x:v>Permanent grassland</x:v>
      </x:c>
      <x:c r="C288" s="2" t="n">
        <x:v>2040</x:v>
      </x:c>
      <x:c r="D288" s="16" t="n">
        <x:f>Inputs!H13</x:f>
        <x:v>837900.0000000001</x:v>
      </x:c>
      <x:c r="E288" s="16" t="n">
        <x:f>D288*'Cohort factors'!C48</x:f>
        <x:v>34912.5</x:v>
      </x:c>
      <x:c r="F288" s="16" t="n">
        <x:f>D288*'Cohort factors'!D48</x:f>
        <x:v>488775.0000000001</x:v>
      </x:c>
      <x:c r="G288" s="16" t="n">
        <x:f>F288*Inputs!D13</x:f>
        <x:v>81136650.00000001</x:v>
      </x:c>
      <x:c r="H288" s="16" t="n">
        <x:f>D288*Inputs!D13*'Cohort factors'!E48*Inputs!$B$5/1000</x:f>
        <x:v>4357200.024698746</x:v>
      </x:c>
      <x:c r="I288" s="16" t="n">
        <x:f>H288*Inputs!$B$10</x:f>
        <x:v>1087872.5860191751</x:v>
      </x:c>
      <x:c r="J288" s="16" t="n">
        <x:f>D288*T288*Inputs!$B$8*U288*0</x:f>
        <x:v>0</x:v>
      </x:c>
      <x:c r="K288" s="16" t="n">
        <x:f>SUM(H288:J288)</x:f>
        <x:v>5445072.6107179215</x:v>
      </x:c>
      <x:c r="L288" s="16" t="n">
        <x:f>H288-H287</x:f>
        <x:v>773435.7854637243</x:v>
      </x:c>
      <x:c r="M288" s="16" t="n">
        <x:f>K288-K287</x:f>
        <x:v>966541.3540129596</x:v>
      </x:c>
      <x:c r="N288" s="16" t="n">
        <x:f>H288*44/12/1000000</x:f>
        <x:v>15.97640009056207</x:v>
      </x:c>
      <x:c r="O288" s="16" t="n">
        <x:f>K288*44/12/1000000</x:f>
        <x:v>19.965266239299048</x:v>
      </x:c>
      <x:c r="P288" s="16" t="n">
        <x:f>L288*44/12/1000000</x:f>
        <x:v>2.835931213366989</x:v>
      </x:c>
      <x:c r="Q288" s="16" t="n">
        <x:f>M288*44/12/1000000</x:f>
        <x:v>3.543984964714186</x:v>
      </x:c>
      <x:c r="R288" s="16" t="n">
        <x:f>(H288+I288)*44/12/1000000</x:f>
        <x:v>19.965266239299048</x:v>
      </x:c>
      <x:c r="S288" s="16" t="n">
        <x:f>R288-R287</x:f>
        <x:v>3.5439849647141877</x:v>
      </x:c>
      <x:c r="T288" s="2" t="n">
        <x:f>Inputs!E13/Inputs!F13</x:f>
        <x:v>0.2</x:v>
      </x:c>
      <x:c r="U288" s="2" t="n">
        <x:f>'Cohort factors'!F48</x:f>
        <x:v>4.375</x:v>
      </x:c>
      <x:c r="V288" s="2" t="n">
        <x:f>D288*Inputs!D13*'Cohort factors'!G48*Inputs!$B$5/1000*44/12/1000000</x:f>
        <x:v>1.672302628678639</x:v>
      </x:c>
    </x:row>
    <x:row r="289" ht="22" customHeight="1">
      <x:c r="A289" s="2" t="str">
        <x:v>CR_STEADY</x:v>
      </x:c>
      <x:c r="B289" s="2" t="str">
        <x:v>Permanent grassland</x:v>
      </x:c>
      <x:c r="C289" s="2" t="n">
        <x:v>2041</x:v>
      </x:c>
      <x:c r="D289" s="16" t="n">
        <x:f>Inputs!H13</x:f>
        <x:v>837900.0000000001</x:v>
      </x:c>
      <x:c r="E289" s="16" t="n">
        <x:f>D289*'Cohort factors'!C49</x:f>
        <x:v>34912.5</x:v>
      </x:c>
      <x:c r="F289" s="16" t="n">
        <x:f>D289*'Cohort factors'!D49</x:f>
        <x:v>523687.50000000006</x:v>
      </x:c>
      <x:c r="G289" s="16" t="n">
        <x:f>F289*Inputs!D13</x:f>
        <x:v>86932125.00000001</x:v>
      </x:c>
      <x:c r="H289" s="16" t="n">
        <x:f>D289*Inputs!D13*'Cohort factors'!E49*Inputs!$B$5/1000</x:f>
        <x:v>5233226.135144696</x:v>
      </x:c>
      <x:c r="I289" s="16" t="n">
        <x:f>H289*Inputs!$B$10</x:f>
        <x:v>1306592.1271898937</x:v>
      </x:c>
      <x:c r="J289" s="16" t="n">
        <x:f>D289*T289*Inputs!$B$8*U289*0</x:f>
        <x:v>0</x:v>
      </x:c>
      <x:c r="K289" s="16" t="n">
        <x:f>SUM(H289:J289)</x:f>
        <x:v>6539818.262334589</x:v>
      </x:c>
      <x:c r="L289" s="16" t="n">
        <x:f>H289-H288</x:f>
        <x:v>876026.1104459492</x:v>
      </x:c>
      <x:c r="M289" s="16" t="n">
        <x:f>K289-K288</x:f>
        <x:v>1094745.6516166674</x:v>
      </x:c>
      <x:c r="N289" s="16" t="n">
        <x:f>H289*44/12/1000000</x:f>
        <x:v>19.188495828863886</x:v>
      </x:c>
      <x:c r="O289" s="16" t="n">
        <x:f>K289*44/12/1000000</x:f>
        <x:v>23.97933362856016</x:v>
      </x:c>
      <x:c r="P289" s="16" t="n">
        <x:f>L289*44/12/1000000</x:f>
        <x:v>3.2120957383018136</x:v>
      </x:c>
      <x:c r="Q289" s="16" t="n">
        <x:f>M289*44/12/1000000</x:f>
        <x:v>4.014067389261114</x:v>
      </x:c>
      <x:c r="R289" s="16" t="n">
        <x:f>(H289+I289)*44/12/1000000</x:f>
        <x:v>23.97933362856016</x:v>
      </x:c>
      <x:c r="S289" s="16" t="n">
        <x:f>R289-R288</x:f>
        <x:v>4.014067389261111</x:v>
      </x:c>
      <x:c r="T289" s="2" t="n">
        <x:f>Inputs!E13/Inputs!F13</x:f>
        <x:v>0.2</x:v>
      </x:c>
      <x:c r="U289" s="2" t="n">
        <x:f>'Cohort factors'!F49</x:f>
        <x:v>5</x:v>
      </x:c>
      <x:c r="V289" s="2" t="n">
        <x:f>D289*Inputs!D13*'Cohort factors'!G49*Inputs!$B$5/1000*44/12/1000000</x:f>
        <x:v>1.8864423445654266</x:v>
      </x:c>
    </x:row>
    <x:row r="290" ht="22" customHeight="1">
      <x:c r="A290" s="2" t="str">
        <x:v>CR_STEADY</x:v>
      </x:c>
      <x:c r="B290" s="2" t="str">
        <x:v>Permanent grassland</x:v>
      </x:c>
      <x:c r="C290" s="2" t="n">
        <x:v>2042</x:v>
      </x:c>
      <x:c r="D290" s="16" t="n">
        <x:f>Inputs!H13</x:f>
        <x:v>837900.0000000001</x:v>
      </x:c>
      <x:c r="E290" s="16" t="n">
        <x:f>D290*'Cohort factors'!C50</x:f>
        <x:v>34912.5</x:v>
      </x:c>
      <x:c r="F290" s="16" t="n">
        <x:f>D290*'Cohort factors'!D50</x:f>
        <x:v>558600</x:v>
      </x:c>
      <x:c r="G290" s="16" t="n">
        <x:f>F290*Inputs!D13</x:f>
        <x:v>92727600</x:v>
      </x:c>
      <x:c r="H290" s="16" t="n">
        <x:f>D290*Inputs!D13*'Cohort factors'!E50*Inputs!$B$5/1000</x:f>
        <x:v>6220476.632445917</x:v>
      </x:c>
      <x:c r="I290" s="16" t="n">
        <x:f>H290*Inputs!$B$10</x:f>
        <x:v>1553081.3279288597</x:v>
      </x:c>
      <x:c r="J290" s="16" t="n">
        <x:f>D290*T290*Inputs!$B$8*U290*0</x:f>
        <x:v>0</x:v>
      </x:c>
      <x:c r="K290" s="16" t="n">
        <x:f>SUM(H290:J290)</x:f>
        <x:v>7773557.960374777</x:v>
      </x:c>
      <x:c r="L290" s="16" t="n">
        <x:f>H290-H289</x:f>
        <x:v>987250.4973012218</x:v>
      </x:c>
      <x:c r="M290" s="16" t="n">
        <x:f>K290-K289</x:f>
        <x:v>1233739.6980401883</x:v>
      </x:c>
      <x:c r="N290" s="16" t="n">
        <x:f>H290*44/12/1000000</x:f>
        <x:v>22.808414318968367</x:v>
      </x:c>
      <x:c r="O290" s="16" t="n">
        <x:f>K290*44/12/1000000</x:f>
        <x:v>28.503045854707512</x:v>
      </x:c>
      <x:c r="P290" s="16" t="n">
        <x:f>L290*44/12/1000000</x:f>
        <x:v>3.6199184901044803</x:v>
      </x:c>
      <x:c r="Q290" s="16" t="n">
        <x:f>M290*44/12/1000000</x:f>
        <x:v>4.5237122261473575</x:v>
      </x:c>
      <x:c r="R290" s="16" t="n">
        <x:f>(H290+I290)*44/12/1000000</x:f>
        <x:v>28.503045854707512</x:v>
      </x:c>
      <x:c r="S290" s="16" t="n">
        <x:f>R290-R289</x:f>
        <x:v>4.523712226147353</x:v>
      </x:c>
      <x:c r="T290" s="2" t="n">
        <x:f>Inputs!E13/Inputs!F13</x:f>
        <x:v>0.2</x:v>
      </x:c>
      <x:c r="U290" s="2" t="n">
        <x:f>'Cohort factors'!F50</x:f>
        <x:v>5.666666666666667</x:v>
      </x:c>
      <x:c r="V290" s="2" t="n">
        <x:f>D290*Inputs!D13*'Cohort factors'!G50*Inputs!$B$5/1000*44/12/1000000</x:f>
        <x:v>2.1126872501969567</x:v>
      </x:c>
    </x:row>
    <x:row r="291" ht="22" customHeight="1">
      <x:c r="A291" s="2" t="str">
        <x:v>CR_STEADY</x:v>
      </x:c>
      <x:c r="B291" s="2" t="str">
        <x:v>Permanent grassland</x:v>
      </x:c>
      <x:c r="C291" s="2" t="n">
        <x:v>2043</x:v>
      </x:c>
      <x:c r="D291" s="16" t="n">
        <x:f>Inputs!H13</x:f>
        <x:v>837900.0000000001</x:v>
      </x:c>
      <x:c r="E291" s="16" t="n">
        <x:f>D291*'Cohort factors'!C51</x:f>
        <x:v>34912.5</x:v>
      </x:c>
      <x:c r="F291" s="16" t="n">
        <x:f>D291*'Cohort factors'!D51</x:f>
        <x:v>593512.5000000001</x:v>
      </x:c>
      <x:c r="G291" s="16" t="n">
        <x:f>F291*Inputs!D13</x:f>
        <x:v>98523075.00000001</x:v>
      </x:c>
      <x:c r="H291" s="16" t="n">
        <x:f>D291*Inputs!D13*'Cohort factors'!E51*Inputs!$B$5/1000</x:f>
        <x:v>7311392.105022232</x:v>
      </x:c>
      <x:c r="I291" s="16" t="n">
        <x:f>H291*Inputs!$B$10</x:f>
        <x:v>1825452.8118067381</x:v>
      </x:c>
      <x:c r="J291" s="16" t="n">
        <x:f>D291*T291*Inputs!$B$8*U291*0</x:f>
        <x:v>0</x:v>
      </x:c>
      <x:c r="K291" s="16" t="n">
        <x:f>SUM(H291:J291)</x:f>
        <x:v>9136844.91682897</x:v>
      </x:c>
      <x:c r="L291" s="16" t="n">
        <x:f>H291-H290</x:f>
        <x:v>1090915.4725763146</x:v>
      </x:c>
      <x:c r="M291" s="16" t="n">
        <x:f>K291-K290</x:f>
        <x:v>1363286.9564541923</x:v>
      </x:c>
      <x:c r="N291" s="16" t="n">
        <x:f>H291*44/12/1000000</x:f>
        <x:v>26.808437718414854</x:v>
      </x:c>
      <x:c r="O291" s="16" t="n">
        <x:f>K291*44/12/1000000</x:f>
        <x:v>33.501764695039554</x:v>
      </x:c>
      <x:c r="P291" s="16" t="n">
        <x:f>L291*44/12/1000000</x:f>
        <x:v>4.000023399446487</x:v>
      </x:c>
      <x:c r="Q291" s="16" t="n">
        <x:f>M291*44/12/1000000</x:f>
        <x:v>4.998718840332039</x:v>
      </x:c>
      <x:c r="R291" s="16" t="n">
        <x:f>(H291+I291)*44/12/1000000</x:f>
        <x:v>33.501764695039554</x:v>
      </x:c>
      <x:c r="S291" s="16" t="n">
        <x:f>R291-R290</x:f>
        <x:v>4.998718840332042</x:v>
      </x:c>
      <x:c r="T291" s="2" t="n">
        <x:f>Inputs!E13/Inputs!F13</x:f>
        <x:v>0.2</x:v>
      </x:c>
      <x:c r="U291" s="2" t="n">
        <x:f>'Cohort factors'!F51</x:f>
        <x:v>6.375</x:v>
      </x:c>
      <x:c r="V291" s="2" t="n">
        <x:f>D291*Inputs!D13*'Cohort factors'!G51*Inputs!$B$5/1000*44/12/1000000</x:f>
        <x:v>2.347982744282044</x:v>
      </x:c>
    </x:row>
    <x:row r="292" ht="22" customHeight="1">
      <x:c r="A292" s="2" t="str">
        <x:v>CR_STEADY</x:v>
      </x:c>
      <x:c r="B292" s="2" t="str">
        <x:v>Permanent grassland</x:v>
      </x:c>
      <x:c r="C292" s="2" t="n">
        <x:v>2044</x:v>
      </x:c>
      <x:c r="D292" s="16" t="n">
        <x:f>Inputs!H13</x:f>
        <x:v>837900.0000000001</x:v>
      </x:c>
      <x:c r="E292" s="16" t="n">
        <x:f>D292*'Cohort factors'!C52</x:f>
        <x:v>34912.5</x:v>
      </x:c>
      <x:c r="F292" s="16" t="n">
        <x:f>D292*'Cohort factors'!D52</x:f>
        <x:v>628425.0000000001</x:v>
      </x:c>
      <x:c r="G292" s="16" t="n">
        <x:f>F292*Inputs!D13</x:f>
        <x:v>104318550.00000001</x:v>
      </x:c>
      <x:c r="H292" s="16" t="n">
        <x:f>D292*Inputs!D13*'Cohort factors'!E52*Inputs!$B$5/1000</x:f>
        <x:v>8516161.19373342</x:v>
      </x:c>
      <x:c r="I292" s="16" t="n">
        <x:f>H292*Inputs!$B$10</x:f>
        <x:v>2126250.4012363907</x:v>
      </x:c>
      <x:c r="J292" s="16" t="n">
        <x:f>D292*T292*Inputs!$B$8*U292*0</x:f>
        <x:v>0</x:v>
      </x:c>
      <x:c r="K292" s="16" t="n">
        <x:f>SUM(H292:J292)</x:f>
        <x:v>10642411.59496981</x:v>
      </x:c>
      <x:c r="L292" s="16" t="n">
        <x:f>H292-H291</x:f>
        <x:v>1204769.0887111882</x:v>
      </x:c>
      <x:c r="M292" s="16" t="n">
        <x:f>K292-K291</x:f>
        <x:v>1505566.6781408414</x:v>
      </x:c>
      <x:c r="N292" s="16" t="n">
        <x:f>H292*44/12/1000000</x:f>
        <x:v>31.225924377022537</x:v>
      </x:c>
      <x:c r="O292" s="16" t="n">
        <x:f>K292*44/12/1000000</x:f>
        <x:v>39.02217584822264</x:v>
      </x:c>
      <x:c r="P292" s="16" t="n">
        <x:f>L292*44/12/1000000</x:f>
        <x:v>4.41748665860769</x:v>
      </x:c>
      <x:c r="Q292" s="16" t="n">
        <x:f>M292*44/12/1000000</x:f>
        <x:v>5.520411153183085</x:v>
      </x:c>
      <x:c r="R292" s="16" t="n">
        <x:f>(H292+I292)*44/12/1000000</x:f>
        <x:v>39.02217584822264</x:v>
      </x:c>
      <x:c r="S292" s="16" t="n">
        <x:f>R292-R291</x:f>
        <x:v>5.520411153183083</x:v>
      </x:c>
      <x:c r="T292" s="2" t="n">
        <x:f>Inputs!E13/Inputs!F13</x:f>
        <x:v>0.2</x:v>
      </x:c>
      <x:c r="U292" s="2" t="n">
        <x:f>'Cohort factors'!F52</x:f>
        <x:v>7.125</x:v>
      </x:c>
      <x:c r="V292" s="2" t="n">
        <x:f>D292*Inputs!D13*'Cohort factors'!G52*Inputs!$B$5/1000*44/12/1000000</x:f>
        <x:v>2.5933986697602487</x:v>
      </x:c>
    </x:row>
    <x:row r="293" ht="22" customHeight="1">
      <x:c r="A293" s="2" t="str">
        <x:v>CR_STEADY</x:v>
      </x:c>
      <x:c r="B293" s="2" t="str">
        <x:v>Permanent grassland</x:v>
      </x:c>
      <x:c r="C293" s="2" t="n">
        <x:v>2045</x:v>
      </x:c>
      <x:c r="D293" s="16" t="n">
        <x:f>Inputs!H13</x:f>
        <x:v>837900.0000000001</x:v>
      </x:c>
      <x:c r="E293" s="16" t="n">
        <x:f>D293*'Cohort factors'!C53</x:f>
        <x:v>34912.5</x:v>
      </x:c>
      <x:c r="F293" s="16" t="n">
        <x:f>D293*'Cohort factors'!D53</x:f>
        <x:v>663337.5000000001</x:v>
      </x:c>
      <x:c r="G293" s="16" t="n">
        <x:f>F293*Inputs!D13</x:f>
        <x:v>110114025.00000001</x:v>
      </x:c>
      <x:c r="H293" s="16" t="n">
        <x:f>D293*Inputs!D13*'Cohort factors'!E53*Inputs!$B$5/1000</x:f>
        <x:v>9801679.889142213</x:v>
      </x:c>
      <x:c r="I293" s="16" t="n">
        <x:f>H293*Inputs!$B$10</x:f>
        <x:v>2447208.9387428365</x:v>
      </x:c>
      <x:c r="J293" s="16" t="n">
        <x:f>D293*T293*Inputs!$B$8*U293*0</x:f>
        <x:v>0</x:v>
      </x:c>
      <x:c r="K293" s="16" t="n">
        <x:f>SUM(H293:J293)</x:f>
        <x:v>12248888.82788505</x:v>
      </x:c>
      <x:c r="L293" s="16" t="n">
        <x:f>H293-H292</x:f>
        <x:v>1285518.6954087932</x:v>
      </x:c>
      <x:c r="M293" s="16" t="n">
        <x:f>K293-K292</x:f>
        <x:v>1606477.2329152394</x:v>
      </x:c>
      <x:c r="N293" s="16" t="n">
        <x:f>H293*44/12/1000000</x:f>
        <x:v>35.93949292685478</x:v>
      </x:c>
      <x:c r="O293" s="16" t="n">
        <x:f>K293*44/12/1000000</x:f>
        <x:v>44.91259236891185</x:v>
      </x:c>
      <x:c r="P293" s="16" t="n">
        <x:f>L293*44/12/1000000</x:f>
        <x:v>4.7135685498322415</x:v>
      </x:c>
      <x:c r="Q293" s="16" t="n">
        <x:f>M293*44/12/1000000</x:f>
        <x:v>5.890416520689212</x:v>
      </x:c>
      <x:c r="R293" s="16" t="n">
        <x:f>(H293+I293)*44/12/1000000</x:f>
        <x:v>44.91259236891185</x:v>
      </x:c>
      <x:c r="S293" s="16" t="n">
        <x:f>R293-R292</x:f>
        <x:v>5.8904165206892145</x:v>
      </x:c>
      <x:c r="T293" s="2" t="n">
        <x:f>Inputs!E13/Inputs!F13</x:f>
        <x:v>0.2</x:v>
      </x:c>
      <x:c r="U293" s="2" t="n">
        <x:f>'Cohort factors'!F53</x:f>
        <x:v>7.916666666666667</x:v>
      </x:c>
      <x:c r="V293" s="2" t="n">
        <x:f>D293*Inputs!D13*'Cohort factors'!G53*Inputs!$B$5/1000*44/12/1000000</x:f>
        <x:v>2.841481225014578</x:v>
      </x:c>
    </x:row>
    <x:row r="294" ht="22" customHeight="1">
      <x:c r="A294" s="2" t="str">
        <x:v>CR_STEADY</x:v>
      </x:c>
      <x:c r="B294" s="2" t="str">
        <x:v>Permanent grassland</x:v>
      </x:c>
      <x:c r="C294" s="2" t="n">
        <x:v>2046</x:v>
      </x:c>
      <x:c r="D294" s="16" t="n">
        <x:f>Inputs!H13</x:f>
        <x:v>837900.0000000001</x:v>
      </x:c>
      <x:c r="E294" s="16" t="n">
        <x:f>D294*'Cohort factors'!C54</x:f>
        <x:v>34912.5</x:v>
      </x:c>
      <x:c r="F294" s="16" t="n">
        <x:f>D294*'Cohort factors'!D54</x:f>
        <x:v>698250.0000000001</x:v>
      </x:c>
      <x:c r="G294" s="16" t="n">
        <x:f>F294*Inputs!D13</x:f>
        <x:v>115909500.00000001</x:v>
      </x:c>
      <x:c r="H294" s="16" t="n">
        <x:f>D294*Inputs!D13*'Cohort factors'!E54*Inputs!$B$5/1000</x:f>
        <x:v>11134742.031850817</x:v>
      </x:c>
      <x:c r="I294" s="16" t="n">
        <x:f>H294*Inputs!$B$10</x:f>
        <x:v>2780037.7628253247</x:v>
      </x:c>
      <x:c r="J294" s="16" t="n">
        <x:f>D294*T294*Inputs!$B$8*U294*0</x:f>
        <x:v>0</x:v>
      </x:c>
      <x:c r="K294" s="16" t="n">
        <x:f>SUM(H294:J294)</x:f>
        <x:v>13914779.794676142</x:v>
      </x:c>
      <x:c r="L294" s="16" t="n">
        <x:f>H294-H293</x:f>
        <x:v>1333062.1427086033</x:v>
      </x:c>
      <x:c r="M294" s="16" t="n">
        <x:f>K294-K293</x:f>
        <x:v>1665890.9667910915</x:v>
      </x:c>
      <x:c r="N294" s="16" t="n">
        <x:f>H294*44/12/1000000</x:f>
        <x:v>40.82738745011966</x:v>
      </x:c>
      <x:c r="O294" s="16" t="n">
        <x:f>K294*44/12/1000000</x:f>
        <x:v>51.02085924714586</x:v>
      </x:c>
      <x:c r="P294" s="16" t="n">
        <x:f>L294*44/12/1000000</x:f>
        <x:v>4.887894523264879</x:v>
      </x:c>
      <x:c r="Q294" s="16" t="n">
        <x:f>M294*44/12/1000000</x:f>
        <x:v>6.1082668782340015</x:v>
      </x:c>
      <x:c r="R294" s="16" t="n">
        <x:f>(H294+I294)*44/12/1000000</x:f>
        <x:v>51.02085924714586</x:v>
      </x:c>
      <x:c r="S294" s="16" t="n">
        <x:f>R294-R293</x:f>
        <x:v>6.108266878234005</x:v>
      </x:c>
      <x:c r="T294" s="2" t="n">
        <x:f>Inputs!E13/Inputs!F13</x:f>
        <x:v>0.2</x:v>
      </x:c>
      <x:c r="U294" s="2" t="n">
        <x:f>'Cohort factors'!F54</x:f>
        <x:v>8.75</x:v>
      </x:c>
      <x:c r="V294" s="2" t="n">
        <x:f>D294*Inputs!D13*'Cohort factors'!G54*Inputs!$B$5/1000*44/12/1000000</x:f>
        <x:v>3.085875951177821</x:v>
      </x:c>
    </x:row>
    <x:row r="295" ht="22" customHeight="1">
      <x:c r="A295" s="2" t="str">
        <x:v>CR_STEADY</x:v>
      </x:c>
      <x:c r="B295" s="2" t="str">
        <x:v>Permanent grassland</x:v>
      </x:c>
      <x:c r="C295" s="2" t="n">
        <x:v>2047</x:v>
      </x:c>
      <x:c r="D295" s="16" t="n">
        <x:f>Inputs!H13</x:f>
        <x:v>837900.0000000001</x:v>
      </x:c>
      <x:c r="E295" s="16" t="n">
        <x:f>D295*'Cohort factors'!C55</x:f>
        <x:v>34912.5</x:v>
      </x:c>
      <x:c r="F295" s="16" t="n">
        <x:f>D295*'Cohort factors'!D55</x:f>
        <x:v>733162.5000000001</x:v>
      </x:c>
      <x:c r="G295" s="16" t="n">
        <x:f>F295*Inputs!D13</x:f>
        <x:v>121704975.00000001</x:v>
      </x:c>
      <x:c r="H295" s="16" t="n">
        <x:f>D295*Inputs!D13*'Cohort factors'!E55*Inputs!$B$5/1000</x:f>
        <x:v>12544485.080396956</x:v>
      </x:c>
      <x:c r="I295" s="16" t="n">
        <x:f>H295*Inputs!$B$10</x:f>
        <x:v>3132011.6926773232</x:v>
      </x:c>
      <x:c r="J295" s="16" t="n">
        <x:f>D295*T295*Inputs!$B$8*U295*0</x:f>
        <x:v>0</x:v>
      </x:c>
      <x:c r="K295" s="16" t="n">
        <x:f>SUM(H295:J295)</x:f>
        <x:v>15676496.773074279</x:v>
      </x:c>
      <x:c r="L295" s="16" t="n">
        <x:f>H295-H294</x:f>
        <x:v>1409743.0485461392</x:v>
      </x:c>
      <x:c r="M295" s="16" t="n">
        <x:f>K295-K294</x:f>
        <x:v>1761716.9783981368</x:v>
      </x:c>
      <x:c r="N295" s="16" t="n">
        <x:f>H295*44/12/1000000</x:f>
        <x:v>45.996445294788835</x:v>
      </x:c>
      <x:c r="O295" s="16" t="n">
        <x:f>K295*44/12/1000000</x:f>
        <x:v>57.480488167939015</x:v>
      </x:c>
      <x:c r="P295" s="16" t="n">
        <x:f>L295*44/12/1000000</x:f>
        <x:v>5.169057844669177</x:v>
      </x:c>
      <x:c r="Q295" s="16" t="n">
        <x:f>M295*44/12/1000000</x:f>
        <x:v>6.459628920793168</x:v>
      </x:c>
      <x:c r="R295" s="16" t="n">
        <x:f>(H295+I295)*44/12/1000000</x:f>
        <x:v>57.480488167939015</x:v>
      </x:c>
      <x:c r="S295" s="16" t="n">
        <x:f>R295-R294</x:f>
        <x:v>6.459628920793158</x:v>
      </x:c>
      <x:c r="T295" s="2" t="n">
        <x:f>Inputs!E13/Inputs!F13</x:f>
        <x:v>0.2</x:v>
      </x:c>
      <x:c r="U295" s="2" t="n">
        <x:f>'Cohort factors'!F55</x:f>
        <x:v>9.625</x:v>
      </x:c>
      <x:c r="V295" s="2" t="n">
        <x:f>D295*Inputs!D13*'Cohort factors'!G55*Inputs!$B$5/1000*44/12/1000000</x:f>
        <x:v>3.332021562828735</x:v>
      </x:c>
    </x:row>
    <x:row r="296" ht="22" customHeight="1">
      <x:c r="A296" s="2" t="str">
        <x:v>CR_STEADY</x:v>
      </x:c>
      <x:c r="B296" s="2" t="str">
        <x:v>Permanent grassland</x:v>
      </x:c>
      <x:c r="C296" s="2" t="n">
        <x:v>2048</x:v>
      </x:c>
      <x:c r="D296" s="16" t="n">
        <x:f>Inputs!H13</x:f>
        <x:v>837900.0000000001</x:v>
      </x:c>
      <x:c r="E296" s="16" t="n">
        <x:f>D296*'Cohort factors'!C56</x:f>
        <x:v>34912.5</x:v>
      </x:c>
      <x:c r="F296" s="16" t="n">
        <x:f>D296*'Cohort factors'!D56</x:f>
        <x:v>768075.0000000001</x:v>
      </x:c>
      <x:c r="G296" s="16" t="n">
        <x:f>F296*Inputs!D13</x:f>
        <x:v>127500450.00000001</x:v>
      </x:c>
      <x:c r="H296" s="16" t="n">
        <x:f>D296*Inputs!D13*'Cohort factors'!E56*Inputs!$B$5/1000</x:f>
        <x:v>14040360.988240348</x:v>
      </x:c>
      <x:c r="I296" s="16" t="n">
        <x:f>H296*Inputs!$B$10</x:f>
        <x:v>3505490.6202007122</x:v>
      </x:c>
      <x:c r="J296" s="16" t="n">
        <x:f>D296*T296*Inputs!$B$8*U296*0</x:f>
        <x:v>0</x:v>
      </x:c>
      <x:c r="K296" s="16" t="n">
        <x:f>SUM(H296:J296)</x:f>
        <x:v>17545851.608441062</x:v>
      </x:c>
      <x:c r="L296" s="16" t="n">
        <x:f>H296-H295</x:f>
        <x:v>1495875.9078433923</x:v>
      </x:c>
      <x:c r="M296" s="16" t="n">
        <x:f>K296-K295</x:f>
        <x:v>1869354.8353667837</x:v>
      </x:c>
      <x:c r="N296" s="16" t="n">
        <x:f>H296*44/12/1000000</x:f>
        <x:v>51.481323623547944</x:v>
      </x:c>
      <x:c r="O296" s="16" t="n">
        <x:f>K296*44/12/1000000</x:f>
        <x:v>64.33478923095056</x:v>
      </x:c>
      <x:c r="P296" s="16" t="n">
        <x:f>L296*44/12/1000000</x:f>
        <x:v>5.4848783287591045</x:v>
      </x:c>
      <x:c r="Q296" s="16" t="n">
        <x:f>M296*44/12/1000000</x:f>
        <x:v>6.8543010630115395</x:v>
      </x:c>
      <x:c r="R296" s="16" t="n">
        <x:f>(H296+I296)*44/12/1000000</x:f>
        <x:v>64.33478923095056</x:v>
      </x:c>
      <x:c r="S296" s="16" t="n">
        <x:f>R296-R295</x:f>
        <x:v>6.8543010630115475</x:v>
      </x:c>
      <x:c r="T296" s="2" t="n">
        <x:f>Inputs!E13/Inputs!F13</x:f>
        <x:v>0.2</x:v>
      </x:c>
      <x:c r="U296" s="2" t="n">
        <x:f>'Cohort factors'!F56</x:f>
        <x:v>10.541666666666666</x:v>
      </x:c>
      <x:c r="V296" s="2" t="n">
        <x:f>D296*Inputs!D13*'Cohort factors'!G56*Inputs!$B$5/1000*44/12/1000000</x:f>
        <x:v>3.5813342141359668</x:v>
      </x:c>
    </x:row>
    <x:row r="297" ht="22" customHeight="1">
      <x:c r="A297" s="2" t="str">
        <x:v>CR_STEADY</x:v>
      </x:c>
      <x:c r="B297" s="2" t="str">
        <x:v>Permanent grassland</x:v>
      </x:c>
      <x:c r="C297" s="2" t="n">
        <x:v>2049</x:v>
      </x:c>
      <x:c r="D297" s="16" t="n">
        <x:f>Inputs!H13</x:f>
        <x:v>837900.0000000001</x:v>
      </x:c>
      <x:c r="E297" s="16" t="n">
        <x:f>D297*'Cohort factors'!C57</x:f>
        <x:v>34912.5</x:v>
      </x:c>
      <x:c r="F297" s="16" t="n">
        <x:f>D297*'Cohort factors'!D57</x:f>
        <x:v>802987.5000000001</x:v>
      </x:c>
      <x:c r="G297" s="16" t="n">
        <x:f>F297*Inputs!D13</x:f>
        <x:v>133295925.00000001</x:v>
      </x:c>
      <x:c r="H297" s="16" t="n">
        <x:f>D297*Inputs!D13*'Cohort factors'!E57*Inputs!$B$5/1000</x:f>
        <x:v>15629567.176183572</x:v>
      </x:c>
      <x:c r="I297" s="16" t="n">
        <x:f>H297*Inputs!$B$10</x:f>
        <x:v>3902271.5427187234</x:v>
      </x:c>
      <x:c r="J297" s="16" t="n">
        <x:f>D297*T297*Inputs!$B$8*U297*0</x:f>
        <x:v>0</x:v>
      </x:c>
      <x:c r="K297" s="16" t="n">
        <x:f>SUM(H297:J297)</x:f>
        <x:v>19531838.718902297</x:v>
      </x:c>
      <x:c r="L297" s="16" t="n">
        <x:f>H297-H296</x:f>
        <x:v>1589206.1879432239</x:v>
      </x:c>
      <x:c r="M297" s="16" t="n">
        <x:f>K297-K296</x:f>
        <x:v>1985987.110461235</x:v>
      </x:c>
      <x:c r="N297" s="16" t="n">
        <x:f>H297*44/12/1000000</x:f>
        <x:v>57.30841297933977</x:v>
      </x:c>
      <x:c r="O297" s="16" t="n">
        <x:f>K297*44/12/1000000</x:f>
        <x:v>71.61674196930842</x:v>
      </x:c>
      <x:c r="P297" s="16" t="n">
        <x:f>L297*44/12/1000000</x:f>
        <x:v>5.827089355791821</x:v>
      </x:c>
      <x:c r="Q297" s="16" t="n">
        <x:f>M297*44/12/1000000</x:f>
        <x:v>7.2819527383578615</x:v>
      </x:c>
      <x:c r="R297" s="16" t="n">
        <x:f>(H297+I297)*44/12/1000000</x:f>
        <x:v>71.61674196930842</x:v>
      </x:c>
      <x:c r="S297" s="16" t="n">
        <x:f>R297-R296</x:f>
        <x:v>7.281952738357859</x:v>
      </x:c>
      <x:c r="T297" s="2" t="n">
        <x:f>Inputs!E13/Inputs!F13</x:f>
        <x:v>0.2</x:v>
      </x:c>
      <x:c r="U297" s="2" t="n">
        <x:f>'Cohort factors'!F57</x:f>
        <x:v>11.5</x:v>
      </x:c>
      <x:c r="V297" s="2" t="n">
        <x:f>D297*Inputs!D13*'Cohort factors'!G57*Inputs!$B$5/1000*44/12/1000000</x:f>
        <x:v>3.8346859252573497</x:v>
      </x:c>
    </x:row>
    <x:row r="298" ht="22" customHeight="1">
      <x:c r="A298" s="2" t="str">
        <x:v>CR_STEADY</x:v>
      </x:c>
      <x:c r="B298" s="2" t="str">
        <x:v>Permanent grassland</x:v>
      </x:c>
      <x:c r="C298" s="2" t="n">
        <x:v>2050</x:v>
      </x:c>
      <x:c r="D298" s="16" t="n">
        <x:f>Inputs!H13</x:f>
        <x:v>837900.0000000001</x:v>
      </x:c>
      <x:c r="E298" s="16" t="n">
        <x:f>D298*'Cohort factors'!C58</x:f>
        <x:v>34912.5</x:v>
      </x:c>
      <x:c r="F298" s="16" t="n">
        <x:f>D298*'Cohort factors'!D58</x:f>
        <x:v>837900.0000000001</x:v>
      </x:c>
      <x:c r="G298" s="16" t="n">
        <x:f>F298*Inputs!D13</x:f>
        <x:v>139091400.00000003</x:v>
      </x:c>
      <x:c r="H298" s="16" t="n">
        <x:f>D298*Inputs!D13*'Cohort factors'!E58*Inputs!$B$5/1000</x:f>
        <x:v>17296100.75844604</x:v>
      </x:c>
      <x:c r="I298" s="16" t="n">
        <x:f>H298*Inputs!$B$10</x:f>
        <x:v>4318358.981336835</x:v>
      </x:c>
      <x:c r="J298" s="16" t="n">
        <x:f>D298*T298*Inputs!$B$8*U298*0</x:f>
        <x:v>0</x:v>
      </x:c>
      <x:c r="K298" s="16" t="n">
        <x:f>SUM(H298:J298)</x:f>
        <x:v>21614459.739782877</x:v>
      </x:c>
      <x:c r="L298" s="16" t="n">
        <x:f>H298-H297</x:f>
        <x:v>1666533.5822624695</x:v>
      </x:c>
      <x:c r="M298" s="16" t="n">
        <x:f>K298-K297</x:f>
        <x:v>2082621.02088058</x:v>
      </x:c>
      <x:c r="N298" s="16" t="n">
        <x:f>H298*44/12/1000000</x:f>
        <x:v>63.41903611430215</x:v>
      </x:c>
      <x:c r="O298" s="16" t="n">
        <x:f>K298*44/12/1000000</x:f>
        <x:v>79.25301904587056</x:v>
      </x:c>
      <x:c r="P298" s="16" t="n">
        <x:f>L298*44/12/1000000</x:f>
        <x:v>6.110623134962387</x:v>
      </x:c>
      <x:c r="Q298" s="16" t="n">
        <x:f>M298*44/12/1000000</x:f>
        <x:v>7.636277076562126</x:v>
      </x:c>
      <x:c r="R298" s="16" t="n">
        <x:f>(H298+I298)*44/12/1000000</x:f>
        <x:v>79.25301904587056</x:v>
      </x:c>
      <x:c r="S298" s="16" t="n">
        <x:f>R298-R297</x:f>
        <x:v>7.636277076562138</x:v>
      </x:c>
      <x:c r="T298" s="2" t="n">
        <x:f>Inputs!E13/Inputs!F13</x:f>
        <x:v>0.2</x:v>
      </x:c>
      <x:c r="U298" s="2" t="n">
        <x:f>'Cohort factors'!F58</x:f>
        <x:v>12.5</x:v>
      </x:c>
      <x:c r="V298" s="2" t="n">
        <x:f>D298*Inputs!D13*'Cohort factors'!G58*Inputs!$B$5/1000*44/12/1000000</x:f>
        <x:v>4.089295222547451</x:v>
      </x:c>
    </x:row>
    <x:row r="299" ht="22" customHeight="1">
      <x:c r="A299" s="2" t="str">
        <x:v>CR_STEADY</x:v>
      </x:c>
      <x:c r="B299" s="2" t="str">
        <x:v>Permanent grassland</x:v>
      </x:c>
      <x:c r="C299" s="2" t="n">
        <x:v>2051</x:v>
      </x:c>
      <x:c r="D299" s="16" t="n">
        <x:f>Inputs!H13</x:f>
        <x:v>837900.0000000001</x:v>
      </x:c>
      <x:c r="E299" s="16" t="n">
        <x:f>D299*'Cohort factors'!C59</x:f>
        <x:v>0</x:v>
      </x:c>
      <x:c r="F299" s="16" t="n">
        <x:f>D299*'Cohort factors'!D59</x:f>
        <x:v>837900.0000000001</x:v>
      </x:c>
      <x:c r="G299" s="16" t="n">
        <x:f>F299*Inputs!D13</x:f>
        <x:v>139091400.00000003</x:v>
      </x:c>
      <x:c r="H299" s="16" t="n">
        <x:f>D299*Inputs!D13*'Cohort factors'!E59*Inputs!$B$5/1000</x:f>
        <x:v>19032104.427996192</x:v>
      </x:c>
      <x:c r="I299" s="16" t="n">
        <x:f>H299*Inputs!$B$10</x:f>
        <x:v>4751791.183353513</x:v>
      </x:c>
      <x:c r="J299" s="16" t="n">
        <x:f>D299*T299*Inputs!$B$8*U299*0</x:f>
        <x:v>0</x:v>
      </x:c>
      <x:c r="K299" s="16" t="n">
        <x:f>SUM(H299:J299)</x:f>
        <x:v>23783895.611349706</x:v>
      </x:c>
      <x:c r="L299" s="16" t="n">
        <x:f>H299-H298</x:f>
        <x:v>1736003.6695501506</x:v>
      </x:c>
      <x:c r="M299" s="16" t="n">
        <x:f>K299-K298</x:f>
        <x:v>2169435.8715668283</x:v>
      </x:c>
      <x:c r="N299" s="16" t="n">
        <x:f>H299*44/12/1000000</x:f>
        <x:v>69.7843829026527</x:v>
      </x:c>
      <x:c r="O299" s="16" t="n">
        <x:f>K299*44/12/1000000</x:f>
        <x:v>87.20761724161558</x:v>
      </x:c>
      <x:c r="P299" s="16" t="n">
        <x:f>L299*44/12/1000000</x:f>
        <x:v>6.365346788350553</x:v>
      </x:c>
      <x:c r="Q299" s="16" t="n">
        <x:f>M299*44/12/1000000</x:f>
        <x:v>7.954598195745037</x:v>
      </x:c>
      <x:c r="R299" s="16" t="n">
        <x:f>(H299+I299)*44/12/1000000</x:f>
        <x:v>87.20761724161558</x:v>
      </x:c>
      <x:c r="S299" s="16" t="n">
        <x:f>R299-R298</x:f>
        <x:v>7.954598195745021</x:v>
      </x:c>
      <x:c r="T299" s="2" t="n">
        <x:f>Inputs!E13/Inputs!F13</x:f>
        <x:v>0.2</x:v>
      </x:c>
      <x:c r="U299" s="2" t="n">
        <x:f>'Cohort factors'!F59</x:f>
        <x:v>13.5</x:v>
      </x:c>
      <x:c r="V299" s="2" t="n">
        <x:f>D299*Inputs!D13*'Cohort factors'!G59*Inputs!$B$5/1000*44/12/1000000</x:f>
        <x:v>4.333741338611403</x:v>
      </x:c>
    </x:row>
    <x:row r="300" ht="22" customHeight="1">
      <x:c r="A300" s="2" t="str">
        <x:v>CR_STEADY</x:v>
      </x:c>
      <x:c r="B300" s="2" t="str">
        <x:v>Permanent grassland</x:v>
      </x:c>
      <x:c r="C300" s="2" t="n">
        <x:v>2052</x:v>
      </x:c>
      <x:c r="D300" s="16" t="n">
        <x:f>Inputs!H13</x:f>
        <x:v>837900.0000000001</x:v>
      </x:c>
      <x:c r="E300" s="16" t="n">
        <x:f>D300*'Cohort factors'!C60</x:f>
        <x:v>0</x:v>
      </x:c>
      <x:c r="F300" s="16" t="n">
        <x:f>D300*'Cohort factors'!D60</x:f>
        <x:v>837900.0000000001</x:v>
      </x:c>
      <x:c r="G300" s="16" t="n">
        <x:f>F300*Inputs!D13</x:f>
        <x:v>139091400.00000003</x:v>
      </x:c>
      <x:c r="H300" s="16" t="n">
        <x:f>D300*Inputs!D13*'Cohort factors'!E60*Inputs!$B$5/1000</x:f>
        <x:v>20853628.937683534</x:v>
      </x:c>
      <x:c r="I300" s="16" t="n">
        <x:f>H300*Inputs!$B$10</x:f>
        <x:v>5206575.578749242</x:v>
      </x:c>
      <x:c r="J300" s="16" t="n">
        <x:f>D300*T300*Inputs!$B$8*U300*0</x:f>
        <x:v>0</x:v>
      </x:c>
      <x:c r="K300" s="16" t="n">
        <x:f>SUM(H300:J300)</x:f>
        <x:v>26060204.516432777</x:v>
      </x:c>
      <x:c r="L300" s="16" t="n">
        <x:f>H300-H299</x:f>
        <x:v>1821524.5096873417</x:v>
      </x:c>
      <x:c r="M300" s="16" t="n">
        <x:f>K300-K299</x:f>
        <x:v>2276308.9050830714</x:v>
      </x:c>
      <x:c r="N300" s="16" t="n">
        <x:f>H300*44/12/1000000</x:f>
        <x:v>76.46330610483962</x:v>
      </x:c>
      <x:c r="O300" s="16" t="n">
        <x:f>K300*44/12/1000000</x:f>
        <x:v>95.55408322692018</x:v>
      </x:c>
      <x:c r="P300" s="16" t="n">
        <x:f>L300*44/12/1000000</x:f>
        <x:v>6.67892320218692</x:v>
      </x:c>
      <x:c r="Q300" s="16" t="n">
        <x:f>M300*44/12/1000000</x:f>
        <x:v>8.346465985304595</x:v>
      </x:c>
      <x:c r="R300" s="16" t="n">
        <x:f>(H300+I300)*44/12/1000000</x:f>
        <x:v>95.55408322692018</x:v>
      </x:c>
      <x:c r="S300" s="16" t="n">
        <x:f>R300-R299</x:f>
        <x:v>8.346465985304604</x:v>
      </x:c>
      <x:c r="T300" s="2" t="n">
        <x:f>Inputs!E13/Inputs!F13</x:f>
        <x:v>0.2</x:v>
      </x:c>
      <x:c r="U300" s="2" t="n">
        <x:f>'Cohort factors'!F60</x:f>
        <x:v>14.5</x:v>
      </x:c>
      <x:c r="V300" s="2" t="n">
        <x:f>D300*Inputs!D13*'Cohort factors'!G60*Inputs!$B$5/1000*44/12/1000000</x:f>
        <x:v>4.572249371216873</x:v>
      </x:c>
    </x:row>
    <x:row r="301" ht="22" customHeight="1">
      <x:c r="A301" s="2" t="str">
        <x:v>CR_STEADY</x:v>
      </x:c>
      <x:c r="B301" s="2" t="str">
        <x:v>Permanent grassland</x:v>
      </x:c>
      <x:c r="C301" s="2" t="n">
        <x:v>2053</x:v>
      </x:c>
      <x:c r="D301" s="16" t="n">
        <x:f>Inputs!H13</x:f>
        <x:v>837900.0000000001</x:v>
      </x:c>
      <x:c r="E301" s="16" t="n">
        <x:f>D301*'Cohort factors'!C61</x:f>
        <x:v>0</x:v>
      </x:c>
      <x:c r="F301" s="16" t="n">
        <x:f>D301*'Cohort factors'!D61</x:f>
        <x:v>837900.0000000001</x:v>
      </x:c>
      <x:c r="G301" s="16" t="n">
        <x:f>F301*Inputs!D13</x:f>
        <x:v>139091400.00000003</x:v>
      </x:c>
      <x:c r="H301" s="16" t="n">
        <x:f>D301*Inputs!D13*'Cohort factors'!E61*Inputs!$B$5/1000</x:f>
        <x:v>22714352.551220164</x:v>
      </x:c>
      <x:c r="I301" s="16" t="n">
        <x:f>H301*Inputs!$B$10</x:f>
        <x:v>5671146.908468031</x:v>
      </x:c>
      <x:c r="J301" s="16" t="n">
        <x:f>D301*T301*Inputs!$B$8*U301*0</x:f>
        <x:v>0</x:v>
      </x:c>
      <x:c r="K301" s="16" t="n">
        <x:f>SUM(H301:J301)</x:f>
        <x:v>28385499.459688194</x:v>
      </x:c>
      <x:c r="L301" s="16" t="n">
        <x:f>H301-H300</x:f>
        <x:v>1860723.6135366298</x:v>
      </x:c>
      <x:c r="M301" s="16" t="n">
        <x:f>K301-K300</x:f>
        <x:v>2325294.943255417</x:v>
      </x:c>
      <x:c r="N301" s="16" t="n">
        <x:f>H301*44/12/1000000</x:f>
        <x:v>83.28595935447393</x:v>
      </x:c>
      <x:c r="O301" s="16" t="n">
        <x:f>K301*44/12/1000000</x:f>
        <x:v>104.08016468552337</x:v>
      </x:c>
      <x:c r="P301" s="16" t="n">
        <x:f>L301*44/12/1000000</x:f>
        <x:v>6.8226532496343095</x:v>
      </x:c>
      <x:c r="Q301" s="16" t="n">
        <x:f>M301*44/12/1000000</x:f>
        <x:v>8.526081458603196</x:v>
      </x:c>
      <x:c r="R301" s="16" t="n">
        <x:f>(H301+I301)*44/12/1000000</x:f>
        <x:v>104.08016468552337</x:v>
      </x:c>
      <x:c r="S301" s="16" t="n">
        <x:f>R301-R300</x:f>
        <x:v>8.526081458603187</x:v>
      </x:c>
      <x:c r="T301" s="2" t="n">
        <x:f>Inputs!E13/Inputs!F13</x:f>
        <x:v>0.2</x:v>
      </x:c>
      <x:c r="U301" s="2" t="n">
        <x:f>'Cohort factors'!F61</x:f>
        <x:v>15.5</x:v>
      </x:c>
      <x:c r="V301" s="2" t="n">
        <x:f>D301*Inputs!D13*'Cohort factors'!G61*Inputs!$B$5/1000*44/12/1000000</x:f>
        <x:v>4.78926198392252</x:v>
      </x:c>
    </x:row>
    <x:row r="302" ht="22" customHeight="1">
      <x:c r="A302" s="2" t="str">
        <x:v>CR_STEADY</x:v>
      </x:c>
      <x:c r="B302" s="2" t="str">
        <x:v>Permanent grassland</x:v>
      </x:c>
      <x:c r="C302" s="2" t="n">
        <x:v>2054</x:v>
      </x:c>
      <x:c r="D302" s="16" t="n">
        <x:f>Inputs!H13</x:f>
        <x:v>837900.0000000001</x:v>
      </x:c>
      <x:c r="E302" s="16" t="n">
        <x:f>D302*'Cohort factors'!C62</x:f>
        <x:v>0</x:v>
      </x:c>
      <x:c r="F302" s="16" t="n">
        <x:f>D302*'Cohort factors'!D62</x:f>
        <x:v>837900.0000000001</x:v>
      </x:c>
      <x:c r="G302" s="16" t="n">
        <x:f>F302*Inputs!D13</x:f>
        <x:v>139091400.00000003</x:v>
      </x:c>
      <x:c r="H302" s="16" t="n">
        <x:f>D302*Inputs!D13*'Cohort factors'!E62*Inputs!$B$5/1000</x:f>
        <x:v>24608257.478566915</x:v>
      </x:c>
      <x:c r="I302" s="16" t="n">
        <x:f>H302*Inputs!$B$10</x:f>
        <x:v>6144002.696430077</x:v>
      </x:c>
      <x:c r="J302" s="16" t="n">
        <x:f>D302*T302*Inputs!$B$8*U302*0</x:f>
        <x:v>0</x:v>
      </x:c>
      <x:c r="K302" s="16" t="n">
        <x:f>SUM(H302:J302)</x:f>
        <x:v>30752260.17499699</x:v>
      </x:c>
      <x:c r="L302" s="16" t="n">
        <x:f>H302-H301</x:f>
        <x:v>1893904.927346751</x:v>
      </x:c>
      <x:c r="M302" s="16" t="n">
        <x:f>K302-K301</x:f>
        <x:v>2366760.7153087966</x:v>
      </x:c>
      <x:c r="N302" s="16" t="n">
        <x:f>H302*44/12/1000000</x:f>
        <x:v>90.23027742141204</x:v>
      </x:c>
      <x:c r="O302" s="16" t="n">
        <x:f>K302*44/12/1000000</x:f>
        <x:v>112.7582873083223</x:v>
      </x:c>
      <x:c r="P302" s="16" t="n">
        <x:f>L302*44/12/1000000</x:f>
        <x:v>6.944318066938087</x:v>
      </x:c>
      <x:c r="Q302" s="16" t="n">
        <x:f>M302*44/12/1000000</x:f>
        <x:v>8.678122622798922</x:v>
      </x:c>
      <x:c r="R302" s="16" t="n">
        <x:f>(H302+I302)*44/12/1000000</x:f>
        <x:v>112.7582873083223</x:v>
      </x:c>
      <x:c r="S302" s="16" t="n">
        <x:f>R302-R301</x:f>
        <x:v>8.678122622798924</x:v>
      </x:c>
      <x:c r="T302" s="2" t="n">
        <x:f>Inputs!E13/Inputs!F13</x:f>
        <x:v>0.2</x:v>
      </x:c>
      <x:c r="U302" s="2" t="n">
        <x:f>'Cohort factors'!F62</x:f>
        <x:v>16.5</x:v>
      </x:c>
      <x:c r="V302" s="2" t="n">
        <x:f>D302*Inputs!D13*'Cohort factors'!G62*Inputs!$B$5/1000*44/12/1000000</x:f>
        <x:v>4.986321795891949</x:v>
      </x:c>
    </x:row>
    <x:row r="303" ht="22" customHeight="1">
      <x:c r="A303" s="2" t="str">
        <x:v>CR_STEADY</x:v>
      </x:c>
      <x:c r="B303" s="2" t="str">
        <x:v>Permanent grassland</x:v>
      </x:c>
      <x:c r="C303" s="2" t="n">
        <x:v>2055</x:v>
      </x:c>
      <x:c r="D303" s="16" t="n">
        <x:f>Inputs!H13</x:f>
        <x:v>837900.0000000001</x:v>
      </x:c>
      <x:c r="E303" s="16" t="n">
        <x:f>D303*'Cohort factors'!C63</x:f>
        <x:v>0</x:v>
      </x:c>
      <x:c r="F303" s="16" t="n">
        <x:f>D303*'Cohort factors'!D63</x:f>
        <x:v>837900.0000000001</x:v>
      </x:c>
      <x:c r="G303" s="16" t="n">
        <x:f>F303*Inputs!D13</x:f>
        <x:v>139091400.00000003</x:v>
      </x:c>
      <x:c r="H303" s="16" t="n">
        <x:f>D303*Inputs!D13*'Cohort factors'!E63*Inputs!$B$5/1000</x:f>
        <x:v>26572364.588885188</x:v>
      </x:c>
      <x:c r="I303" s="16" t="n">
        <x:f>H303*Inputs!$B$10</x:f>
        <x:v>6634386.031876862</x:v>
      </x:c>
      <x:c r="J303" s="16" t="n">
        <x:f>D303*T303*Inputs!$B$8*U303*0</x:f>
        <x:v>0</x:v>
      </x:c>
      <x:c r="K303" s="16" t="n">
        <x:f>SUM(H303:J303)</x:f>
        <x:v>33206750.62076205</x:v>
      </x:c>
      <x:c r="L303" s="16" t="n">
        <x:f>H303-H302</x:f>
        <x:v>1964107.1103182733</x:v>
      </x:c>
      <x:c r="M303" s="16" t="n">
        <x:f>K303-K302</x:f>
        <x:v>2454490.4457650594</x:v>
      </x:c>
      <x:c r="N303" s="16" t="n">
        <x:f>H303*44/12/1000000</x:f>
        <x:v>97.43200349257903</x:v>
      </x:c>
      <x:c r="O303" s="16" t="n">
        <x:f>K303*44/12/1000000</x:f>
        <x:v>121.75808560946085</x:v>
      </x:c>
      <x:c r="P303" s="16" t="n">
        <x:f>L303*44/12/1000000</x:f>
        <x:v>7.201726071167003</x:v>
      </x:c>
      <x:c r="Q303" s="16" t="n">
        <x:f>M303*44/12/1000000</x:f>
        <x:v>8.999798301138553</x:v>
      </x:c>
      <x:c r="R303" s="16" t="n">
        <x:f>(H303+I303)*44/12/1000000</x:f>
        <x:v>121.75808560946085</x:v>
      </x:c>
      <x:c r="S303" s="16" t="n">
        <x:f>R303-R302</x:f>
        <x:v>8.999798301138554</x:v>
      </x:c>
      <x:c r="T303" s="2" t="n">
        <x:f>Inputs!E13/Inputs!F13</x:f>
        <x:v>0.2</x:v>
      </x:c>
      <x:c r="U303" s="2" t="n">
        <x:f>'Cohort factors'!F63</x:f>
        <x:v>17.5</x:v>
      </x:c>
      <x:c r="V303" s="2" t="n">
        <x:f>D303*Inputs!D13*'Cohort factors'!G63*Inputs!$B$5/1000*44/12/1000000</x:f>
        <x:v>5.159349561520853</x:v>
      </x:c>
    </x:row>
    <x:row r="304" ht="22" customHeight="1">
      <x:c r="A304" s="2" t="str">
        <x:v>CR_STEADY</x:v>
      </x:c>
      <x:c r="B304" s="2" t="str">
        <x:v>Permanent grassland</x:v>
      </x:c>
      <x:c r="C304" s="2" t="n">
        <x:v>2056</x:v>
      </x:c>
      <x:c r="D304" s="16" t="n">
        <x:f>Inputs!H13</x:f>
        <x:v>837900.0000000001</x:v>
      </x:c>
      <x:c r="E304" s="16" t="n">
        <x:f>D304*'Cohort factors'!C64</x:f>
        <x:v>0</x:v>
      </x:c>
      <x:c r="F304" s="16" t="n">
        <x:f>D304*'Cohort factors'!D64</x:f>
        <x:v>837900.0000000001</x:v>
      </x:c>
      <x:c r="G304" s="16" t="n">
        <x:f>F304*Inputs!D13</x:f>
        <x:v>139091400.00000003</x:v>
      </x:c>
      <x:c r="H304" s="16" t="n">
        <x:f>D304*Inputs!D13*'Cohort factors'!E64*Inputs!$B$5/1000</x:f>
        <x:v>28517950.66593534</x:v>
      </x:c>
      <x:c r="I304" s="16" t="n">
        <x:f>H304*Inputs!$B$10</x:f>
        <x:v>7120145.176503184</x:v>
      </x:c>
      <x:c r="J304" s="16" t="n">
        <x:f>D304*T304*Inputs!$B$8*U304*0</x:f>
        <x:v>0</x:v>
      </x:c>
      <x:c r="K304" s="16" t="n">
        <x:f>SUM(H304:J304)</x:f>
        <x:v>35638095.84243853</x:v>
      </x:c>
      <x:c r="L304" s="16" t="n">
        <x:f>H304-H303</x:f>
        <x:v>1945586.0770501532</x:v>
      </x:c>
      <x:c r="M304" s="16" t="n">
        <x:f>K304-K303</x:f>
        <x:v>2431345.2216764763</x:v>
      </x:c>
      <x:c r="N304" s="16" t="n">
        <x:f>H304*44/12/1000000</x:f>
        <x:v>104.5658191084296</x:v>
      </x:c>
      <x:c r="O304" s="16" t="n">
        <x:f>K304*44/12/1000000</x:f>
        <x:v>130.67301808894126</x:v>
      </x:c>
      <x:c r="P304" s="16" t="n">
        <x:f>L304*44/12/1000000</x:f>
        <x:v>7.133815615850561</x:v>
      </x:c>
      <x:c r="Q304" s="16" t="n">
        <x:f>M304*44/12/1000000</x:f>
        <x:v>8.914932479480413</x:v>
      </x:c>
      <x:c r="R304" s="16" t="n">
        <x:f>(H304+I304)*44/12/1000000</x:f>
        <x:v>130.67301808894126</x:v>
      </x:c>
      <x:c r="S304" s="16" t="n">
        <x:f>R304-R303</x:f>
        <x:v>8.914932479480413</x:v>
      </x:c>
      <x:c r="T304" s="2" t="n">
        <x:f>Inputs!E13/Inputs!F13</x:f>
        <x:v>0.2</x:v>
      </x:c>
      <x:c r="U304" s="2" t="n">
        <x:f>'Cohort factors'!F64</x:f>
        <x:v>18.5</x:v>
      </x:c>
      <x:c r="V304" s="2" t="n">
        <x:f>D304*Inputs!D13*'Cohort factors'!G64*Inputs!$B$5/1000*44/12/1000000</x:f>
        <x:v>5.290543328446042</x:v>
      </x:c>
    </x:row>
    <x:row r="305" ht="22" customHeight="1">
      <x:c r="A305" s="2" t="str">
        <x:v>CR_STEADY</x:v>
      </x:c>
      <x:c r="B305" s="2" t="str">
        <x:v>Cropped area</x:v>
      </x:c>
      <x:c r="C305" s="2" t="n">
        <x:v>2027</x:v>
      </x:c>
      <x:c r="D305" s="16" t="n">
        <x:f>Inputs!H15</x:f>
        <x:v>286230</x:v>
      </x:c>
      <x:c r="E305" s="16" t="n">
        <x:f>D305*'Cohort factors'!C35</x:f>
        <x:v>11926.25</x:v>
      </x:c>
      <x:c r="F305" s="16" t="n">
        <x:f>D305*'Cohort factors'!D35</x:f>
        <x:v>11926.25</x:v>
      </x:c>
      <x:c r="G305" s="16" t="n">
        <x:f>F305*Inputs!D15</x:f>
        <x:v>567916.6666666666</x:v>
      </x:c>
      <x:c r="H305" s="16" t="n">
        <x:f>D305*Inputs!D15*'Cohort factors'!E35*Inputs!$B$5/1000</x:f>
        <x:v>283.0596771444443</x:v>
      </x:c>
      <x:c r="I305" s="16" t="n">
        <x:f>H305*Inputs!$B$10</x:f>
        <x:v>70.6721888431481</x:v>
      </x:c>
      <x:c r="J305" s="16" t="n">
        <x:f>D305*T305*Inputs!$B$8*U305</x:f>
        <x:v>517.6095809068747</x:v>
      </x:c>
      <x:c r="K305" s="16" t="n">
        <x:f>SUM(H305:J305)</x:f>
        <x:v>871.3414468944671</x:v>
      </x:c>
      <x:c r="L305" s="16" t="n">
        <x:f>H305</x:f>
        <x:v>283.0596771444443</x:v>
      </x:c>
      <x:c r="M305" s="16" t="n">
        <x:f>K305</x:f>
        <x:v>871.3414468944671</x:v>
      </x:c>
      <x:c r="N305" s="16" t="n">
        <x:f>H305*44/12/1000000</x:f>
        <x:v>0.0010378854828629626</x:v>
      </x:c>
      <x:c r="O305" s="16" t="n">
        <x:f>K305*44/12/1000000</x:f>
        <x:v>0.003194918638613046</x:v>
      </x:c>
      <x:c r="P305" s="16" t="n">
        <x:f>L305*44/12/1000000</x:f>
        <x:v>0.0010378854828629626</x:v>
      </x:c>
      <x:c r="Q305" s="16" t="n">
        <x:f>M305*44/12/1000000</x:f>
        <x:v>0.003194918638613046</x:v>
      </x:c>
      <x:c r="R305" s="16" t="n">
        <x:f>O305</x:f>
        <x:v>0.003194918638613046</x:v>
      </x:c>
      <x:c r="S305" s="16" t="n">
        <x:f>Q305</x:f>
        <x:v>0.003194918638613046</x:v>
      </x:c>
      <x:c r="T305" s="2" t="n">
        <x:f>Inputs!E15/Inputs!F15</x:f>
        <x:v>0.06666666666666667</x:v>
      </x:c>
      <x:c r="U305" s="2" t="n">
        <x:f>'Cohort factors'!F35</x:f>
        <x:v>0.041666666666666664</x:v>
      </x:c>
      <x:c r="V305" s="2" t="n">
        <x:f>D305*Inputs!D15*'Cohort factors'!G35*Inputs!$B$5/1000*44/12/1000000</x:f>
        <x:v>0.0010378854828629626</x:v>
      </x:c>
    </x:row>
    <x:row r="306" ht="22" customHeight="1">
      <x:c r="A306" s="2" t="str">
        <x:v>CR_STEADY</x:v>
      </x:c>
      <x:c r="B306" s="2" t="str">
        <x:v>Cropped area</x:v>
      </x:c>
      <x:c r="C306" s="2" t="n">
        <x:v>2028</x:v>
      </x:c>
      <x:c r="D306" s="16" t="n">
        <x:f>Inputs!H15</x:f>
        <x:v>286230</x:v>
      </x:c>
      <x:c r="E306" s="16" t="n">
        <x:f>D306*'Cohort factors'!C36</x:f>
        <x:v>11926.25</x:v>
      </x:c>
      <x:c r="F306" s="16" t="n">
        <x:f>D306*'Cohort factors'!D36</x:f>
        <x:v>23852.5</x:v>
      </x:c>
      <x:c r="G306" s="16" t="n">
        <x:f>F306*Inputs!D15</x:f>
        <x:v>1135833.3333333333</x:v>
      </x:c>
      <x:c r="H306" s="16" t="n">
        <x:f>D306*Inputs!D15*'Cohort factors'!E36*Inputs!$B$5/1000</x:f>
        <x:v>1346.985113466666</x:v>
      </x:c>
      <x:c r="I306" s="16" t="n">
        <x:f>H306*Inputs!$B$10</x:f>
        <x:v>336.305005602222</x:v>
      </x:c>
      <x:c r="J306" s="16" t="n">
        <x:f>D306*T306*Inputs!$B$8*U306</x:f>
        <x:v>1552.8287427206242</x:v>
      </x:c>
      <x:c r="K306" s="16" t="n">
        <x:f>SUM(H306:J306)</x:f>
        <x:v>3236.1188617895123</x:v>
      </x:c>
      <x:c r="L306" s="16" t="n">
        <x:f>H306-H305</x:f>
        <x:v>1063.9254363222217</x:v>
      </x:c>
      <x:c r="M306" s="16" t="n">
        <x:f>K306-K305</x:f>
        <x:v>2364.7774148950452</x:v>
      </x:c>
      <x:c r="N306" s="16" t="n">
        <x:f>H306*44/12/1000000</x:f>
        <x:v>0.004938945416044442</x:v>
      </x:c>
      <x:c r="O306" s="16" t="n">
        <x:f>K306*44/12/1000000</x:f>
        <x:v>0.011865769159894879</x:v>
      </x:c>
      <x:c r="P306" s="16" t="n">
        <x:f>L306*44/12/1000000</x:f>
        <x:v>0.0039010599331814797</x:v>
      </x:c>
      <x:c r="Q306" s="16" t="n">
        <x:f>M306*44/12/1000000</x:f>
        <x:v>0.008670850521281833</x:v>
      </x:c>
      <x:c r="R306" s="16" t="n">
        <x:f>O306</x:f>
        <x:v>0.011865769159894879</x:v>
      </x:c>
      <x:c r="S306" s="16" t="n">
        <x:f>Q306</x:f>
        <x:v>0.008670850521281833</x:v>
      </x:c>
      <x:c r="T306" s="2" t="n">
        <x:f>Inputs!E15/Inputs!F15</x:f>
        <x:v>0.06666666666666667</x:v>
      </x:c>
      <x:c r="U306" s="2" t="n">
        <x:f>'Cohort factors'!F36</x:f>
        <x:v>0.125</x:v>
      </x:c>
      <x:c r="V306" s="2" t="n">
        <x:f>D306*Inputs!D15*'Cohort factors'!G36*Inputs!$B$5/1000*44/12/1000000</x:f>
        <x:v>0.002988415449453702</x:v>
      </x:c>
    </x:row>
    <x:row r="307" ht="22" customHeight="1">
      <x:c r="A307" s="2" t="str">
        <x:v>CR_STEADY</x:v>
      </x:c>
      <x:c r="B307" s="2" t="str">
        <x:v>Cropped area</x:v>
      </x:c>
      <x:c r="C307" s="2" t="n">
        <x:v>2029</x:v>
      </x:c>
      <x:c r="D307" s="16" t="n">
        <x:f>Inputs!H15</x:f>
        <x:v>286230</x:v>
      </x:c>
      <x:c r="E307" s="16" t="n">
        <x:f>D307*'Cohort factors'!C37</x:f>
        <x:v>11926.25</x:v>
      </x:c>
      <x:c r="F307" s="16" t="n">
        <x:f>D307*'Cohort factors'!D37</x:f>
        <x:v>35778.75</x:v>
      </x:c>
      <x:c r="G307" s="16" t="n">
        <x:f>F307*Inputs!D15</x:f>
        <x:v>1703750</x:v>
      </x:c>
      <x:c r="H307" s="16" t="n">
        <x:f>D307*Inputs!D15*'Cohort factors'!E37*Inputs!$B$5/1000</x:f>
        <x:v>4565.099292355553</x:v>
      </x:c>
      <x:c r="I307" s="16" t="n">
        <x:f>H307*Inputs!$B$10</x:f>
        <x:v>1139.7792950651844</x:v>
      </x:c>
      <x:c r="J307" s="16" t="n">
        <x:f>D307*T307*Inputs!$B$8*U307</x:f>
        <x:v>3105.6574854412484</x:v>
      </x:c>
      <x:c r="K307" s="16" t="n">
        <x:f>SUM(H307:J307)</x:f>
        <x:v>8810.536072861985</x:v>
      </x:c>
      <x:c r="L307" s="16" t="n">
        <x:f>H307-H306</x:f>
        <x:v>3218.114178888887</x:v>
      </x:c>
      <x:c r="M307" s="16" t="n">
        <x:f>K307-K306</x:f>
        <x:v>5574.417211072473</x:v>
      </x:c>
      <x:c r="N307" s="16" t="n">
        <x:f>H307*44/12/1000000</x:f>
        <x:v>0.016738697405303694</x:v>
      </x:c>
      <x:c r="O307" s="16" t="n">
        <x:f>K307*44/12/1000000</x:f>
        <x:v>0.032305298933827276</x:v>
      </x:c>
      <x:c r="P307" s="16" t="n">
        <x:f>L307*44/12/1000000</x:f>
        <x:v>0.011799751989259253</x:v>
      </x:c>
      <x:c r="Q307" s="16" t="n">
        <x:f>M307*44/12/1000000</x:f>
        <x:v>0.020439529773932402</x:v>
      </x:c>
      <x:c r="R307" s="16" t="n">
        <x:f>O307</x:f>
        <x:v>0.032305298933827276</x:v>
      </x:c>
      <x:c r="S307" s="16" t="n">
        <x:f>Q307</x:f>
        <x:v>0.020439529773932402</x:v>
      </x:c>
      <x:c r="T307" s="2" t="n">
        <x:f>Inputs!E15/Inputs!F15</x:f>
        <x:v>0.06666666666666667</x:v>
      </x:c>
      <x:c r="U307" s="2" t="n">
        <x:f>'Cohort factors'!F37</x:f>
        <x:v>0.25</x:v>
      </x:c>
      <x:c r="V307" s="2" t="n">
        <x:f>D307*Inputs!D15*'Cohort factors'!G37*Inputs!$B$5/1000*44/12/1000000</x:f>
        <x:v>0.0069216661125401195</x:v>
      </x:c>
    </x:row>
    <x:row r="308" ht="22" customHeight="1">
      <x:c r="A308" s="2" t="str">
        <x:v>CR_STEADY</x:v>
      </x:c>
      <x:c r="B308" s="2" t="str">
        <x:v>Cropped area</x:v>
      </x:c>
      <x:c r="C308" s="2" t="n">
        <x:v>2030</x:v>
      </x:c>
      <x:c r="D308" s="16" t="n">
        <x:f>Inputs!H15</x:f>
        <x:v>286230</x:v>
      </x:c>
      <x:c r="E308" s="16" t="n">
        <x:f>D308*'Cohort factors'!C38</x:f>
        <x:v>11926.25</x:v>
      </x:c>
      <x:c r="F308" s="16" t="n">
        <x:f>D308*'Cohort factors'!D38</x:f>
        <x:v>47705</x:v>
      </x:c>
      <x:c r="G308" s="16" t="n">
        <x:f>F308*Inputs!D15</x:f>
        <x:v>2271666.6666666665</x:v>
      </x:c>
      <x:c r="H308" s="16" t="n">
        <x:f>D308*Inputs!D15*'Cohort factors'!E38*Inputs!$B$5/1000</x:f>
        <x:v>10919.70059387777</x:v>
      </x:c>
      <x:c r="I308" s="16" t="n">
        <x:f>H308*Inputs!$B$10</x:f>
        <x:v>2726.34785097759</x:v>
      </x:c>
      <x:c r="J308" s="16" t="n">
        <x:f>D308*T308*Inputs!$B$8*U308</x:f>
        <x:v>5176.095809068747</x:v>
      </x:c>
      <x:c r="K308" s="16" t="n">
        <x:f>SUM(H308:J308)</x:f>
        <x:v>18822.144253924107</x:v>
      </x:c>
      <x:c r="L308" s="16" t="n">
        <x:f>H308-H307</x:f>
        <x:v>6354.601301522216</x:v>
      </x:c>
      <x:c r="M308" s="16" t="n">
        <x:f>K308-K307</x:f>
        <x:v>10011.608181062122</x:v>
      </x:c>
      <x:c r="N308" s="16" t="n">
        <x:f>H308*44/12/1000000</x:f>
        <x:v>0.04003890217755182</x:v>
      </x:c>
      <x:c r="O308" s="16" t="n">
        <x:f>K308*44/12/1000000</x:f>
        <x:v>0.06901452893105506</x:v>
      </x:c>
      <x:c r="P308" s="16" t="n">
        <x:f>L308*44/12/1000000</x:f>
        <x:v>0.023300204772248125</x:v>
      </x:c>
      <x:c r="Q308" s="16" t="n">
        <x:f>M308*44/12/1000000</x:f>
        <x:v>0.036709229997227776</x:v>
      </x:c>
      <x:c r="R308" s="16" t="n">
        <x:f>O308</x:f>
        <x:v>0.06901452893105506</x:v>
      </x:c>
      <x:c r="S308" s="16" t="n">
        <x:f>Q308</x:f>
        <x:v>0.036709229997227776</x:v>
      </x:c>
      <x:c r="T308" s="2" t="n">
        <x:f>Inputs!E15/Inputs!F15</x:f>
        <x:v>0.06666666666666667</x:v>
      </x:c>
      <x:c r="U308" s="2" t="n">
        <x:f>'Cohort factors'!F38</x:f>
        <x:v>0.4166666666666667</x:v>
      </x:c>
      <x:c r="V308" s="2" t="n">
        <x:f>D308*Inputs!D15*'Cohort factors'!G38*Inputs!$B$5/1000*44/12/1000000</x:f>
        <x:v>0.012746717305602154</x:v>
      </x:c>
    </x:row>
    <x:row r="309" ht="22" customHeight="1">
      <x:c r="A309" s="2" t="str">
        <x:v>CR_STEADY</x:v>
      </x:c>
      <x:c r="B309" s="2" t="str">
        <x:v>Cropped area</x:v>
      </x:c>
      <x:c r="C309" s="2" t="n">
        <x:v>2031</x:v>
      </x:c>
      <x:c r="D309" s="16" t="n">
        <x:f>Inputs!H15</x:f>
        <x:v>286230</x:v>
      </x:c>
      <x:c r="E309" s="16" t="n">
        <x:f>D309*'Cohort factors'!C39</x:f>
        <x:v>11926.25</x:v>
      </x:c>
      <x:c r="F309" s="16" t="n">
        <x:f>D309*'Cohort factors'!D39</x:f>
        <x:v>59631.25</x:v>
      </x:c>
      <x:c r="G309" s="16" t="n">
        <x:f>F309*Inputs!D15</x:f>
        <x:v>2839583.3333333335</x:v>
      </x:c>
      <x:c r="H309" s="16" t="n">
        <x:f>D309*Inputs!D15*'Cohort factors'!E39*Inputs!$B$5/1000</x:f>
        <x:v>23079.31512443333</x:v>
      </x:c>
      <x:c r="I309" s="16" t="n">
        <x:f>H309*Inputs!$B$10</x:f>
        <x:v>5762.267989912777</x:v>
      </x:c>
      <x:c r="J309" s="16" t="n">
        <x:f>D309*T309*Inputs!$B$8*U309</x:f>
        <x:v>7764.143713603121</x:v>
      </x:c>
      <x:c r="K309" s="16" t="n">
        <x:f>SUM(H309:J309)</x:f>
        <x:v>36605.72682794923</x:v>
      </x:c>
      <x:c r="L309" s="16" t="n">
        <x:f>H309-H308</x:f>
        <x:v>12159.614530555562</x:v>
      </x:c>
      <x:c r="M309" s="16" t="n">
        <x:f>K309-K308</x:f>
        <x:v>17783.58257402512</x:v>
      </x:c>
      <x:c r="N309" s="16" t="n">
        <x:f>H309*44/12/1000000</x:f>
        <x:v>0.08462415545625555</x:v>
      </x:c>
      <x:c r="O309" s="16" t="n">
        <x:f>K309*44/12/1000000</x:f>
        <x:v>0.13422099836914717</x:v>
      </x:c>
      <x:c r="P309" s="16" t="n">
        <x:f>L309*44/12/1000000</x:f>
        <x:v>0.044585253278703725</x:v>
      </x:c>
      <x:c r="Q309" s="16" t="n">
        <x:f>M309*44/12/1000000</x:f>
        <x:v>0.06520646943809211</x:v>
      </x:c>
      <x:c r="R309" s="16" t="n">
        <x:f>O309</x:f>
        <x:v>0.13422099836914717</x:v>
      </x:c>
      <x:c r="S309" s="16" t="n">
        <x:f>Q309</x:f>
        <x:v>0.06520646943809211</x:v>
      </x:c>
      <x:c r="T309" s="2" t="n">
        <x:f>Inputs!E15/Inputs!F15</x:f>
        <x:v>0.06666666666666667</x:v>
      </x:c>
      <x:c r="U309" s="2" t="n">
        <x:f>'Cohort factors'!F39</x:f>
        <x:v>0.625</x:v>
      </x:c>
      <x:c r="V309" s="2" t="n">
        <x:f>D309*Inputs!D15*'Cohort factors'!G39*Inputs!$B$5/1000*44/12/1000000</x:f>
        <x:v>0.021663767961342895</x:v>
      </x:c>
    </x:row>
    <x:row r="310" ht="22" customHeight="1">
      <x:c r="A310" s="2" t="str">
        <x:v>CR_STEADY</x:v>
      </x:c>
      <x:c r="B310" s="2" t="str">
        <x:v>Cropped area</x:v>
      </x:c>
      <x:c r="C310" s="2" t="n">
        <x:v>2032</x:v>
      </x:c>
      <x:c r="D310" s="16" t="n">
        <x:f>Inputs!H15</x:f>
        <x:v>286230</x:v>
      </x:c>
      <x:c r="E310" s="16" t="n">
        <x:f>D310*'Cohort factors'!C40</x:f>
        <x:v>11926.25</x:v>
      </x:c>
      <x:c r="F310" s="16" t="n">
        <x:f>D310*'Cohort factors'!D40</x:f>
        <x:v>71557.5</x:v>
      </x:c>
      <x:c r="G310" s="16" t="n">
        <x:f>F310*Inputs!D15</x:f>
        <x:v>3407500</x:v>
      </x:c>
      <x:c r="H310" s="16" t="n">
        <x:f>D310*Inputs!D15*'Cohort factors'!E40*Inputs!$B$5/1000</x:f>
        <x:v>44446.28654901111</x:v>
      </x:c>
      <x:c r="I310" s="16" t="n">
        <x:f>H310*Inputs!$B$10</x:f>
        <x:v>11097.011019218702</x:v>
      </x:c>
      <x:c r="J310" s="16" t="n">
        <x:f>D310*T310*Inputs!$B$8*U310</x:f>
        <x:v>10869.80119904437</x:v>
      </x:c>
      <x:c r="K310" s="16" t="n">
        <x:f>SUM(H310:J310)</x:f>
        <x:v>66413.09876727418</x:v>
      </x:c>
      <x:c r="L310" s="16" t="n">
        <x:f>H310-H309</x:f>
        <x:v>21366.971424577776</x:v>
      </x:c>
      <x:c r="M310" s="16" t="n">
        <x:f>K310-K309</x:f>
        <x:v>29807.37193932495</x:v>
      </x:c>
      <x:c r="N310" s="16" t="n">
        <x:f>H310*44/12/1000000</x:f>
        <x:v>0.16296971734637405</x:v>
      </x:c>
      <x:c r="O310" s="16" t="n">
        <x:f>K310*44/12/1000000</x:f>
        <x:v>0.24351469548000532</x:v>
      </x:c>
      <x:c r="P310" s="16" t="n">
        <x:f>L310*44/12/1000000</x:f>
        <x:v>0.07834556189011851</x:v>
      </x:c>
      <x:c r="Q310" s="16" t="n">
        <x:f>M310*44/12/1000000</x:f>
        <x:v>0.10929369711085815</x:v>
      </x:c>
      <x:c r="R310" s="16" t="n">
        <x:f>O310</x:f>
        <x:v>0.24351469548000532</x:v>
      </x:c>
      <x:c r="S310" s="16" t="n">
        <x:f>Q310</x:f>
        <x:v>0.10929369711085815</x:v>
      </x:c>
      <x:c r="T310" s="2" t="n">
        <x:f>Inputs!E15/Inputs!F15</x:f>
        <x:v>0.06666666666666667</x:v>
      </x:c>
      <x:c r="U310" s="2" t="n">
        <x:f>'Cohort factors'!F40</x:f>
        <x:v>0.875</x:v>
      </x:c>
      <x:c r="V310" s="2" t="n">
        <x:f>D310*Inputs!D15*'Cohort factors'!G40*Inputs!$B$5/1000*44/12/1000000</x:f>
        <x:v>0.03472136160969598</x:v>
      </x:c>
    </x:row>
    <x:row r="311" ht="22" customHeight="1">
      <x:c r="A311" s="2" t="str">
        <x:v>CR_STEADY</x:v>
      </x:c>
      <x:c r="B311" s="2" t="str">
        <x:v>Cropped area</x:v>
      </x:c>
      <x:c r="C311" s="2" t="n">
        <x:v>2033</x:v>
      </x:c>
      <x:c r="D311" s="16" t="n">
        <x:f>Inputs!H15</x:f>
        <x:v>286230</x:v>
      </x:c>
      <x:c r="E311" s="16" t="n">
        <x:f>D311*'Cohort factors'!C41</x:f>
        <x:v>11926.25</x:v>
      </x:c>
      <x:c r="F311" s="16" t="n">
        <x:f>D311*'Cohort factors'!D41</x:f>
        <x:v>83483.75</x:v>
      </x:c>
      <x:c r="G311" s="16" t="n">
        <x:f>F311*Inputs!D15</x:f>
        <x:v>3975416.666666667</x:v>
      </x:c>
      <x:c r="H311" s="16" t="n">
        <x:f>D311*Inputs!D15*'Cohort factors'!E41*Inputs!$B$5/1000</x:f>
        <x:v>69771.64730722591</x:v>
      </x:c>
      <x:c r="I311" s="16" t="n">
        <x:f>H311*Inputs!$B$10</x:f>
        <x:v>17420.054612291413</x:v>
      </x:c>
      <x:c r="J311" s="16" t="n">
        <x:f>D311*T311*Inputs!$B$8*U311</x:f>
        <x:v>14493.068265392494</x:v>
      </x:c>
      <x:c r="K311" s="16" t="n">
        <x:f>SUM(H311:J311)</x:f>
        <x:v>101684.77018490981</x:v>
      </x:c>
      <x:c r="L311" s="16" t="n">
        <x:f>H311-H310</x:f>
        <x:v>25325.360758214803</x:v>
      </x:c>
      <x:c r="M311" s="16" t="n">
        <x:f>K311-K310</x:f>
        <x:v>35271.67141763563</x:v>
      </x:c>
      <x:c r="N311" s="16" t="n">
        <x:f>H311*44/12/1000000</x:f>
        <x:v>0.2558293734598283</x:v>
      </x:c>
      <x:c r="O311" s="16" t="n">
        <x:f>K311*44/12/1000000</x:f>
        <x:v>0.3728441573446693</x:v>
      </x:c>
      <x:c r="P311" s="16" t="n">
        <x:f>L311*44/12/1000000</x:f>
        <x:v>0.09285965611345427</x:v>
      </x:c>
      <x:c r="Q311" s="16" t="n">
        <x:f>M311*44/12/1000000</x:f>
        <x:v>0.12932946186466399</x:v>
      </x:c>
      <x:c r="R311" s="16" t="n">
        <x:f>O311</x:f>
        <x:v>0.3728441573446693</x:v>
      </x:c>
      <x:c r="S311" s="16" t="n">
        <x:f>Q311</x:f>
        <x:v>0.12932946186466399</x:v>
      </x:c>
      <x:c r="T311" s="2" t="n">
        <x:f>Inputs!E15/Inputs!F15</x:f>
        <x:v>0.06666666666666667</x:v>
      </x:c>
      <x:c r="U311" s="2" t="n">
        <x:f>'Cohort factors'!F41</x:f>
        <x:v>1.1666666666666667</x:v>
      </x:c>
      <x:c r="V311" s="2" t="n">
        <x:f>D311*Inputs!D15*'Cohort factors'!G41*Inputs!$B$5/1000*44/12/1000000</x:f>
        <x:v>0.047987026768760876</x:v>
      </x:c>
    </x:row>
    <x:row r="312" ht="22" customHeight="1">
      <x:c r="A312" s="2" t="str">
        <x:v>CR_STEADY</x:v>
      </x:c>
      <x:c r="B312" s="2" t="str">
        <x:v>Cropped area</x:v>
      </x:c>
      <x:c r="C312" s="2" t="n">
        <x:v>2034</x:v>
      </x:c>
      <x:c r="D312" s="16" t="n">
        <x:f>Inputs!H15</x:f>
        <x:v>286230</x:v>
      </x:c>
      <x:c r="E312" s="16" t="n">
        <x:f>D312*'Cohort factors'!C42</x:f>
        <x:v>11926.25</x:v>
      </x:c>
      <x:c r="F312" s="16" t="n">
        <x:f>D312*'Cohort factors'!D42</x:f>
        <x:v>95410</x:v>
      </x:c>
      <x:c r="G312" s="16" t="n">
        <x:f>F312*Inputs!D15</x:f>
        <x:v>4543333.333333333</x:v>
      </x:c>
      <x:c r="H312" s="16" t="n">
        <x:f>D312*Inputs!D15*'Cohort factors'!E42*Inputs!$B$5/1000</x:f>
        <x:v>99055.39739907776</x:v>
      </x:c>
      <x:c r="I312" s="16" t="n">
        <x:f>H312*Inputs!$B$10</x:f>
        <x:v>24731.39876913092</x:v>
      </x:c>
      <x:c r="J312" s="16" t="n">
        <x:f>D312*T312*Inputs!$B$8*U312</x:f>
        <x:v>18633.94491264749</x:v>
      </x:c>
      <x:c r="K312" s="16" t="n">
        <x:f>SUM(H312:J312)</x:f>
        <x:v>142420.74108085615</x:v>
      </x:c>
      <x:c r="L312" s="16" t="n">
        <x:f>H312-H311</x:f>
        <x:v>29283.75009185185</x:v>
      </x:c>
      <x:c r="M312" s="16" t="n">
        <x:f>K312-K311</x:f>
        <x:v>40735.970895946346</x:v>
      </x:c>
      <x:c r="N312" s="16" t="n">
        <x:f>H312*44/12/1000000</x:f>
        <x:v>0.3632031237966185</x:v>
      </x:c>
      <x:c r="O312" s="16" t="n">
        <x:f>K312*44/12/1000000</x:f>
        <x:v>0.5222093839631393</x:v>
      </x:c>
      <x:c r="P312" s="16" t="n">
        <x:f>L312*44/12/1000000</x:f>
        <x:v>0.10737375033679011</x:v>
      </x:c>
      <x:c r="Q312" s="16" t="n">
        <x:f>M312*44/12/1000000</x:f>
        <x:v>0.14936522661846993</x:v>
      </x:c>
      <x:c r="R312" s="16" t="n">
        <x:f>O312</x:f>
        <x:v>0.5222093839631393</x:v>
      </x:c>
      <x:c r="S312" s="16" t="n">
        <x:f>Q312</x:f>
        <x:v>0.14936522661846993</x:v>
      </x:c>
      <x:c r="T312" s="2" t="n">
        <x:f>Inputs!E15/Inputs!F15</x:f>
        <x:v>0.06666666666666667</x:v>
      </x:c>
      <x:c r="U312" s="2" t="n">
        <x:f>'Cohort factors'!F42</x:f>
        <x:v>1.5</x:v>
      </x:c>
      <x:c r="V312" s="2" t="n">
        <x:f>D312*Inputs!D15*'Cohort factors'!G42*Inputs!$B$5/1000*44/12/1000000</x:f>
        <x:v>0.06140874556085965</x:v>
      </x:c>
    </x:row>
    <x:row r="313" ht="22" customHeight="1">
      <x:c r="A313" s="2" t="str">
        <x:v>CR_STEADY</x:v>
      </x:c>
      <x:c r="B313" s="2" t="str">
        <x:v>Cropped area</x:v>
      </x:c>
      <x:c r="C313" s="2" t="n">
        <x:v>2035</x:v>
      </x:c>
      <x:c r="D313" s="16" t="n">
        <x:f>Inputs!H15</x:f>
        <x:v>286230</x:v>
      </x:c>
      <x:c r="E313" s="16" t="n">
        <x:f>D313*'Cohort factors'!C43</x:f>
        <x:v>11926.25</x:v>
      </x:c>
      <x:c r="F313" s="16" t="n">
        <x:f>D313*'Cohort factors'!D43</x:f>
        <x:v>107336.25</x:v>
      </x:c>
      <x:c r="G313" s="16" t="n">
        <x:f>F313*Inputs!D15</x:f>
        <x:v>5111250</x:v>
      </x:c>
      <x:c r="H313" s="16" t="n">
        <x:f>D313*Inputs!D15*'Cohort factors'!E43*Inputs!$B$5/1000</x:f>
        <x:v>132297.5368245666</x:v>
      </x:c>
      <x:c r="I313" s="16" t="n">
        <x:f>H313*Inputs!$B$10</x:f>
        <x:v>33031.0434897372</x:v>
      </x:c>
      <x:c r="J313" s="16" t="n">
        <x:f>D313*T313*Inputs!$B$8*U313</x:f>
        <x:v>23292.431140809364</x:v>
      </x:c>
      <x:c r="K313" s="16" t="n">
        <x:f>SUM(H313:J313)</x:f>
        <x:v>188621.01145511318</x:v>
      </x:c>
      <x:c r="L313" s="16" t="n">
        <x:f>H313-H312</x:f>
        <x:v>33242.139425488844</x:v>
      </x:c>
      <x:c r="M313" s="16" t="n">
        <x:f>K313-K312</x:f>
        <x:v>46200.27037425703</x:v>
      </x:c>
      <x:c r="N313" s="16" t="n">
        <x:f>H313*44/12/1000000</x:f>
        <x:v>0.4850909683567442</x:v>
      </x:c>
      <x:c r="O313" s="16" t="n">
        <x:f>K313*44/12/1000000</x:f>
        <x:v>0.691610375335415</x:v>
      </x:c>
      <x:c r="P313" s="16" t="n">
        <x:f>L313*44/12/1000000</x:f>
        <x:v>0.12188784456012577</x:v>
      </x:c>
      <x:c r="Q313" s="16" t="n">
        <x:f>M313*44/12/1000000</x:f>
        <x:v>0.16940099137227577</x:v>
      </x:c>
      <x:c r="R313" s="16" t="n">
        <x:f>O313</x:f>
        <x:v>0.691610375335415</x:v>
      </x:c>
      <x:c r="S313" s="16" t="n">
        <x:f>Q313</x:f>
        <x:v>0.16940099137227577</x:v>
      </x:c>
      <x:c r="T313" s="2" t="n">
        <x:f>Inputs!E15/Inputs!F15</x:f>
        <x:v>0.06666666666666667</x:v>
      </x:c>
      <x:c r="U313" s="2" t="n">
        <x:f>'Cohort factors'!F43</x:f>
        <x:v>1.875</x:v>
      </x:c>
      <x:c r="V313" s="2" t="n">
        <x:f>D313*Inputs!D15*'Cohort factors'!G43*Inputs!$B$5/1000*44/12/1000000</x:f>
        <x:v>0.07495183940087362</x:v>
      </x:c>
    </x:row>
    <x:row r="314" ht="22" customHeight="1">
      <x:c r="A314" s="2" t="str">
        <x:v>CR_STEADY</x:v>
      </x:c>
      <x:c r="B314" s="2" t="str">
        <x:v>Cropped area</x:v>
      </x:c>
      <x:c r="C314" s="2" t="n">
        <x:v>2036</x:v>
      </x:c>
      <x:c r="D314" s="16" t="n">
        <x:f>Inputs!H15</x:f>
        <x:v>286230</x:v>
      </x:c>
      <x:c r="E314" s="16" t="n">
        <x:f>D314*'Cohort factors'!C44</x:f>
        <x:v>11926.25</x:v>
      </x:c>
      <x:c r="F314" s="16" t="n">
        <x:f>D314*'Cohort factors'!D44</x:f>
        <x:v>119262.5</x:v>
      </x:c>
      <x:c r="G314" s="16" t="n">
        <x:f>F314*Inputs!D15</x:f>
        <x:v>5679166.666666667</x:v>
      </x:c>
      <x:c r="H314" s="16" t="n">
        <x:f>D314*Inputs!D15*'Cohort factors'!E44*Inputs!$B$5/1000</x:f>
        <x:v>172235.4925768888</x:v>
      </x:c>
      <x:c r="I314" s="16" t="n">
        <x:f>H314*Inputs!$B$10</x:f>
        <x:v>43002.4487404296</x:v>
      </x:c>
      <x:c r="J314" s="16" t="n">
        <x:f>D314*T314*Inputs!$B$8*U314</x:f>
        <x:v>28468.52694987811</x:v>
      </x:c>
      <x:c r="K314" s="16" t="n">
        <x:f>SUM(H314:J314)</x:f>
        <x:v>243706.4682671965</x:v>
      </x:c>
      <x:c r="L314" s="16" t="n">
        <x:f>H314-H313</x:f>
        <x:v>39937.95575232219</x:v>
      </x:c>
      <x:c r="M314" s="16" t="n">
        <x:f>K314-K313</x:f>
        <x:v>55085.456812083314</x:v>
      </x:c>
      <x:c r="N314" s="16" t="n">
        <x:f>H314*44/12/1000000</x:f>
        <x:v>0.6315301394485922</x:v>
      </x:c>
      <x:c r="O314" s="16" t="n">
        <x:f>K314*44/12/1000000</x:f>
        <x:v>0.8935903836463871</x:v>
      </x:c>
      <x:c r="P314" s="16" t="n">
        <x:f>L314*44/12/1000000</x:f>
        <x:v>0.14643917109184804</x:v>
      </x:c>
      <x:c r="Q314" s="16" t="n">
        <x:f>M314*44/12/1000000</x:f>
        <x:v>0.20198000831097215</x:v>
      </x:c>
      <x:c r="R314" s="16" t="n">
        <x:f>O314</x:f>
        <x:v>0.8935903836463871</x:v>
      </x:c>
      <x:c r="S314" s="16" t="n">
        <x:f>Q314</x:f>
        <x:v>0.20198000831097215</x:v>
      </x:c>
      <x:c r="T314" s="2" t="n">
        <x:f>Inputs!E15/Inputs!F15</x:f>
        <x:v>0.06666666666666667</x:v>
      </x:c>
      <x:c r="U314" s="2" t="n">
        <x:f>'Cohort factors'!F44</x:f>
        <x:v>2.2916666666666665</x:v>
      </x:c>
      <x:c r="V314" s="2" t="n">
        <x:f>D314*Inputs!D15*'Cohort factors'!G44*Inputs!$B$5/1000*44/12/1000000</x:f>
        <x:v>0.08959575651005844</x:v>
      </x:c>
    </x:row>
    <x:row r="315" ht="22" customHeight="1">
      <x:c r="A315" s="2" t="str">
        <x:v>CR_STEADY</x:v>
      </x:c>
      <x:c r="B315" s="2" t="str">
        <x:v>Cropped area</x:v>
      </x:c>
      <x:c r="C315" s="2" t="n">
        <x:v>2037</x:v>
      </x:c>
      <x:c r="D315" s="16" t="n">
        <x:f>Inputs!H15</x:f>
        <x:v>286230</x:v>
      </x:c>
      <x:c r="E315" s="16" t="n">
        <x:f>D315*'Cohort factors'!C45</x:f>
        <x:v>11926.25</x:v>
      </x:c>
      <x:c r="F315" s="16" t="n">
        <x:f>D315*'Cohort factors'!D45</x:f>
        <x:v>131188.75</x:v>
      </x:c>
      <x:c r="G315" s="16" t="n">
        <x:f>F315*Inputs!D15</x:f>
        <x:v>6247083.333333334</x:v>
      </x:c>
      <x:c r="H315" s="16" t="n">
        <x:f>D315*Inputs!D15*'Cohort factors'!E45*Inputs!$B$5/1000</x:f>
        <x:v>222029.26046949983</x:v>
      </x:c>
      <x:c r="I315" s="16" t="n">
        <x:f>H315*Inputs!$B$10</x:f>
        <x:v>55434.57825890829</x:v>
      </x:c>
      <x:c r="J315" s="16" t="n">
        <x:f>D315*T315*Inputs!$B$8*U315</x:f>
        <x:v>34162.232339853734</x:v>
      </x:c>
      <x:c r="K315" s="16" t="n">
        <x:f>SUM(H315:J315)</x:f>
        <x:v>311626.0710682618</x:v>
      </x:c>
      <x:c r="L315" s="16" t="n">
        <x:f>H315-H314</x:f>
        <x:v>49793.76789261104</x:v>
      </x:c>
      <x:c r="M315" s="16" t="n">
        <x:f>K315-K314</x:f>
        <x:v>67919.60280106531</x:v>
      </x:c>
      <x:c r="N315" s="16" t="n">
        <x:f>H315*44/12/1000000</x:f>
        <x:v>0.8141072883881662</x:v>
      </x:c>
      <x:c r="O315" s="16" t="n">
        <x:f>K315*44/12/1000000</x:f>
        <x:v>1.1426289272502934</x:v>
      </x:c>
      <x:c r="P315" s="16" t="n">
        <x:f>L315*44/12/1000000</x:f>
        <x:v>0.18257714893957383</x:v>
      </x:c>
      <x:c r="Q315" s="16" t="n">
        <x:f>M315*44/12/1000000</x:f>
        <x:v>0.24903854360390615</x:v>
      </x:c>
      <x:c r="R315" s="16" t="n">
        <x:f>O315</x:f>
        <x:v>1.1426289272502934</x:v>
      </x:c>
      <x:c r="S315" s="16" t="n">
        <x:f>Q315</x:f>
        <x:v>0.24903854360390615</x:v>
      </x:c>
      <x:c r="T315" s="2" t="n">
        <x:f>Inputs!E15/Inputs!F15</x:f>
        <x:v>0.06666666666666667</x:v>
      </x:c>
      <x:c r="U315" s="2" t="n">
        <x:f>'Cohort factors'!F45</x:f>
        <x:v>2.75</x:v>
      </x:c>
      <x:c r="V315" s="2" t="n">
        <x:f>D315*Inputs!D15*'Cohort factors'!G45*Inputs!$B$5/1000*44/12/1000000</x:f>
        <x:v>0.10619367914092877</x:v>
      </x:c>
    </x:row>
    <x:row r="316" ht="22" customHeight="1">
      <x:c r="A316" s="2" t="str">
        <x:v>CR_STEADY</x:v>
      </x:c>
      <x:c r="B316" s="2" t="str">
        <x:v>Cropped area</x:v>
      </x:c>
      <x:c r="C316" s="2" t="n">
        <x:v>2038</x:v>
      </x:c>
      <x:c r="D316" s="16" t="n">
        <x:f>Inputs!H15</x:f>
        <x:v>286230</x:v>
      </x:c>
      <x:c r="E316" s="16" t="n">
        <x:f>D316*'Cohort factors'!C46</x:f>
        <x:v>11926.25</x:v>
      </x:c>
      <x:c r="F316" s="16" t="n">
        <x:f>D316*'Cohort factors'!D46</x:f>
        <x:v>143115</x:v>
      </x:c>
      <x:c r="G316" s="16" t="n">
        <x:f>F316*Inputs!D15</x:f>
        <x:v>6815000</x:v>
      </x:c>
      <x:c r="H316" s="16" t="n">
        <x:f>D316*Inputs!D15*'Cohort factors'!E46*Inputs!$B$5/1000</x:f>
        <x:v>281678.8405023997</x:v>
      </x:c>
      <x:c r="I316" s="16" t="n">
        <x:f>H316*Inputs!$B$10</x:f>
        <x:v>70327.43204517326</x:v>
      </x:c>
      <x:c r="J316" s="16" t="n">
        <x:f>D316*T316*Inputs!$B$8*U316</x:f>
        <x:v>40373.54731073623</x:v>
      </x:c>
      <x:c r="K316" s="16" t="n">
        <x:f>SUM(H316:J316)</x:f>
        <x:v>392379.8198583092</x:v>
      </x:c>
      <x:c r="L316" s="16" t="n">
        <x:f>H316-H315</x:f>
        <x:v>59649.58003289989</x:v>
      </x:c>
      <x:c r="M316" s="16" t="n">
        <x:f>K316-K315</x:f>
        <x:v>80753.74879004736</x:v>
      </x:c>
      <x:c r="N316" s="16" t="n">
        <x:f>H316*44/12/1000000</x:f>
        <x:v>1.0328224151754655</x:v>
      </x:c>
      <x:c r="O316" s="16" t="n">
        <x:f>K316*44/12/1000000</x:f>
        <x:v>1.4387260061471334</x:v>
      </x:c>
      <x:c r="P316" s="16" t="n">
        <x:f>L316*44/12/1000000</x:f>
        <x:v>0.21871512678729962</x:v>
      </x:c>
      <x:c r="Q316" s="16" t="n">
        <x:f>M316*44/12/1000000</x:f>
        <x:v>0.29609707889684034</x:v>
      </x:c>
      <x:c r="R316" s="16" t="n">
        <x:f>O316</x:f>
        <x:v>1.4387260061471334</x:v>
      </x:c>
      <x:c r="S316" s="16" t="n">
        <x:f>Q316</x:f>
        <x:v>0.29609707889684034</x:v>
      </x:c>
      <x:c r="T316" s="2" t="n">
        <x:f>Inputs!E15/Inputs!F15</x:f>
        <x:v>0.06666666666666667</x:v>
      </x:c>
      <x:c r="U316" s="2" t="n">
        <x:f>'Cohort factors'!F46</x:f>
        <x:v>3.25</x:v>
      </x:c>
      <x:c r="V316" s="2" t="n">
        <x:f>D316*Inputs!D15*'Cohort factors'!G46*Inputs!$B$5/1000*44/12/1000000</x:f>
        <x:v>0.1244199397065371</x:v>
      </x:c>
    </x:row>
    <x:row r="317" ht="22" customHeight="1">
      <x:c r="A317" s="2" t="str">
        <x:v>CR_STEADY</x:v>
      </x:c>
      <x:c r="B317" s="2" t="str">
        <x:v>Cropped area</x:v>
      </x:c>
      <x:c r="C317" s="2" t="n">
        <x:v>2039</x:v>
      </x:c>
      <x:c r="D317" s="16" t="n">
        <x:f>Inputs!H15</x:f>
        <x:v>286230</x:v>
      </x:c>
      <x:c r="E317" s="16" t="n">
        <x:f>D317*'Cohort factors'!C47</x:f>
        <x:v>11926.25</x:v>
      </x:c>
      <x:c r="F317" s="16" t="n">
        <x:f>D317*'Cohort factors'!D47</x:f>
        <x:v>155041.25</x:v>
      </x:c>
      <x:c r="G317" s="16" t="n">
        <x:f>F317*Inputs!D15</x:f>
        <x:v>7382916.666666667</x:v>
      </x:c>
      <x:c r="H317" s="16" t="n">
        <x:f>D317*Inputs!D15*'Cohort factors'!E47*Inputs!$B$5/1000</x:f>
        <x:v>351184.23267558846</x:v>
      </x:c>
      <x:c r="I317" s="16" t="n">
        <x:f>H317*Inputs!$B$10</x:f>
        <x:v>87681.01009922451</x:v>
      </x:c>
      <x:c r="J317" s="16" t="n">
        <x:f>D317*T317*Inputs!$B$8*U317</x:f>
        <x:v>47102.4718625256</x:v>
      </x:c>
      <x:c r="K317" s="16" t="n">
        <x:f>SUM(H317:J317)</x:f>
        <x:v>485967.7146373386</x:v>
      </x:c>
      <x:c r="L317" s="16" t="n">
        <x:f>H317-H316</x:f>
        <x:v>69505.39217318874</x:v>
      </x:c>
      <x:c r="M317" s="16" t="n">
        <x:f>K317-K316</x:f>
        <x:v>93587.89477902942</x:v>
      </x:c>
      <x:c r="N317" s="16" t="n">
        <x:f>H317*44/12/1000000</x:f>
        <x:v>1.287675519810491</x:v>
      </x:c>
      <x:c r="O317" s="16" t="n">
        <x:f>K317*44/12/1000000</x:f>
        <x:v>1.7818816203369081</x:v>
      </x:c>
      <x:c r="P317" s="16" t="n">
        <x:f>L317*44/12/1000000</x:f>
        <x:v>0.25485310463502536</x:v>
      </x:c>
      <x:c r="Q317" s="16" t="n">
        <x:f>M317*44/12/1000000</x:f>
        <x:v>0.3431556141897745</x:v>
      </x:c>
      <x:c r="R317" s="16" t="n">
        <x:f>O317</x:f>
        <x:v>1.7818816203369081</x:v>
      </x:c>
      <x:c r="S317" s="16" t="n">
        <x:f>Q317</x:f>
        <x:v>0.3431556141897745</x:v>
      </x:c>
      <x:c r="T317" s="2" t="n">
        <x:f>Inputs!E15/Inputs!F15</x:f>
        <x:v>0.06666666666666667</x:v>
      </x:c>
      <x:c r="U317" s="2" t="n">
        <x:f>'Cohort factors'!F47</x:f>
        <x:v>3.7916666666666665</x:v>
      </x:c>
      <x:c r="V317" s="2" t="n">
        <x:f>D317*Inputs!D15*'Cohort factors'!G47*Inputs!$B$5/1000*44/12/1000000</x:f>
        <x:v>0.1440240246784621</x:v>
      </x:c>
    </x:row>
    <x:row r="318" ht="22" customHeight="1">
      <x:c r="A318" s="2" t="str">
        <x:v>CR_STEADY</x:v>
      </x:c>
      <x:c r="B318" s="2" t="str">
        <x:v>Cropped area</x:v>
      </x:c>
      <x:c r="C318" s="2" t="n">
        <x:v>2040</x:v>
      </x:c>
      <x:c r="D318" s="16" t="n">
        <x:f>Inputs!H15</x:f>
        <x:v>286230</x:v>
      </x:c>
      <x:c r="E318" s="16" t="n">
        <x:f>D318*'Cohort factors'!C48</x:f>
        <x:v>11926.25</x:v>
      </x:c>
      <x:c r="F318" s="16" t="n">
        <x:f>D318*'Cohort factors'!D48</x:f>
        <x:v>166967.5</x:v>
      </x:c>
      <x:c r="G318" s="16" t="n">
        <x:f>F318*Inputs!D15</x:f>
        <x:v>7950833.333333334</x:v>
      </x:c>
      <x:c r="H318" s="16" t="n">
        <x:f>D318*Inputs!D15*'Cohort factors'!E48*Inputs!$B$5/1000</x:f>
        <x:v>426975.61701617716</x:v>
      </x:c>
      <x:c r="I318" s="16" t="n">
        <x:f>H318*Inputs!$B$10</x:f>
        <x:v>106604.02690203243</x:v>
      </x:c>
      <x:c r="J318" s="16" t="n">
        <x:f>D318*T318*Inputs!$B$8*U318</x:f>
        <x:v>54349.00599522184</x:v>
      </x:c>
      <x:c r="K318" s="16" t="n">
        <x:f>SUM(H318:J318)</x:f>
        <x:v>587928.6499134314</x:v>
      </x:c>
      <x:c r="L318" s="16" t="n">
        <x:f>H318-H317</x:f>
        <x:v>75791.3843405887</x:v>
      </x:c>
      <x:c r="M318" s="16" t="n">
        <x:f>K318-K317</x:f>
        <x:v>101960.93527609279</x:v>
      </x:c>
      <x:c r="N318" s="16" t="n">
        <x:f>H318*44/12/1000000</x:f>
        <x:v>1.5655772623926494</x:v>
      </x:c>
      <x:c r="O318" s="16" t="n">
        <x:f>K318*44/12/1000000</x:f>
        <x:v>2.1557383830159154</x:v>
      </x:c>
      <x:c r="P318" s="16" t="n">
        <x:f>L318*44/12/1000000</x:f>
        <x:v>0.2779017425821586</x:v>
      </x:c>
      <x:c r="Q318" s="16" t="n">
        <x:f>M318*44/12/1000000</x:f>
        <x:v>0.3738567626790069</x:v>
      </x:c>
      <x:c r="R318" s="16" t="n">
        <x:f>O318</x:f>
        <x:v>2.1557383830159154</x:v>
      </x:c>
      <x:c r="S318" s="16" t="n">
        <x:f>Q318</x:f>
        <x:v>0.3738567626790069</x:v>
      </x:c>
      <x:c r="T318" s="2" t="n">
        <x:f>Inputs!E15/Inputs!F15</x:f>
        <x:v>0.06666666666666667</x:v>
      </x:c>
      <x:c r="U318" s="2" t="n">
        <x:f>'Cohort factors'!F48</x:f>
        <x:v>4.375</x:v>
      </x:c>
      <x:c r="V318" s="2" t="n">
        <x:f>D318*Inputs!D15*'Cohort factors'!G48*Inputs!$B$5/1000*44/12/1000000</x:f>
        <x:v>0.16387414914861628</x:v>
      </x:c>
    </x:row>
    <x:row r="319" ht="22" customHeight="1">
      <x:c r="A319" s="2" t="str">
        <x:v>CR_STEADY</x:v>
      </x:c>
      <x:c r="B319" s="2" t="str">
        <x:v>Cropped area</x:v>
      </x:c>
      <x:c r="C319" s="2" t="n">
        <x:v>2041</x:v>
      </x:c>
      <x:c r="D319" s="16" t="n">
        <x:f>Inputs!H15</x:f>
        <x:v>286230</x:v>
      </x:c>
      <x:c r="E319" s="16" t="n">
        <x:f>D319*'Cohort factors'!C49</x:f>
        <x:v>11926.25</x:v>
      </x:c>
      <x:c r="F319" s="16" t="n">
        <x:f>D319*'Cohort factors'!D49</x:f>
        <x:v>178893.75</x:v>
      </x:c>
      <x:c r="G319" s="16" t="n">
        <x:f>F319*Inputs!D15</x:f>
        <x:v>8518750</x:v>
      </x:c>
      <x:c r="H319" s="16" t="n">
        <x:f>D319*Inputs!D15*'Cohort factors'!E49*Inputs!$B$5/1000</x:f>
        <x:v>512820.14719833276</x:v>
      </x:c>
      <x:c r="I319" s="16" t="n">
        <x:f>H319*Inputs!$B$10</x:f>
        <x:v>128037.03675136095</x:v>
      </x:c>
      <x:c r="J319" s="16" t="n">
        <x:f>D319*T319*Inputs!$B$8*U319</x:f>
        <x:v>62113.14970882497</x:v>
      </x:c>
      <x:c r="K319" s="16" t="n">
        <x:f>SUM(H319:J319)</x:f>
        <x:v>702970.3336585186</x:v>
      </x:c>
      <x:c r="L319" s="16" t="n">
        <x:f>H319-H318</x:f>
        <x:v>85844.5301821556</x:v>
      </x:c>
      <x:c r="M319" s="16" t="n">
        <x:f>K319-K318</x:f>
        <x:v>115041.68374508724</x:v>
      </x:c>
      <x:c r="N319" s="16" t="n">
        <x:f>H319*44/12/1000000</x:f>
        <x:v>1.8803405397272202</x:v>
      </x:c>
      <x:c r="O319" s="16" t="n">
        <x:f>K319*44/12/1000000</x:f>
        <x:v>2.5775578900812346</x:v>
      </x:c>
      <x:c r="P319" s="16" t="n">
        <x:f>L319*44/12/1000000</x:f>
        <x:v>0.3147632773345706</x:v>
      </x:c>
      <x:c r="Q319" s="16" t="n">
        <x:f>M319*44/12/1000000</x:f>
        <x:v>0.4218195070653199</x:v>
      </x:c>
      <x:c r="R319" s="16" t="n">
        <x:f>O319</x:f>
        <x:v>2.5775578900812346</x:v>
      </x:c>
      <x:c r="S319" s="16" t="n">
        <x:f>Q319</x:f>
        <x:v>0.4218195070653199</x:v>
      </x:c>
      <x:c r="T319" s="2" t="n">
        <x:f>Inputs!E15/Inputs!F15</x:f>
        <x:v>0.06666666666666667</x:v>
      </x:c>
      <x:c r="U319" s="2" t="n">
        <x:f>'Cohort factors'!F49</x:f>
        <x:v>5</x:v>
      </x:c>
      <x:c r="V319" s="2" t="n">
        <x:f>D319*Inputs!D15*'Cohort factors'!G49*Inputs!$B$5/1000*44/12/1000000</x:f>
        <x:v>0.18485836763758762</x:v>
      </x:c>
    </x:row>
    <x:row r="320" ht="22" customHeight="1">
      <x:c r="A320" s="2" t="str">
        <x:v>CR_STEADY</x:v>
      </x:c>
      <x:c r="B320" s="2" t="str">
        <x:v>Cropped area</x:v>
      </x:c>
      <x:c r="C320" s="2" t="n">
        <x:v>2042</x:v>
      </x:c>
      <x:c r="D320" s="16" t="n">
        <x:f>Inputs!H15</x:f>
        <x:v>286230</x:v>
      </x:c>
      <x:c r="E320" s="16" t="n">
        <x:f>D320*'Cohort factors'!C50</x:f>
        <x:v>11926.25</x:v>
      </x:c>
      <x:c r="F320" s="16" t="n">
        <x:f>D320*'Cohort factors'!D50</x:f>
        <x:v>190820</x:v>
      </x:c>
      <x:c r="G320" s="16" t="n">
        <x:f>F320*Inputs!D15</x:f>
        <x:v>9086666.666666666</x:v>
      </x:c>
      <x:c r="H320" s="16" t="n">
        <x:f>D320*Inputs!D15*'Cohort factors'!E50*Inputs!$B$5/1000</x:f>
        <x:v>609563.9018676771</x:v>
      </x:c>
      <x:c r="I320" s="16" t="n">
        <x:f>H320*Inputs!$B$10</x:f>
        <x:v>152191.28213297407</x:v>
      </x:c>
      <x:c r="J320" s="16" t="n">
        <x:f>D320*T320*Inputs!$B$8*U320</x:f>
        <x:v>70394.90300333497</x:v>
      </x:c>
      <x:c r="K320" s="16" t="n">
        <x:f>SUM(H320:J320)</x:f>
        <x:v>832150.0870039861</x:v>
      </x:c>
      <x:c r="L320" s="16" t="n">
        <x:f>H320-H319</x:f>
        <x:v>96743.75466934434</x:v>
      </x:c>
      <x:c r="M320" s="16" t="n">
        <x:f>K320-K319</x:f>
        <x:v>129179.7533454675</x:v>
      </x:c>
      <x:c r="N320" s="16" t="n">
        <x:f>H320*44/12/1000000</x:f>
        <x:v>2.235067640181483</x:v>
      </x:c>
      <x:c r="O320" s="16" t="n">
        <x:f>K320*44/12/1000000</x:f>
        <x:v>3.0512169856812825</x:v>
      </x:c>
      <x:c r="P320" s="16" t="n">
        <x:f>L320*44/12/1000000</x:f>
        <x:v>0.35472710045426264</x:v>
      </x:c>
      <x:c r="Q320" s="16" t="n">
        <x:f>M320*44/12/1000000</x:f>
        <x:v>0.47365909560004743</x:v>
      </x:c>
      <x:c r="R320" s="16" t="n">
        <x:f>O320</x:f>
        <x:v>3.0512169856812825</x:v>
      </x:c>
      <x:c r="S320" s="16" t="n">
        <x:f>Q320</x:f>
        <x:v>0.47365909560004743</x:v>
      </x:c>
      <x:c r="T320" s="2" t="n">
        <x:f>Inputs!E15/Inputs!F15</x:f>
        <x:v>0.06666666666666667</x:v>
      </x:c>
      <x:c r="U320" s="2" t="n">
        <x:f>'Cohort factors'!F50</x:f>
        <x:v>5.666666666666667</x:v>
      </x:c>
      <x:c r="V320" s="2" t="n">
        <x:f>D320*Inputs!D15*'Cohort factors'!G50*Inputs!$B$5/1000*44/12/1000000</x:f>
        <x:v>0.2070288114159791</x:v>
      </x:c>
    </x:row>
    <x:row r="321" ht="22" customHeight="1">
      <x:c r="A321" s="2" t="str">
        <x:v>CR_STEADY</x:v>
      </x:c>
      <x:c r="B321" s="2" t="str">
        <x:v>Cropped area</x:v>
      </x:c>
      <x:c r="C321" s="2" t="n">
        <x:v>2043</x:v>
      </x:c>
      <x:c r="D321" s="16" t="n">
        <x:f>Inputs!H15</x:f>
        <x:v>286230</x:v>
      </x:c>
      <x:c r="E321" s="16" t="n">
        <x:f>D321*'Cohort factors'!C51</x:f>
        <x:v>11926.25</x:v>
      </x:c>
      <x:c r="F321" s="16" t="n">
        <x:f>D321*'Cohort factors'!D51</x:f>
        <x:v>202746.25</x:v>
      </x:c>
      <x:c r="G321" s="16" t="n">
        <x:f>F321*Inputs!D15</x:f>
        <x:v>9654583.333333334</x:v>
      </x:c>
      <x:c r="H321" s="16" t="n">
        <x:f>D321*Inputs!D15*'Cohort factors'!E51*Inputs!$B$5/1000</x:f>
        <x:v>716466.1107117549</x:v>
      </x:c>
      <x:c r="I321" s="16" t="n">
        <x:f>H321*Inputs!$B$10</x:f>
        <x:v>178881.813145355</x:v>
      </x:c>
      <x:c r="J321" s="16" t="n">
        <x:f>D321*T321*Inputs!$B$8*U321</x:f>
        <x:v>79194.26587875183</x:v>
      </x:c>
      <x:c r="K321" s="16" t="n">
        <x:f>SUM(H321:J321)</x:f>
        <x:v>974542.1897358617</x:v>
      </x:c>
      <x:c r="L321" s="16" t="n">
        <x:f>H321-H320</x:f>
        <x:v>106902.20884407777</x:v>
      </x:c>
      <x:c r="M321" s="16" t="n">
        <x:f>K321-K320</x:f>
        <x:v>142392.1027318756</x:v>
      </x:c>
      <x:c r="N321" s="16" t="n">
        <x:f>H321*44/12/1000000</x:f>
        <x:v>2.6270424059431012</x:v>
      </x:c>
      <x:c r="O321" s="16" t="n">
        <x:f>K321*44/12/1000000</x:f>
        <x:v>3.573321362364826</x:v>
      </x:c>
      <x:c r="P321" s="16" t="n">
        <x:f>L321*44/12/1000000</x:f>
        <x:v>0.3919747657616185</x:v>
      </x:c>
      <x:c r="Q321" s="16" t="n">
        <x:f>M321*44/12/1000000</x:f>
        <x:v>0.5221043766835439</x:v>
      </x:c>
      <x:c r="R321" s="16" t="n">
        <x:f>O321</x:f>
        <x:v>3.573321362364826</x:v>
      </x:c>
      <x:c r="S321" s="16" t="n">
        <x:f>Q321</x:f>
        <x:v>0.5221043766835439</x:v>
      </x:c>
      <x:c r="T321" s="2" t="n">
        <x:f>Inputs!E15/Inputs!F15</x:f>
        <x:v>0.06666666666666667</x:v>
      </x:c>
      <x:c r="U321" s="2" t="n">
        <x:f>'Cohort factors'!F51</x:f>
        <x:v>6.375</x:v>
      </x:c>
      <x:c r="V321" s="2" t="n">
        <x:f>D321*Inputs!D15*'Cohort factors'!G51*Inputs!$B$5/1000*44/12/1000000</x:f>
        <x:v>0.23008615057842716</x:v>
      </x:c>
    </x:row>
    <x:row r="322" ht="22" customHeight="1">
      <x:c r="A322" s="2" t="str">
        <x:v>CR_STEADY</x:v>
      </x:c>
      <x:c r="B322" s="2" t="str">
        <x:v>Cropped area</x:v>
      </x:c>
      <x:c r="C322" s="2" t="n">
        <x:v>2044</x:v>
      </x:c>
      <x:c r="D322" s="16" t="n">
        <x:f>Inputs!H15</x:f>
        <x:v>286230</x:v>
      </x:c>
      <x:c r="E322" s="16" t="n">
        <x:f>D322*'Cohort factors'!C52</x:f>
        <x:v>11926.25</x:v>
      </x:c>
      <x:c r="F322" s="16" t="n">
        <x:f>D322*'Cohort factors'!D52</x:f>
        <x:v>214672.5</x:v>
      </x:c>
      <x:c r="G322" s="16" t="n">
        <x:f>F322*Inputs!D15</x:f>
        <x:v>10222500</x:v>
      </x:c>
      <x:c r="H322" s="16" t="n">
        <x:f>D322*Inputs!D15*'Cohort factors'!E52*Inputs!$B$5/1000</x:f>
        <x:v>834525.190418577</x:v>
      </x:c>
      <x:c r="I322" s="16" t="n">
        <x:f>H322*Inputs!$B$10</x:f>
        <x:v>208357.9068788724</x:v>
      </x:c>
      <x:c r="J322" s="16" t="n">
        <x:f>D322*T322*Inputs!$B$8*U322</x:f>
        <x:v>88511.23833507558</x:v>
      </x:c>
      <x:c r="K322" s="16" t="n">
        <x:f>SUM(H322:J322)</x:f>
        <x:v>1131394.3356325252</x:v>
      </x:c>
      <x:c r="L322" s="16" t="n">
        <x:f>H322-H321</x:f>
        <x:v>118059.07970682217</x:v>
      </x:c>
      <x:c r="M322" s="16" t="n">
        <x:f>K322-K321</x:f>
        <x:v>156852.14589666342</x:v>
      </x:c>
      <x:c r="N322" s="16" t="n">
        <x:f>H322*44/12/1000000</x:f>
        <x:v>3.0599256982014493</x:v>
      </x:c>
      <x:c r="O322" s="16" t="n">
        <x:f>K322*44/12/1000000</x:f>
        <x:v>4.1484458973192595</x:v>
      </x:c>
      <x:c r="P322" s="16" t="n">
        <x:f>L322*44/12/1000000</x:f>
        <x:v>0.43288329225834804</x:v>
      </x:c>
      <x:c r="Q322" s="16" t="n">
        <x:f>M322*44/12/1000000</x:f>
        <x:v>0.5751245349544325</x:v>
      </x:c>
      <x:c r="R322" s="16" t="n">
        <x:f>O322</x:f>
        <x:v>4.1484458973192595</x:v>
      </x:c>
      <x:c r="S322" s="16" t="n">
        <x:f>Q322</x:f>
        <x:v>0.5751245349544325</x:v>
      </x:c>
      <x:c r="T322" s="2" t="n">
        <x:f>Inputs!E15/Inputs!F15</x:f>
        <x:v>0.06666666666666667</x:v>
      </x:c>
      <x:c r="U322" s="2" t="n">
        <x:f>'Cohort factors'!F52</x:f>
        <x:v>7.125</x:v>
      </x:c>
      <x:c r="V322" s="2" t="n">
        <x:f>D322*Inputs!D15*'Cohort factors'!G52*Inputs!$B$5/1000*44/12/1000000</x:f>
        <x:v>0.2541352223705576</x:v>
      </x:c>
    </x:row>
    <x:row r="323" ht="22" customHeight="1">
      <x:c r="A323" s="2" t="str">
        <x:v>CR_STEADY</x:v>
      </x:c>
      <x:c r="B323" s="2" t="str">
        <x:v>Cropped area</x:v>
      </x:c>
      <x:c r="C323" s="2" t="n">
        <x:v>2045</x:v>
      </x:c>
      <x:c r="D323" s="16" t="n">
        <x:f>Inputs!H15</x:f>
        <x:v>286230</x:v>
      </x:c>
      <x:c r="E323" s="16" t="n">
        <x:f>D323*'Cohort factors'!C53</x:f>
        <x:v>11926.25</x:v>
      </x:c>
      <x:c r="F323" s="16" t="n">
        <x:f>D323*'Cohort factors'!D53</x:f>
        <x:v>226598.75</x:v>
      </x:c>
      <x:c r="G323" s="16" t="n">
        <x:f>F323*Inputs!D15</x:f>
        <x:v>10790416.666666666</x:v>
      </x:c>
      <x:c r="H323" s="16" t="n">
        <x:f>D323*Inputs!D15*'Cohort factors'!E53*Inputs!$B$5/1000</x:f>
        <x:v>960497.1758786548</x:v>
      </x:c>
      <x:c r="I323" s="16" t="n">
        <x:f>H323*Inputs!$B$10</x:f>
        <x:v>239809.63478018664</x:v>
      </x:c>
      <x:c r="J323" s="16" t="n">
        <x:f>D323*T323*Inputs!$B$8*U323</x:f>
        <x:v>98345.8203723062</x:v>
      </x:c>
      <x:c r="K323" s="16" t="n">
        <x:f>SUM(H323:J323)</x:f>
        <x:v>1298652.6310311477</x:v>
      </x:c>
      <x:c r="L323" s="16" t="n">
        <x:f>H323-H322</x:f>
        <x:v>125971.98546007776</x:v>
      </x:c>
      <x:c r="M323" s="16" t="n">
        <x:f>K323-K322</x:f>
        <x:v>167258.29539862252</x:v>
      </x:c>
      <x:c r="N323" s="16" t="n">
        <x:f>H323*44/12/1000000</x:f>
        <x:v>3.5218229782217345</x:v>
      </x:c>
      <x:c r="O323" s="16" t="n">
        <x:f>K323*44/12/1000000</x:f>
        <x:v>4.7617263137808745</x:v>
      </x:c>
      <x:c r="P323" s="16" t="n">
        <x:f>L323*44/12/1000000</x:f>
        <x:v>0.46189728002028513</x:v>
      </x:c>
      <x:c r="Q323" s="16" t="n">
        <x:f>M323*44/12/1000000</x:f>
        <x:v>0.6132804164616159</x:v>
      </x:c>
      <x:c r="R323" s="16" t="n">
        <x:f>O323</x:f>
        <x:v>4.7617263137808745</x:v>
      </x:c>
      <x:c r="S323" s="16" t="n">
        <x:f>Q323</x:f>
        <x:v>0.6132804164616159</x:v>
      </x:c>
      <x:c r="T323" s="2" t="n">
        <x:f>Inputs!E15/Inputs!F15</x:f>
        <x:v>0.06666666666666667</x:v>
      </x:c>
      <x:c r="U323" s="2" t="n">
        <x:f>'Cohort factors'!F53</x:f>
        <x:v>7.916666666666667</x:v>
      </x:c>
      <x:c r="V323" s="2" t="n">
        <x:f>D323*Inputs!D15*'Cohort factors'!G53*Inputs!$B$5/1000*44/12/1000000</x:f>
        <x:v>0.27844560552952</x:v>
      </x:c>
    </x:row>
    <x:row r="324" ht="22" customHeight="1">
      <x:c r="A324" s="2" t="str">
        <x:v>CR_STEADY</x:v>
      </x:c>
      <x:c r="B324" s="2" t="str">
        <x:v>Cropped area</x:v>
      </x:c>
      <x:c r="C324" s="2" t="n">
        <x:v>2046</x:v>
      </x:c>
      <x:c r="D324" s="16" t="n">
        <x:f>Inputs!H15</x:f>
        <x:v>286230</x:v>
      </x:c>
      <x:c r="E324" s="16" t="n">
        <x:f>D324*'Cohort factors'!C54</x:f>
        <x:v>11926.25</x:v>
      </x:c>
      <x:c r="F324" s="16" t="n">
        <x:f>D324*'Cohort factors'!D54</x:f>
        <x:v>238525</x:v>
      </x:c>
      <x:c r="G324" s="16" t="n">
        <x:f>F324*Inputs!D15</x:f>
        <x:v>11358333.333333334</x:v>
      </x:c>
      <x:c r="H324" s="16" t="n">
        <x:f>D324*Inputs!D15*'Cohort factors'!E54*Inputs!$B$5/1000</x:f>
        <x:v>1091128.0919893438</x:v>
      </x:c>
      <x:c r="I324" s="16" t="n">
        <x:f>H324*Inputs!$B$10</x:f>
        <x:v>272424.5690769463</x:v>
      </x:c>
      <x:c r="J324" s="16" t="n">
        <x:f>D324*T324*Inputs!$B$8*U324</x:f>
        <x:v>108698.01199044369</x:v>
      </x:c>
      <x:c r="K324" s="16" t="n">
        <x:f>SUM(H324:J324)</x:f>
        <x:v>1472250.6730567338</x:v>
      </x:c>
      <x:c r="L324" s="16" t="n">
        <x:f>H324-H323</x:f>
        <x:v>130630.91611068894</x:v>
      </x:c>
      <x:c r="M324" s="16" t="n">
        <x:f>K324-K323</x:f>
        <x:v>173598.04202558612</x:v>
      </x:c>
      <x:c r="N324" s="16" t="n">
        <x:f>H324*44/12/1000000</x:f>
        <x:v>4.000803003960928</x:v>
      </x:c>
      <x:c r="O324" s="16" t="n">
        <x:f>K324*44/12/1000000</x:f>
        <x:v>5.398252467874691</x:v>
      </x:c>
      <x:c r="P324" s="16" t="n">
        <x:f>L324*44/12/1000000</x:f>
        <x:v>0.4789800257391928</x:v>
      </x:c>
      <x:c r="Q324" s="16" t="n">
        <x:f>M324*44/12/1000000</x:f>
        <x:v>0.6365261540938159</x:v>
      </x:c>
      <x:c r="R324" s="16" t="n">
        <x:f>O324</x:f>
        <x:v>5.398252467874691</x:v>
      </x:c>
      <x:c r="S324" s="16" t="n">
        <x:f>Q324</x:f>
        <x:v>0.6365261540938159</x:v>
      </x:c>
      <x:c r="T324" s="2" t="n">
        <x:f>Inputs!E15/Inputs!F15</x:f>
        <x:v>0.06666666666666667</x:v>
      </x:c>
      <x:c r="U324" s="2" t="n">
        <x:f>'Cohort factors'!F54</x:f>
        <x:v>8.75</x:v>
      </x:c>
      <x:c r="V324" s="2" t="n">
        <x:f>D324*Inputs!D15*'Cohort factors'!G54*Inputs!$B$5/1000*44/12/1000000</x:f>
        <x:v>0.30239460681647956</x:v>
      </x:c>
    </x:row>
    <x:row r="325" ht="22" customHeight="1">
      <x:c r="A325" s="2" t="str">
        <x:v>CR_STEADY</x:v>
      </x:c>
      <x:c r="B325" s="2" t="str">
        <x:v>Cropped area</x:v>
      </x:c>
      <x:c r="C325" s="2" t="n">
        <x:v>2047</x:v>
      </x:c>
      <x:c r="D325" s="16" t="n">
        <x:f>Inputs!H15</x:f>
        <x:v>286230</x:v>
      </x:c>
      <x:c r="E325" s="16" t="n">
        <x:f>D325*'Cohort factors'!C55</x:f>
        <x:v>11926.25</x:v>
      </x:c>
      <x:c r="F325" s="16" t="n">
        <x:f>D325*'Cohort factors'!D55</x:f>
        <x:v>250451.25</x:v>
      </x:c>
      <x:c r="G325" s="16" t="n">
        <x:f>F325*Inputs!D15</x:f>
        <x:v>11926250</x:v>
      </x:c>
      <x:c r="H325" s="16" t="n">
        <x:f>D325*Inputs!D15*'Cohort factors'!E55*Inputs!$B$5/1000</x:f>
        <x:v>1229273.2091690102</x:v>
      </x:c>
      <x:c r="I325" s="16" t="n">
        <x:f>H325*Inputs!$B$10</x:f>
        <x:v>306915.59198621847</x:v>
      </x:c>
      <x:c r="J325" s="16" t="n">
        <x:f>D325*T325*Inputs!$B$8*U325</x:f>
        <x:v>119567.81318948806</x:v>
      </x:c>
      <x:c r="K325" s="16" t="n">
        <x:f>SUM(H325:J325)</x:f>
        <x:v>1655756.6143447168</x:v>
      </x:c>
      <x:c r="L325" s="16" t="n">
        <x:f>H325-H324</x:f>
        <x:v>138145.1171796664</x:v>
      </x:c>
      <x:c r="M325" s="16" t="n">
        <x:f>K325-K324</x:f>
        <x:v>183505.94128798298</x:v>
      </x:c>
      <x:c r="N325" s="16" t="n">
        <x:f>H325*44/12/1000000</x:f>
        <x:v>4.507335100286371</x:v>
      </x:c>
      <x:c r="O325" s="16" t="n">
        <x:f>K325*44/12/1000000</x:f>
        <x:v>6.071107585930628</x:v>
      </x:c>
      <x:c r="P325" s="16" t="n">
        <x:f>L325*44/12/1000000</x:f>
        <x:v>0.5065320963254435</x:v>
      </x:c>
      <x:c r="Q325" s="16" t="n">
        <x:f>M325*44/12/1000000</x:f>
        <x:v>0.6728551180559376</x:v>
      </x:c>
      <x:c r="R325" s="16" t="n">
        <x:f>O325</x:f>
        <x:v>6.071107585930628</x:v>
      </x:c>
      <x:c r="S325" s="16" t="n">
        <x:f>Q325</x:f>
        <x:v>0.6728551180559376</x:v>
      </x:c>
      <x:c r="T325" s="2" t="n">
        <x:f>Inputs!E15/Inputs!F15</x:f>
        <x:v>0.06666666666666667</x:v>
      </x:c>
      <x:c r="U325" s="2" t="n">
        <x:f>'Cohort factors'!F55</x:f>
        <x:v>9.625</x:v>
      </x:c>
      <x:c r="V325" s="2" t="n">
        <x:f>D325*Inputs!D15*'Cohort factors'!G55*Inputs!$B$5/1000*44/12/1000000</x:f>
        <x:v>0.32651518283197695</x:v>
      </x:c>
    </x:row>
    <x:row r="326" ht="22" customHeight="1">
      <x:c r="A326" s="2" t="str">
        <x:v>CR_STEADY</x:v>
      </x:c>
      <x:c r="B326" s="2" t="str">
        <x:v>Cropped area</x:v>
      </x:c>
      <x:c r="C326" s="2" t="n">
        <x:v>2048</x:v>
      </x:c>
      <x:c r="D326" s="16" t="n">
        <x:f>Inputs!H15</x:f>
        <x:v>286230</x:v>
      </x:c>
      <x:c r="E326" s="16" t="n">
        <x:f>D326*'Cohort factors'!C56</x:f>
        <x:v>11926.25</x:v>
      </x:c>
      <x:c r="F326" s="16" t="n">
        <x:f>D326*'Cohort factors'!D56</x:f>
        <x:v>262377.5</x:v>
      </x:c>
      <x:c r="G326" s="16" t="n">
        <x:f>F326*Inputs!D15</x:f>
        <x:v>12494166.666666668</x:v>
      </x:c>
      <x:c r="H326" s="16" t="n">
        <x:f>D326*Inputs!D15*'Cohort factors'!E56*Inputs!$B$5/1000</x:f>
        <x:v>1375858.753810199</x:v>
      </x:c>
      <x:c r="I326" s="16" t="n">
        <x:f>H326*Inputs!$B$10</x:f>
        <x:v>343513.9566740697</x:v>
      </x:c>
      <x:c r="J326" s="16" t="n">
        <x:f>D326*T326*Inputs!$B$8*U326</x:f>
        <x:v>130955.22396943929</x:v>
      </x:c>
      <x:c r="K326" s="16" t="n">
        <x:f>SUM(H326:J326)</x:f>
        <x:v>1850327.934453708</x:v>
      </x:c>
      <x:c r="L326" s="16" t="n">
        <x:f>H326-H325</x:f>
        <x:v>146585.5446411888</x:v>
      </x:c>
      <x:c r="M326" s="16" t="n">
        <x:f>K326-K325</x:f>
        <x:v>194571.32010899112</x:v>
      </x:c>
      <x:c r="N326" s="16" t="n">
        <x:f>H326*44/12/1000000</x:f>
        <x:v>5.044815430637396</x:v>
      </x:c>
      <x:c r="O326" s="16" t="n">
        <x:f>K326*44/12/1000000</x:f>
        <x:v>6.784535759663596</x:v>
      </x:c>
      <x:c r="P326" s="16" t="n">
        <x:f>L326*44/12/1000000</x:f>
        <x:v>0.5374803303510257</x:v>
      </x:c>
      <x:c r="Q326" s="16" t="n">
        <x:f>M326*44/12/1000000</x:f>
        <x:v>0.7134281737329675</x:v>
      </x:c>
      <x:c r="R326" s="16" t="n">
        <x:f>O326</x:f>
        <x:v>6.784535759663596</x:v>
      </x:c>
      <x:c r="S326" s="16" t="n">
        <x:f>Q326</x:f>
        <x:v>0.7134281737329675</x:v>
      </x:c>
      <x:c r="T326" s="2" t="n">
        <x:f>Inputs!E15/Inputs!F15</x:f>
        <x:v>0.06666666666666667</x:v>
      </x:c>
      <x:c r="U326" s="2" t="n">
        <x:f>'Cohort factors'!F56</x:f>
        <x:v>10.541666666666666</x:v>
      </x:c>
      <x:c r="V326" s="2" t="n">
        <x:f>D326*Inputs!D15*'Cohort factors'!G56*Inputs!$B$5/1000*44/12/1000000</x:f>
        <x:v>0.35094610693884176</x:v>
      </x:c>
    </x:row>
    <x:row r="327" ht="22" customHeight="1">
      <x:c r="A327" s="2" t="str">
        <x:v>CR_STEADY</x:v>
      </x:c>
      <x:c r="B327" s="2" t="str">
        <x:v>Cropped area</x:v>
      </x:c>
      <x:c r="C327" s="2" t="n">
        <x:v>2049</x:v>
      </x:c>
      <x:c r="D327" s="16" t="n">
        <x:f>Inputs!H15</x:f>
        <x:v>286230</x:v>
      </x:c>
      <x:c r="E327" s="16" t="n">
        <x:f>D327*'Cohort factors'!C57</x:f>
        <x:v>11926.25</x:v>
      </x:c>
      <x:c r="F327" s="16" t="n">
        <x:f>D327*'Cohort factors'!D57</x:f>
        <x:v>274303.75</x:v>
      </x:c>
      <x:c r="G327" s="16" t="n">
        <x:f>F327*Inputs!D15</x:f>
        <x:v>13062083.333333334</x:v>
      </x:c>
      <x:c r="H327" s="16" t="n">
        <x:f>D327*Inputs!D15*'Cohort factors'!E57*Inputs!$B$5/1000</x:f>
        <x:v>1531590.0236203102</x:v>
      </x:c>
      <x:c r="I327" s="16" t="n">
        <x:f>H327*Inputs!$B$10</x:f>
        <x:v>382395.7565115901</x:v>
      </x:c>
      <x:c r="J327" s="16" t="n">
        <x:f>D327*T327*Inputs!$B$8*U327</x:f>
        <x:v>142860.24433029743</x:v>
      </x:c>
      <x:c r="K327" s="16" t="n">
        <x:f>SUM(H327:J327)</x:f>
        <x:v>2056846.0244621977</x:v>
      </x:c>
      <x:c r="L327" s="16" t="n">
        <x:f>H327-H326</x:f>
        <x:v>155731.26981011126</x:v>
      </x:c>
      <x:c r="M327" s="16" t="n">
        <x:f>K327-K326</x:f>
        <x:v>206518.0900084898</x:v>
      </x:c>
      <x:c r="N327" s="16" t="n">
        <x:f>H327*44/12/1000000</x:f>
        <x:v>5.6158300866078035</x:v>
      </x:c>
      <x:c r="O327" s="16" t="n">
        <x:f>K327*44/12/1000000</x:f>
        <x:v>7.5417687563613915</x:v>
      </x:c>
      <x:c r="P327" s="16" t="n">
        <x:f>L327*44/12/1000000</x:f>
        <x:v>0.571014655970408</x:v>
      </x:c>
      <x:c r="Q327" s="16" t="n">
        <x:f>M327*44/12/1000000</x:f>
        <x:v>0.757232996697796</x:v>
      </x:c>
      <x:c r="R327" s="16" t="n">
        <x:f>O327</x:f>
        <x:v>7.5417687563613915</x:v>
      </x:c>
      <x:c r="S327" s="16" t="n">
        <x:f>Q327</x:f>
        <x:v>0.757232996697796</x:v>
      </x:c>
      <x:c r="T327" s="2" t="n">
        <x:f>Inputs!E15/Inputs!F15</x:f>
        <x:v>0.06666666666666667</x:v>
      </x:c>
      <x:c r="U327" s="2" t="n">
        <x:f>'Cohort factors'!F57</x:f>
        <x:v>11.5</x:v>
      </x:c>
      <x:c r="V327" s="2" t="n">
        <x:f>D327*Inputs!D15*'Cohort factors'!G57*Inputs!$B$5/1000*44/12/1000000</x:f>
        <x:v>0.3757728311114682</x:v>
      </x:c>
    </x:row>
    <x:row r="328" ht="22" customHeight="1">
      <x:c r="A328" s="2" t="str">
        <x:v>CR_STEADY</x:v>
      </x:c>
      <x:c r="B328" s="2" t="str">
        <x:v>Cropped area</x:v>
      </x:c>
      <x:c r="C328" s="2" t="n">
        <x:v>2050</x:v>
      </x:c>
      <x:c r="D328" s="16" t="n">
        <x:f>Inputs!H15</x:f>
        <x:v>286230</x:v>
      </x:c>
      <x:c r="E328" s="16" t="n">
        <x:f>D328*'Cohort factors'!C58</x:f>
        <x:v>11926.25</x:v>
      </x:c>
      <x:c r="F328" s="16" t="n">
        <x:f>D328*'Cohort factors'!D58</x:f>
        <x:v>286230</x:v>
      </x:c>
      <x:c r="G328" s="16" t="n">
        <x:f>F328*Inputs!D15</x:f>
        <x:v>13630000</x:v>
      </x:c>
      <x:c r="H328" s="16" t="n">
        <x:f>D328*Inputs!D15*'Cohort factors'!E58*Inputs!$B$5/1000</x:f>
        <x:v>1694898.8459215988</x:v>
      </x:c>
      <x:c r="I328" s="16" t="n">
        <x:f>H328*Inputs!$B$10</x:f>
        <x:v>423169.4620632263</x:v>
      </x:c>
      <x:c r="J328" s="16" t="n">
        <x:f>D328*T328*Inputs!$B$8*U328</x:f>
        <x:v>155282.8742720624</x:v>
      </x:c>
      <x:c r="K328" s="16" t="n">
        <x:f>SUM(H328:J328)</x:f>
        <x:v>2273351.1822568877</x:v>
      </x:c>
      <x:c r="L328" s="16" t="n">
        <x:f>H328-H327</x:f>
        <x:v>163308.8223012886</x:v>
      </x:c>
      <x:c r="M328" s="16" t="n">
        <x:f>K328-K327</x:f>
        <x:v>216505.15779469</x:v>
      </x:c>
      <x:c r="N328" s="16" t="n">
        <x:f>H328*44/12/1000000</x:f>
        <x:v>6.214629101712529</x:v>
      </x:c>
      <x:c r="O328" s="16" t="n">
        <x:f>K328*44/12/1000000</x:f>
        <x:v>8.335621001608589</x:v>
      </x:c>
      <x:c r="P328" s="16" t="n">
        <x:f>L328*44/12/1000000</x:f>
        <x:v>0.5987990151047249</x:v>
      </x:c>
      <x:c r="Q328" s="16" t="n">
        <x:f>M328*44/12/1000000</x:f>
        <x:v>0.7938522452471968</x:v>
      </x:c>
      <x:c r="R328" s="16" t="n">
        <x:f>O328</x:f>
        <x:v>8.335621001608589</x:v>
      </x:c>
      <x:c r="S328" s="16" t="n">
        <x:f>Q328</x:f>
        <x:v>0.7938522452471968</x:v>
      </x:c>
      <x:c r="T328" s="2" t="n">
        <x:f>Inputs!E15/Inputs!F15</x:f>
        <x:v>0.06666666666666667</x:v>
      </x:c>
      <x:c r="U328" s="2" t="n">
        <x:f>'Cohort factors'!F58</x:f>
        <x:v>12.5</x:v>
      </x:c>
      <x:c r="V328" s="2" t="n">
        <x:f>D328*Inputs!D15*'Cohort factors'!G58*Inputs!$B$5/1000*44/12/1000000</x:f>
        <x:v>0.40072279007416506</x:v>
      </x:c>
    </x:row>
    <x:row r="329" ht="22" customHeight="1">
      <x:c r="A329" s="2" t="str">
        <x:v>CR_STEADY</x:v>
      </x:c>
      <x:c r="B329" s="2" t="str">
        <x:v>Cropped area</x:v>
      </x:c>
      <x:c r="C329" s="2" t="n">
        <x:v>2051</x:v>
      </x:c>
      <x:c r="D329" s="16" t="n">
        <x:f>Inputs!H15</x:f>
        <x:v>286230</x:v>
      </x:c>
      <x:c r="E329" s="16" t="n">
        <x:f>D329*'Cohort factors'!C59</x:f>
        <x:v>0</x:v>
      </x:c>
      <x:c r="F329" s="16" t="n">
        <x:f>D329*'Cohort factors'!D59</x:f>
        <x:v>286230</x:v>
      </x:c>
      <x:c r="G329" s="16" t="n">
        <x:f>F329*Inputs!D15</x:f>
        <x:v>13630000</x:v>
      </x:c>
      <x:c r="H329" s="16" t="n">
        <x:f>D329*Inputs!D15*'Cohort factors'!E59*Inputs!$B$5/1000</x:f>
        <x:v>1865015.258697432</x:v>
      </x:c>
      <x:c r="I329" s="16" t="n">
        <x:f>H329*Inputs!$B$10</x:f>
        <x:v>465642.8350646291</x:v>
      </x:c>
      <x:c r="J329" s="16" t="n">
        <x:f>D329*T329*Inputs!$B$8*U329</x:f>
        <x:v>167705.5042138274</x:v>
      </x:c>
      <x:c r="K329" s="16" t="n">
        <x:f>SUM(H329:J329)</x:f>
        <x:v>2498363.5979758883</x:v>
      </x:c>
      <x:c r="L329" s="16" t="n">
        <x:f>H329-H328</x:f>
        <x:v>170116.41277583316</x:v>
      </x:c>
      <x:c r="M329" s="16" t="n">
        <x:f>K329-K328</x:f>
        <x:v>225012.41571900062</x:v>
      </x:c>
      <x:c r="N329" s="16" t="n">
        <x:f>H329*44/12/1000000</x:f>
        <x:v>6.838389281890583</x:v>
      </x:c>
      <x:c r="O329" s="16" t="n">
        <x:f>K329*44/12/1000000</x:f>
        <x:v>9.16066652591159</x:v>
      </x:c>
      <x:c r="P329" s="16" t="n">
        <x:f>L329*44/12/1000000</x:f>
        <x:v>0.623760180178055</x:v>
      </x:c>
      <x:c r="Q329" s="16" t="n">
        <x:f>M329*44/12/1000000</x:f>
        <x:v>0.8250455243030023</x:v>
      </x:c>
      <x:c r="R329" s="16" t="n">
        <x:f>O329</x:f>
        <x:v>9.16066652591159</x:v>
      </x:c>
      <x:c r="S329" s="16" t="n">
        <x:f>Q329</x:f>
        <x:v>0.8250455243030023</x:v>
      </x:c>
      <x:c r="T329" s="2" t="n">
        <x:f>Inputs!E15/Inputs!F15</x:f>
        <x:v>0.06666666666666667</x:v>
      </x:c>
      <x:c r="U329" s="2" t="n">
        <x:f>'Cohort factors'!F59</x:f>
        <x:v>13.5</x:v>
      </x:c>
      <x:c r="V329" s="2" t="n">
        <x:f>D329*Inputs!D15*'Cohort factors'!G59*Inputs!$B$5/1000*44/12/1000000</x:f>
        <x:v>0.4246768272177389</x:v>
      </x:c>
    </x:row>
    <x:row r="330" ht="22" customHeight="1">
      <x:c r="A330" s="2" t="str">
        <x:v>CR_STEADY</x:v>
      </x:c>
      <x:c r="B330" s="2" t="str">
        <x:v>Cropped area</x:v>
      </x:c>
      <x:c r="C330" s="2" t="n">
        <x:v>2052</x:v>
      </x:c>
      <x:c r="D330" s="16" t="n">
        <x:f>Inputs!H15</x:f>
        <x:v>286230</x:v>
      </x:c>
      <x:c r="E330" s="16" t="n">
        <x:f>D330*'Cohort factors'!C60</x:f>
        <x:v>0</x:v>
      </x:c>
      <x:c r="F330" s="16" t="n">
        <x:f>D330*'Cohort factors'!D60</x:f>
        <x:v>286230</x:v>
      </x:c>
      <x:c r="G330" s="16" t="n">
        <x:f>F330*Inputs!D15</x:f>
        <x:v>13630000</x:v>
      </x:c>
      <x:c r="H330" s="16" t="n">
        <x:f>D330*Inputs!D15*'Cohort factors'!E60*Inputs!$B$5/1000</x:f>
        <x:v>2043512.1252688987</x:v>
      </x:c>
      <x:c r="I330" s="16" t="n">
        <x:f>H330*Inputs!$B$10</x:f>
        <x:v>510208.5760755313</x:v>
      </x:c>
      <x:c r="J330" s="16" t="n">
        <x:f>D330*T330*Inputs!$B$8*U330</x:f>
        <x:v>180128.13415559242</x:v>
      </x:c>
      <x:c r="K330" s="16" t="n">
        <x:f>SUM(H330:J330)</x:f>
        <x:v>2733848.8355000224</x:v>
      </x:c>
      <x:c r="L330" s="16" t="n">
        <x:f>H330-H329</x:f>
        <x:v>178496.86657146667</x:v>
      </x:c>
      <x:c r="M330" s="16" t="n">
        <x:f>K330-K329</x:f>
        <x:v>235485.2375241341</x:v>
      </x:c>
      <x:c r="N330" s="16" t="n">
        <x:f>H330*44/12/1000000</x:f>
        <x:v>7.492877792652628</x:v>
      </x:c>
      <x:c r="O330" s="16" t="n">
        <x:f>K330*44/12/1000000</x:f>
        <x:v>10.024112396833415</x:v>
      </x:c>
      <x:c r="P330" s="16" t="n">
        <x:f>L330*44/12/1000000</x:f>
        <x:v>0.6544885107620445</x:v>
      </x:c>
      <x:c r="Q330" s="16" t="n">
        <x:f>M330*44/12/1000000</x:f>
        <x:v>0.863445870921825</x:v>
      </x:c>
      <x:c r="R330" s="16" t="n">
        <x:f>O330</x:f>
        <x:v>10.024112396833415</x:v>
      </x:c>
      <x:c r="S330" s="16" t="n">
        <x:f>Q330</x:f>
        <x:v>0.863445870921825</x:v>
      </x:c>
      <x:c r="T330" s="2" t="n">
        <x:f>Inputs!E15/Inputs!F15</x:f>
        <x:v>0.06666666666666667</x:v>
      </x:c>
      <x:c r="U330" s="2" t="n">
        <x:f>'Cohort factors'!F60</x:f>
        <x:v>14.5</x:v>
      </x:c>
      <x:c r="V330" s="2" t="n">
        <x:f>D330*Inputs!D15*'Cohort factors'!G60*Inputs!$B$5/1000*44/12/1000000</x:f>
        <x:v>0.4480489730471184</x:v>
      </x:c>
    </x:row>
    <x:row r="331" ht="22" customHeight="1">
      <x:c r="A331" s="2" t="str">
        <x:v>CR_STEADY</x:v>
      </x:c>
      <x:c r="B331" s="2" t="str">
        <x:v>Cropped area</x:v>
      </x:c>
      <x:c r="C331" s="2" t="n">
        <x:v>2053</x:v>
      </x:c>
      <x:c r="D331" s="16" t="n">
        <x:f>Inputs!H15</x:f>
        <x:v>286230</x:v>
      </x:c>
      <x:c r="E331" s="16" t="n">
        <x:f>D331*'Cohort factors'!C61</x:f>
        <x:v>0</x:v>
      </x:c>
      <x:c r="F331" s="16" t="n">
        <x:f>D331*'Cohort factors'!D61</x:f>
        <x:v>286230</x:v>
      </x:c>
      <x:c r="G331" s="16" t="n">
        <x:f>F331*Inputs!D15</x:f>
        <x:v>13630000</x:v>
      </x:c>
      <x:c r="H331" s="16" t="n">
        <x:f>D331*Inputs!D15*'Cohort factors'!E61*Inputs!$B$5/1000</x:f>
        <x:v>2225850.2342569763</x:v>
      </x:c>
      <x:c r="I331" s="16" t="n">
        <x:f>H331*Inputs!$B$10</x:f>
        <x:v>555733.3692983122</x:v>
      </x:c>
      <x:c r="J331" s="16" t="n">
        <x:f>D331*T331*Inputs!$B$8*U331</x:f>
        <x:v>192550.7640973574</x:v>
      </x:c>
      <x:c r="K331" s="16" t="n">
        <x:f>SUM(H331:J331)</x:f>
        <x:v>2974134.3676526463</x:v>
      </x:c>
      <x:c r="L331" s="16" t="n">
        <x:f>H331-H330</x:f>
        <x:v>182338.1089880776</x:v>
      </x:c>
      <x:c r="M331" s="16" t="n">
        <x:f>K331-K330</x:f>
        <x:v>240285.53215262387</x:v>
      </x:c>
      <x:c r="N331" s="16" t="n">
        <x:f>H331*44/12/1000000</x:f>
        <x:v>8.161450858942247</x:v>
      </x:c>
      <x:c r="O331" s="16" t="n">
        <x:f>K331*44/12/1000000</x:f>
        <x:v>10.905159348059703</x:v>
      </x:c>
      <x:c r="P331" s="16" t="n">
        <x:f>L331*44/12/1000000</x:f>
        <x:v>0.6685730662896179</x:v>
      </x:c>
      <x:c r="Q331" s="16" t="n">
        <x:f>M331*44/12/1000000</x:f>
        <x:v>0.8810469512262875</x:v>
      </x:c>
      <x:c r="R331" s="16" t="n">
        <x:f>O331</x:f>
        <x:v>10.905159348059703</x:v>
      </x:c>
      <x:c r="S331" s="16" t="n">
        <x:f>Q331</x:f>
        <x:v>0.8810469512262875</x:v>
      </x:c>
      <x:c r="T331" s="2" t="n">
        <x:f>Inputs!E15/Inputs!F15</x:f>
        <x:v>0.06666666666666667</x:v>
      </x:c>
      <x:c r="U331" s="2" t="n">
        <x:f>'Cohort factors'!F61</x:f>
        <x:v>15.5</x:v>
      </x:c>
      <x:c r="V331" s="2" t="n">
        <x:f>D331*Inputs!D15*'Cohort factors'!G61*Inputs!$B$5/1000*44/12/1000000</x:f>
        <x:v>0.46931471565362</x:v>
      </x:c>
    </x:row>
    <x:row r="332" ht="22" customHeight="1">
      <x:c r="A332" s="2" t="str">
        <x:v>CR_STEADY</x:v>
      </x:c>
      <x:c r="B332" s="2" t="str">
        <x:v>Cropped area</x:v>
      </x:c>
      <x:c r="C332" s="2" t="n">
        <x:v>2054</x:v>
      </x:c>
      <x:c r="D332" s="16" t="n">
        <x:f>Inputs!H15</x:f>
        <x:v>286230</x:v>
      </x:c>
      <x:c r="E332" s="16" t="n">
        <x:f>D332*'Cohort factors'!C62</x:f>
        <x:v>0</x:v>
      </x:c>
      <x:c r="F332" s="16" t="n">
        <x:f>D332*'Cohort factors'!D62</x:f>
        <x:v>286230</x:v>
      </x:c>
      <x:c r="G332" s="16" t="n">
        <x:f>F332*Inputs!D15</x:f>
        <x:v>13630000</x:v>
      </x:c>
      <x:c r="H332" s="16" t="n">
        <x:f>D332*Inputs!D15*'Cohort factors'!E62*Inputs!$B$5/1000</x:f>
        <x:v>2411439.8836510885</x:v>
      </x:c>
      <x:c r="I332" s="16" t="n">
        <x:f>H332*Inputs!$B$10</x:f>
        <x:v>602069.9824168995</x:v>
      </x:c>
      <x:c r="J332" s="16" t="n">
        <x:f>D332*T332*Inputs!$B$8*U332</x:f>
        <x:v>204973.3940391224</x:v>
      </x:c>
      <x:c r="K332" s="16" t="n">
        <x:f>SUM(H332:J332)</x:f>
        <x:v>3218483.2601071103</x:v>
      </x:c>
      <x:c r="L332" s="16" t="n">
        <x:f>H332-H331</x:f>
        <x:v>185589.64939411217</x:v>
      </x:c>
      <x:c r="M332" s="16" t="n">
        <x:f>K332-K331</x:f>
        <x:v>244348.892454464</x:v>
      </x:c>
      <x:c r="N332" s="16" t="n">
        <x:f>H332*44/12/1000000</x:f>
        <x:v>8.841946240053991</x:v>
      </x:c>
      <x:c r="O332" s="16" t="n">
        <x:f>K332*44/12/1000000</x:f>
        <x:v>11.801105287059404</x:v>
      </x:c>
      <x:c r="P332" s="16" t="n">
        <x:f>L332*44/12/1000000</x:f>
        <x:v>0.6804953811117447</x:v>
      </x:c>
      <x:c r="Q332" s="16" t="n">
        <x:f>M332*44/12/1000000</x:f>
        <x:v>0.8959459389997013</x:v>
      </x:c>
      <x:c r="R332" s="16" t="n">
        <x:f>O332</x:f>
        <x:v>11.801105287059404</x:v>
      </x:c>
      <x:c r="S332" s="16" t="n">
        <x:f>Q332</x:f>
        <x:v>0.8959459389997013</x:v>
      </x:c>
      <x:c r="T332" s="2" t="n">
        <x:f>Inputs!E15/Inputs!F15</x:f>
        <x:v>0.06666666666666667</x:v>
      </x:c>
      <x:c r="U332" s="2" t="n">
        <x:f>'Cohort factors'!F62</x:f>
        <x:v>16.5</x:v>
      </x:c>
      <x:c r="V332" s="2" t="n">
        <x:f>D332*Inputs!D15*'Cohort factors'!G62*Inputs!$B$5/1000*44/12/1000000</x:f>
        <x:v>0.48862522109927176</x:v>
      </x:c>
    </x:row>
    <x:row r="333" ht="22" customHeight="1">
      <x:c r="A333" s="2" t="str">
        <x:v>CR_STEADY</x:v>
      </x:c>
      <x:c r="B333" s="2" t="str">
        <x:v>Cropped area</x:v>
      </x:c>
      <x:c r="C333" s="2" t="n">
        <x:v>2055</x:v>
      </x:c>
      <x:c r="D333" s="16" t="n">
        <x:f>Inputs!H15</x:f>
        <x:v>286230</x:v>
      </x:c>
      <x:c r="E333" s="16" t="n">
        <x:f>D333*'Cohort factors'!C63</x:f>
        <x:v>0</x:v>
      </x:c>
      <x:c r="F333" s="16" t="n">
        <x:f>D333*'Cohort factors'!D63</x:f>
        <x:v>286230</x:v>
      </x:c>
      <x:c r="G333" s="16" t="n">
        <x:f>F333*Inputs!D15</x:f>
        <x:v>13630000</x:v>
      </x:c>
      <x:c r="H333" s="16" t="n">
        <x:f>D333*Inputs!D15*'Cohort factors'!E63*Inputs!$B$5/1000</x:f>
        <x:v>2603908.863858621</x:v>
      </x:c>
      <x:c r="I333" s="16" t="n">
        <x:f>H333*Inputs!$B$10</x:f>
        <x:v>650124.1745678138</x:v>
      </x:c>
      <x:c r="J333" s="16" t="n">
        <x:f>D333*T333*Inputs!$B$8*U333</x:f>
        <x:v>217396.02398088737</x:v>
      </x:c>
      <x:c r="K333" s="16" t="n">
        <x:f>SUM(H333:J333)</x:f>
        <x:v>3471429.062407322</x:v>
      </x:c>
      <x:c r="L333" s="16" t="n">
        <x:f>H333-H332</x:f>
        <x:v>192468.98020753264</x:v>
      </x:c>
      <x:c r="M333" s="16" t="n">
        <x:f>K333-K332</x:f>
        <x:v>252945.80230021197</x:v>
      </x:c>
      <x:c r="N333" s="16" t="n">
        <x:f>H333*44/12/1000000</x:f>
        <x:v>9.547665834148278</x:v>
      </x:c>
      <x:c r="O333" s="16" t="n">
        <x:f>K333*44/12/1000000</x:f>
        <x:v>12.728573228826848</x:v>
      </x:c>
      <x:c r="P333" s="16" t="n">
        <x:f>L333*44/12/1000000</x:f>
        <x:v>0.7057195940942863</x:v>
      </x:c>
      <x:c r="Q333" s="16" t="n">
        <x:f>M333*44/12/1000000</x:f>
        <x:v>0.9274679417674438</x:v>
      </x:c>
      <x:c r="R333" s="16" t="n">
        <x:f>O333</x:f>
        <x:v>12.728573228826848</x:v>
      </x:c>
      <x:c r="S333" s="16" t="n">
        <x:f>Q333</x:f>
        <x:v>0.9274679417674438</x:v>
      </x:c>
      <x:c r="T333" s="2" t="n">
        <x:f>Inputs!E15/Inputs!F15</x:f>
        <x:v>0.06666666666666667</x:v>
      </x:c>
      <x:c r="U333" s="2" t="n">
        <x:f>'Cohort factors'!F63</x:f>
        <x:v>17.5</x:v>
      </x:c>
      <x:c r="V333" s="2" t="n">
        <x:f>D333*Inputs!D15*'Cohort factors'!G63*Inputs!$B$5/1000*44/12/1000000</x:f>
        <x:v>0.5055807513874273</x:v>
      </x:c>
    </x:row>
    <x:row r="334" ht="22" customHeight="1">
      <x:c r="A334" s="2" t="str">
        <x:v>CR_STEADY</x:v>
      </x:c>
      <x:c r="B334" s="2" t="str">
        <x:v>Cropped area</x:v>
      </x:c>
      <x:c r="C334" s="2" t="n">
        <x:v>2056</x:v>
      </x:c>
      <x:c r="D334" s="16" t="n">
        <x:f>Inputs!H15</x:f>
        <x:v>286230</x:v>
      </x:c>
      <x:c r="E334" s="16" t="n">
        <x:f>D334*'Cohort factors'!C64</x:f>
        <x:v>0</x:v>
      </x:c>
      <x:c r="F334" s="16" t="n">
        <x:f>D334*'Cohort factors'!D64</x:f>
        <x:v>286230</x:v>
      </x:c>
      <x:c r="G334" s="16" t="n">
        <x:f>F334*Inputs!D15</x:f>
        <x:v>13630000</x:v>
      </x:c>
      <x:c r="H334" s="16" t="n">
        <x:f>D334*Inputs!D15*'Cohort factors'!E64*Inputs!$B$5/1000</x:f>
        <x:v>2794562.9102640324</x:v>
      </x:c>
      <x:c r="I334" s="16" t="n">
        <x:f>H334*Inputs!$B$10</x:f>
        <x:v>697725.2278411058</x:v>
      </x:c>
      <x:c r="J334" s="16" t="n">
        <x:f>D334*T334*Inputs!$B$8*U334</x:f>
        <x:v>229818.6539226524</x:v>
      </x:c>
      <x:c r="K334" s="16" t="n">
        <x:f>SUM(H334:J334)</x:f>
        <x:v>3722106.7920277906</x:v>
      </x:c>
      <x:c r="L334" s="16" t="n">
        <x:f>H334-H333</x:f>
        <x:v>190654.04640541133</x:v>
      </x:c>
      <x:c r="M334" s="16" t="n">
        <x:f>K334-K333</x:f>
        <x:v>250677.72962046834</x:v>
      </x:c>
      <x:c r="N334" s="16" t="n">
        <x:f>H334*44/12/1000000</x:f>
        <x:v>10.24673067096812</x:v>
      </x:c>
      <x:c r="O334" s="16" t="n">
        <x:f>K334*44/12/1000000</x:f>
        <x:v>13.6477249041019</x:v>
      </x:c>
      <x:c r="P334" s="16" t="n">
        <x:f>L334*44/12/1000000</x:f>
        <x:v>0.6990648368198416</x:v>
      </x:c>
      <x:c r="Q334" s="16" t="n">
        <x:f>M334*44/12/1000000</x:f>
        <x:v>0.9191516752750506</x:v>
      </x:c>
      <x:c r="R334" s="16" t="n">
        <x:f>O334</x:f>
        <x:v>13.6477249041019</x:v>
      </x:c>
      <x:c r="S334" s="16" t="n">
        <x:f>Q334</x:f>
        <x:v>0.9191516752750506</x:v>
      </x:c>
      <x:c r="T334" s="2" t="n">
        <x:f>Inputs!E15/Inputs!F15</x:f>
        <x:v>0.06666666666666667</x:v>
      </x:c>
      <x:c r="U334" s="2" t="n">
        <x:f>'Cohort factors'!F64</x:f>
        <x:v>18.5</x:v>
      </x:c>
      <x:c r="V334" s="2" t="n">
        <x:f>D334*Inputs!D15*'Cohort factors'!G64*Inputs!$B$5/1000*44/12/1000000</x:f>
        <x:v>0.5184368376960728</x:v>
      </x:c>
    </x:row>
    <x:row r="335" ht="22" customHeight="1">
      <x:c r="A335" s="2" t="str">
        <x:v>CR_STEADY</x:v>
      </x:c>
      <x:c r="B335" s="2" t="str">
        <x:v>UK total</x:v>
      </x:c>
      <x:c r="C335" s="2" t="n">
        <x:v>2027</x:v>
      </x:c>
      <x:c r="D335" s="16" t="n">
        <x:f>D275+D305</x:f>
        <x:v>1124130</x:v>
      </x:c>
      <x:c r="E335" s="16" t="n">
        <x:f>E275+E305</x:f>
        <x:v>46838.75</x:v>
      </x:c>
      <x:c r="F335" s="16" t="n">
        <x:f>F275+F305</x:f>
        <x:v>46838.75</x:v>
      </x:c>
      <x:c r="G335" s="16" t="n">
        <x:f>G275+G305</x:f>
        <x:v>6363391.666666667</x:v>
      </x:c>
      <x:c r="H335" s="16" t="n">
        <x:f>H275+H305</x:f>
        <x:v>3171.626572050444</x:v>
      </x:c>
      <x:c r="I335" s="16" t="n">
        <x:f>I275+I305</x:f>
        <x:v>791.8676171085813</x:v>
      </x:c>
      <x:c r="J335" s="16" t="n">
        <x:f>J275+J305</x:f>
        <x:v>517.6095809068747</x:v>
      </x:c>
      <x:c r="K335" s="16" t="n">
        <x:f>K275+K305</x:f>
        <x:v>4481.1037700659</x:v>
      </x:c>
      <x:c r="L335" s="16" t="n">
        <x:f>L275+L305</x:f>
        <x:v>3171.626572050444</x:v>
      </x:c>
      <x:c r="M335" s="16" t="n">
        <x:f>M275+M305</x:f>
        <x:v>4481.1037700659</x:v>
      </x:c>
      <x:c r="N335" s="16" t="n">
        <x:f>N275+N305</x:f>
        <x:v>0.011629297430851627</x:v>
      </x:c>
      <x:c r="O335" s="16" t="n">
        <x:f>O275+O305</x:f>
        <x:v>0.016430713823574965</x:v>
      </x:c>
      <x:c r="P335" s="16" t="n">
        <x:f>P275+P305</x:f>
        <x:v>0.011629297430851627</x:v>
      </x:c>
      <x:c r="Q335" s="16" t="n">
        <x:f>Q275+Q305</x:f>
        <x:v>0.016430713823574965</x:v>
      </x:c>
      <x:c r="R335" s="16" t="n">
        <x:f>R275+R305</x:f>
        <x:v>0.016430713823574965</x:v>
      </x:c>
      <x:c r="S335" s="16" t="n">
        <x:f>S275+S305</x:f>
        <x:v>0.016430713823574965</x:v>
      </x:c>
      <x:c r="T335" s="2"/>
      <x:c r="U335" s="2"/>
      <x:c r="V335" s="2" t="n">
        <x:f>V275+V305</x:f>
        <x:v>0.011629297430851627</x:v>
      </x:c>
    </x:row>
    <x:row r="336" ht="22" customHeight="1">
      <x:c r="A336" s="2" t="str">
        <x:v>CR_STEADY</x:v>
      </x:c>
      <x:c r="B336" s="2" t="str">
        <x:v>UK total</x:v>
      </x:c>
      <x:c r="C336" s="2" t="n">
        <x:v>2028</x:v>
      </x:c>
      <x:c r="D336" s="16" t="n">
        <x:f>D276+D306</x:f>
        <x:v>1124130</x:v>
      </x:c>
      <x:c r="E336" s="16" t="n">
        <x:f>E276+E306</x:f>
        <x:v>46838.75</x:v>
      </x:c>
      <x:c r="F336" s="16" t="n">
        <x:f>F276+F306</x:f>
        <x:v>93677.5</x:v>
      </x:c>
      <x:c r="G336" s="16" t="n">
        <x:f>G276+G306</x:f>
        <x:v>12726783.333333334</x:v>
      </x:c>
      <x:c r="H336" s="16" t="n">
        <x:f>H276+H306</x:f>
        <x:v>15092.696427570665</x:v>
      </x:c>
      <x:c r="I336" s="16" t="n">
        <x:f>I276+I306</x:f>
        <x:v>3768.2297345986217</x:v>
      </x:c>
      <x:c r="J336" s="16" t="n">
        <x:f>J276+J306</x:f>
        <x:v>1552.8287427206242</x:v>
      </x:c>
      <x:c r="K336" s="16" t="n">
        <x:f>K276+K306</x:f>
        <x:v>20413.754904889913</x:v>
      </x:c>
      <x:c r="L336" s="16" t="n">
        <x:f>L276+L306</x:f>
        <x:v>11921.069855520222</x:v>
      </x:c>
      <x:c r="M336" s="16" t="n">
        <x:f>M276+M306</x:f>
        <x:v>15932.651134824011</x:v>
      </x:c>
      <x:c r="N336" s="16" t="n">
        <x:f>N276+N306</x:f>
        <x:v>0.05533988690109244</x:v>
      </x:c>
      <x:c r="O336" s="16" t="n">
        <x:f>O276+O306</x:f>
        <x:v>0.07485043465126301</x:v>
      </x:c>
      <x:c r="P336" s="16" t="n">
        <x:f>P276+P306</x:f>
        <x:v>0.04371058947024081</x:v>
      </x:c>
      <x:c r="Q336" s="16" t="n">
        <x:f>Q276+Q306</x:f>
        <x:v>0.05841972082768804</x:v>
      </x:c>
      <x:c r="R336" s="16" t="n">
        <x:f>R276+R306</x:f>
        <x:v>0.07485043465126301</x:v>
      </x:c>
      <x:c r="S336" s="16" t="n">
        <x:f>S276+S306</x:f>
        <x:v>0.058419720827688044</x:v>
      </x:c>
      <x:c r="T336" s="2"/>
      <x:c r="U336" s="2"/>
      <x:c r="V336" s="2" t="n">
        <x:f>V276+V306</x:f>
        <x:v>0.03348459216597203</x:v>
      </x:c>
    </x:row>
    <x:row r="337" ht="22" customHeight="1">
      <x:c r="A337" s="2" t="str">
        <x:v>CR_STEADY</x:v>
      </x:c>
      <x:c r="B337" s="2" t="str">
        <x:v>UK total</x:v>
      </x:c>
      <x:c r="C337" s="2" t="n">
        <x:v>2029</x:v>
      </x:c>
      <x:c r="D337" s="16" t="n">
        <x:f>D277+D307</x:f>
        <x:v>1124130</x:v>
      </x:c>
      <x:c r="E337" s="16" t="n">
        <x:f>E277+E307</x:f>
        <x:v>46838.75</x:v>
      </x:c>
      <x:c r="F337" s="16" t="n">
        <x:f>F277+F307</x:f>
        <x:v>140516.25</x:v>
      </x:c>
      <x:c r="G337" s="16" t="n">
        <x:f>G277+G307</x:f>
        <x:v>19090175.000000004</x:v>
      </x:c>
      <x:c r="H337" s="16" t="n">
        <x:f>H277+H307</x:f>
        <x:v>51151.01651265954</x:v>
      </x:c>
      <x:c r="I337" s="16" t="n">
        <x:f>I277+I307</x:f>
        <x:v>12770.997038398245</x:v>
      </x:c>
      <x:c r="J337" s="16" t="n">
        <x:f>J277+J307</x:f>
        <x:v>3105.6574854412484</x:v>
      </x:c>
      <x:c r="K337" s="16" t="n">
        <x:f>K277+K307</x:f>
        <x:v>67027.67103649903</x:v>
      </x:c>
      <x:c r="L337" s="16" t="n">
        <x:f>L277+L307</x:f>
        <x:v>36058.320085088875</x:v>
      </x:c>
      <x:c r="M337" s="16" t="n">
        <x:f>M277+M307</x:f>
        <x:v>46613.91613160912</x:v>
      </x:c>
      <x:c r="N337" s="16" t="n">
        <x:f>N277+N307</x:f>
        <x:v>0.18755372721308497</x:v>
      </x:c>
      <x:c r="O337" s="16" t="n">
        <x:f>O277+O307</x:f>
        <x:v>0.24576812713382978</x:v>
      </x:c>
      <x:c r="P337" s="16" t="n">
        <x:f>P277+P307</x:f>
        <x:v>0.13221384031199254</x:v>
      </x:c>
      <x:c r="Q337" s="16" t="n">
        <x:f>Q277+Q307</x:f>
        <x:v>0.17091769248256677</x:v>
      </x:c>
      <x:c r="R337" s="16" t="n">
        <x:f>R277+R307</x:f>
        <x:v>0.24576812713382978</x:v>
      </x:c>
      <x:c r="S337" s="16" t="n">
        <x:f>S277+S307</x:f>
        <x:v>0.17091769248256677</x:v>
      </x:c>
      <x:c r="T337" s="2"/>
      <x:c r="U337" s="2"/>
      <x:c r="V337" s="2" t="n">
        <x:f>V277+V307</x:f>
        <x:v>0.07755587226996954</x:v>
      </x:c>
    </x:row>
    <x:row r="338" ht="22" customHeight="1">
      <x:c r="A338" s="2" t="str">
        <x:v>CR_STEADY</x:v>
      </x:c>
      <x:c r="B338" s="2" t="str">
        <x:v>UK total</x:v>
      </x:c>
      <x:c r="C338" s="2" t="n">
        <x:v>2030</x:v>
      </x:c>
      <x:c r="D338" s="16" t="n">
        <x:f>D278+D308</x:f>
        <x:v>1124130</x:v>
      </x:c>
      <x:c r="E338" s="16" t="n">
        <x:f>E278+E308</x:f>
        <x:v>46838.75</x:v>
      </x:c>
      <x:c r="F338" s="16" t="n">
        <x:f>F278+F308</x:f>
        <x:v>187355</x:v>
      </x:c>
      <x:c r="G338" s="16" t="n">
        <x:f>G278+G308</x:f>
        <x:v>25453566.666666668</x:v>
      </x:c>
      <x:c r="H338" s="16" t="n">
        <x:f>H278+H308</x:f>
        <x:v>122353.04198663573</x:v>
      </x:c>
      <x:c r="I338" s="16" t="n">
        <x:f>I278+I308</x:f>
        <x:v>30548.17760002121</x:v>
      </x:c>
      <x:c r="J338" s="16" t="n">
        <x:f>J278+J308</x:f>
        <x:v>5176.095809068747</x:v>
      </x:c>
      <x:c r="K338" s="16" t="n">
        <x:f>K278+K308</x:f>
        <x:v>158077.3153957257</x:v>
      </x:c>
      <x:c r="L338" s="16" t="n">
        <x:f>L278+L308</x:f>
        <x:v>71202.02547397619</x:v>
      </x:c>
      <x:c r="M338" s="16" t="n">
        <x:f>M278+M308</x:f>
        <x:v>91049.64435922666</x:v>
      </x:c>
      <x:c r="N338" s="16" t="n">
        <x:f>N278+N308</x:f>
        <x:v>0.4486278206176644</x:v>
      </x:c>
      <x:c r="O338" s="16" t="n">
        <x:f>O278+O308</x:f>
        <x:v>0.5796168231176608</x:v>
      </x:c>
      <x:c r="P338" s="16" t="n">
        <x:f>P278+P308</x:f>
        <x:v>0.2610740934045793</x:v>
      </x:c>
      <x:c r="Q338" s="16" t="n">
        <x:f>Q278+Q308</x:f>
        <x:v>0.33384869598383105</x:v>
      </x:c>
      <x:c r="R338" s="16" t="n">
        <x:f>R278+R308</x:f>
        <x:v>0.5796168231176608</x:v>
      </x:c>
      <x:c r="S338" s="16" t="n">
        <x:f>S278+S308</x:f>
        <x:v>0.333848695983831</x:v>
      </x:c>
      <x:c r="T338" s="2"/>
      <x:c r="U338" s="2"/>
      <x:c r="V338" s="2" t="n">
        <x:f>V278+V308</x:f>
        <x:v>0.1428243956211144</x:v>
      </x:c>
    </x:row>
    <x:row r="339" ht="22" customHeight="1">
      <x:c r="A339" s="2" t="str">
        <x:v>CR_STEADY</x:v>
      </x:c>
      <x:c r="B339" s="2" t="str">
        <x:v>UK total</x:v>
      </x:c>
      <x:c r="C339" s="2" t="n">
        <x:v>2031</x:v>
      </x:c>
      <x:c r="D339" s="16" t="n">
        <x:f>D279+D309</x:f>
        <x:v>1124130</x:v>
      </x:c>
      <x:c r="E339" s="16" t="n">
        <x:f>E279+E309</x:f>
        <x:v>46838.75</x:v>
      </x:c>
      <x:c r="F339" s="16" t="n">
        <x:f>F279+F309</x:f>
        <x:v>234193.75000000003</x:v>
      </x:c>
      <x:c r="G339" s="16" t="n">
        <x:f>G279+G309</x:f>
        <x:v>31816958.333333336</x:v>
      </x:c>
      <x:c r="H339" s="16" t="n">
        <x:f>H279+H309</x:f>
        <x:v>258599.06946769136</x:v>
      </x:c>
      <x:c r="I339" s="16" t="n">
        <x:f>I279+I309</x:f>
        <x:v>64565.05022704807</x:v>
      </x:c>
      <x:c r="J339" s="16" t="n">
        <x:f>J279+J309</x:f>
        <x:v>7764.143713603121</x:v>
      </x:c>
      <x:c r="K339" s="16" t="n">
        <x:f>K279+K309</x:f>
        <x:v>330928.26340834255</x:v>
      </x:c>
      <x:c r="L339" s="16" t="n">
        <x:f>L279+L309</x:f>
        <x:v>136246.02748105561</x:v>
      </x:c>
      <x:c r="M339" s="16" t="n">
        <x:f>M279+M309</x:f>
        <x:v>172850.94801261686</x:v>
      </x:c>
      <x:c r="N339" s="16" t="n">
        <x:f>N279+N309</x:f>
        <x:v>0.9481965880482015</x:v>
      </x:c>
      <x:c r="O339" s="16" t="n">
        <x:f>O279+O309</x:f>
        <x:v>1.213403632497256</x:v>
      </x:c>
      <x:c r="P339" s="16" t="n">
        <x:f>P279+P309</x:f>
        <x:v>0.49956876743053724</x:v>
      </x:c>
      <x:c r="Q339" s="16" t="n">
        <x:f>Q279+Q309</x:f>
        <x:v>0.6337868093795953</x:v>
      </x:c>
      <x:c r="R339" s="16" t="n">
        <x:f>R279+R309</x:f>
        <x:v>1.213403632497256</x:v>
      </x:c>
      <x:c r="S339" s="16" t="n">
        <x:f>S279+S309</x:f>
        <x:v>0.6337868093795951</x:v>
      </x:c>
      <x:c r="T339" s="2"/>
      <x:c r="U339" s="2"/>
      <x:c r="V339" s="2" t="n">
        <x:f>V279+V309</x:f>
        <x:v>0.24273814910722186</x:v>
      </x:c>
    </x:row>
    <x:row r="340" ht="22" customHeight="1">
      <x:c r="A340" s="2" t="str">
        <x:v>CR_STEADY</x:v>
      </x:c>
      <x:c r="B340" s="2" t="str">
        <x:v>UK total</x:v>
      </x:c>
      <x:c r="C340" s="2" t="n">
        <x:v>2032</x:v>
      </x:c>
      <x:c r="D340" s="16" t="n">
        <x:f>D280+D310</x:f>
        <x:v>1124130</x:v>
      </x:c>
      <x:c r="E340" s="16" t="n">
        <x:f>E280+E310</x:f>
        <x:v>46838.75</x:v>
      </x:c>
      <x:c r="F340" s="16" t="n">
        <x:f>F280+F310</x:f>
        <x:v>281032.5</x:v>
      </x:c>
      <x:c r="G340" s="16" t="n">
        <x:f>G280+G310</x:f>
        <x:v>38180350.00000001</x:v>
      </x:c>
      <x:c r="H340" s="16" t="n">
        <x:f>H280+H310</x:f>
        <x:v>498011.67326237325</x:v>
      </x:c>
      <x:c r="I340" s="16" t="n">
        <x:f>I280+I310</x:f>
        <x:v>124339.76952828375</x:v>
      </x:c>
      <x:c r="J340" s="16" t="n">
        <x:f>J280+J310</x:f>
        <x:v>10869.80119904437</x:v>
      </x:c>
      <x:c r="K340" s="16" t="n">
        <x:f>K280+K310</x:f>
        <x:v>633221.2439897014</x:v>
      </x:c>
      <x:c r="L340" s="16" t="n">
        <x:f>L280+L310</x:f>
        <x:v>239412.6037946819</x:v>
      </x:c>
      <x:c r="M340" s="16" t="n">
        <x:f>M280+M310</x:f>
        <x:v>302292.98058135883</x:v>
      </x:c>
      <x:c r="N340" s="16" t="n">
        <x:f>N280+N310</x:f>
        <x:v>1.8260428019620352</x:v>
      </x:c>
      <x:c r="O340" s="16" t="n">
        <x:f>O280+O310</x:f>
        <x:v>2.3218112279622387</x:v>
      </x:c>
      <x:c r="P340" s="16" t="n">
        <x:f>P280+P310</x:f>
        <x:v>0.8778462139138337</x:v>
      </x:c>
      <x:c r="Q340" s="16" t="n">
        <x:f>Q280+Q310</x:f>
        <x:v>1.1084075954649824</x:v>
      </x:c>
      <x:c r="R340" s="16" t="n">
        <x:f>R280+R310</x:f>
        <x:v>2.3218112279622387</x:v>
      </x:c>
      <x:c r="S340" s="16" t="n">
        <x:f>S280+S310</x:f>
        <x:v>1.1084075954649828</x:v>
      </x:c>
      <x:c r="T340" s="2"/>
      <x:c r="U340" s="2"/>
      <x:c r="V340" s="2" t="n">
        <x:f>V280+V310</x:f>
        <x:v>0.389045851426194</x:v>
      </x:c>
    </x:row>
    <x:row r="341" ht="22" customHeight="1">
      <x:c r="A341" s="2" t="str">
        <x:v>CR_STEADY</x:v>
      </x:c>
      <x:c r="B341" s="2" t="str">
        <x:v>UK total</x:v>
      </x:c>
      <x:c r="C341" s="2" t="n">
        <x:v>2033</x:v>
      </x:c>
      <x:c r="D341" s="16" t="n">
        <x:f>D281+D311</x:f>
        <x:v>1124130</x:v>
      </x:c>
      <x:c r="E341" s="16" t="n">
        <x:f>E281+E311</x:f>
        <x:v>46838.75</x:v>
      </x:c>
      <x:c r="F341" s="16" t="n">
        <x:f>F281+F311</x:f>
        <x:v>327871.25000000006</x:v>
      </x:c>
      <x:c r="G341" s="16" t="n">
        <x:f>G281+G311</x:f>
        <x:v>44543741.66666667</x:v>
      </x:c>
      <x:c r="H341" s="16" t="n">
        <x:f>H281+H311</x:f>
        <x:v>781777.2308925733</x:v>
      </x:c>
      <x:c r="I341" s="16" t="n">
        <x:f>I281+I311</x:f>
        <x:v>195188.1972461924</x:v>
      </x:c>
      <x:c r="J341" s="16" t="n">
        <x:f>J281+J311</x:f>
        <x:v>14493.068265392494</x:v>
      </x:c>
      <x:c r="K341" s="16" t="n">
        <x:f>K281+K311</x:f>
        <x:v>991458.4964041581</x:v>
      </x:c>
      <x:c r="L341" s="16" t="n">
        <x:f>L281+L311</x:f>
        <x:v>283765.55763019994</x:v>
      </x:c>
      <x:c r="M341" s="16" t="n">
        <x:f>M281+M311</x:f>
        <x:v>358237.2524144567</x:v>
      </x:c>
      <x:c r="N341" s="16" t="n">
        <x:f>N281+N311</x:f>
        <x:v>2.8665165132727686</x:v>
      </x:c>
      <x:c r="O341" s="16" t="n">
        <x:f>O281+O311</x:f>
        <x:v>3.6353478201485796</x:v>
      </x:c>
      <x:c r="P341" s="16" t="n">
        <x:f>P281+P311</x:f>
        <x:v>1.0404737113107332</x:v>
      </x:c>
      <x:c r="Q341" s="16" t="n">
        <x:f>Q281+Q311</x:f>
        <x:v>1.313536592186341</x:v>
      </x:c>
      <x:c r="R341" s="16" t="n">
        <x:f>R281+R311</x:f>
        <x:v>3.6353478201485796</x:v>
      </x:c>
      <x:c r="S341" s="16" t="n">
        <x:f>S281+S311</x:f>
        <x:v>1.313536592186341</x:v>
      </x:c>
      <x:c r="T341" s="2"/>
      <x:c r="U341" s="2"/>
      <x:c r="V341" s="2" t="n">
        <x:f>V281+V311</x:f>
        <x:v>0.5376849530420132</x:v>
      </x:c>
    </x:row>
    <x:row r="342" ht="22" customHeight="1">
      <x:c r="A342" s="2" t="str">
        <x:v>CR_STEADY</x:v>
      </x:c>
      <x:c r="B342" s="2" t="str">
        <x:v>UK total</x:v>
      </x:c>
      <x:c r="C342" s="2" t="n">
        <x:v>2034</x:v>
      </x:c>
      <x:c r="D342" s="16" t="n">
        <x:f>D282+D312</x:f>
        <x:v>1124130</x:v>
      </x:c>
      <x:c r="E342" s="16" t="n">
        <x:f>E282+E312</x:f>
        <x:v>46838.75</x:v>
      </x:c>
      <x:c r="F342" s="16" t="n">
        <x:f>F282+F312</x:f>
        <x:v>374710</x:v>
      </x:c>
      <x:c r="G342" s="16" t="n">
        <x:f>G282+G312</x:f>
        <x:v>50907133.333333336</x:v>
      </x:c>
      <x:c r="H342" s="16" t="n">
        <x:f>H282+H312</x:f>
        <x:v>1109895.7423582918</x:v>
      </x:c>
      <x:c r="I342" s="16" t="n">
        <x:f>I282+I312</x:f>
        <x:v>277110.33338077413</x:v>
      </x:c>
      <x:c r="J342" s="16" t="n">
        <x:f>J282+J312</x:f>
        <x:v>18633.94491264749</x:v>
      </x:c>
      <x:c r="K342" s="16" t="n">
        <x:f>K282+K312</x:f>
        <x:v>1405640.0206517132</x:v>
      </x:c>
      <x:c r="L342" s="16" t="n">
        <x:f>L282+L312</x:f>
        <x:v>328118.51146571856</x:v>
      </x:c>
      <x:c r="M342" s="16" t="n">
        <x:f>M282+M312</x:f>
        <x:v>414181.5242475552</x:v>
      </x:c>
      <x:c r="N342" s="16" t="n">
        <x:f>N282+N312</x:f>
        <x:v>4.0696177219804035</x:v>
      </x:c>
      <x:c r="O342" s="16" t="n">
        <x:f>O282+O312</x:f>
        <x:v>5.154013409056282</x:v>
      </x:c>
      <x:c r="P342" s="16" t="n">
        <x:f>P282+P312</x:f>
        <x:v>1.2031012087076347</x:v>
      </x:c>
      <x:c r="Q342" s="16" t="n">
        <x:f>Q282+Q312</x:f>
        <x:v>1.518665588907702</x:v>
      </x:c>
      <x:c r="R342" s="16" t="n">
        <x:f>R282+R312</x:f>
        <x:v>5.154013409056282</x:v>
      </x:c>
      <x:c r="S342" s="16" t="n">
        <x:f>S282+S312</x:f>
        <x:v>1.5186655889077023</x:v>
      </x:c>
      <x:c r="T342" s="2"/>
      <x:c r="U342" s="2"/>
      <x:c r="V342" s="2" t="n">
        <x:f>V282+V312</x:f>
        <x:v>0.6880726041304673</x:v>
      </x:c>
    </x:row>
    <x:row r="343" ht="22" customHeight="1">
      <x:c r="A343" s="2" t="str">
        <x:v>CR_STEADY</x:v>
      </x:c>
      <x:c r="B343" s="2" t="str">
        <x:v>UK total</x:v>
      </x:c>
      <x:c r="C343" s="2" t="n">
        <x:v>2035</x:v>
      </x:c>
      <x:c r="D343" s="16" t="n">
        <x:f>D283+D313</x:f>
        <x:v>1124130</x:v>
      </x:c>
      <x:c r="E343" s="16" t="n">
        <x:f>E283+E313</x:f>
        <x:v>46838.75</x:v>
      </x:c>
      <x:c r="F343" s="16" t="n">
        <x:f>F283+F313</x:f>
        <x:v>421548.75000000006</x:v>
      </x:c>
      <x:c r="G343" s="16" t="n">
        <x:f>G283+G313</x:f>
        <x:v>57270525.00000001</x:v>
      </x:c>
      <x:c r="H343" s="16" t="n">
        <x:f>H283+H313</x:f>
        <x:v>1482367.2076595284</x:v>
      </x:c>
      <x:c r="I343" s="16" t="n">
        <x:f>I283+I313</x:f>
        <x:v>370106.17793202883</x:v>
      </x:c>
      <x:c r="J343" s="16" t="n">
        <x:f>J283+J313</x:f>
        <x:v>23292.431140809364</x:v>
      </x:c>
      <x:c r="K343" s="16" t="n">
        <x:f>K283+K313</x:f>
        <x:v>1875765.8167323666</x:v>
      </x:c>
      <x:c r="L343" s="16" t="n">
        <x:f>L283+L313</x:f>
        <x:v>372471.46530123666</x:v>
      </x:c>
      <x:c r="M343" s="16" t="n">
        <x:f>M283+M313</x:f>
        <x:v>470125.79608065344</x:v>
      </x:c>
      <x:c r="N343" s="16" t="n">
        <x:f>N283+N313</x:f>
        <x:v>5.435346428084938</x:v>
      </x:c>
      <x:c r="O343" s="16" t="n">
        <x:f>O283+O313</x:f>
        <x:v>6.8778079946853445</x:v>
      </x:c>
      <x:c r="P343" s="16" t="n">
        <x:f>P283+P313</x:f>
        <x:v>1.3657287061045342</x:v>
      </x:c>
      <x:c r="Q343" s="16" t="n">
        <x:f>Q283+Q313</x:f>
        <x:v>1.7237945856290626</x:v>
      </x:c>
      <x:c r="R343" s="16" t="n">
        <x:f>R283+R313</x:f>
        <x:v>6.8778079946853445</x:v>
      </x:c>
      <x:c r="S343" s="16" t="n">
        <x:f>S283+S313</x:f>
        <x:v>1.7237945856290628</x:v>
      </x:c>
      <x:c r="T343" s="2"/>
      <x:c r="U343" s="2"/>
      <x:c r="V343" s="2" t="n">
        <x:f>V283+V313</x:f>
        <x:v>0.8398202381420825</x:v>
      </x:c>
    </x:row>
    <x:row r="344" ht="22" customHeight="1">
      <x:c r="A344" s="2" t="str">
        <x:v>CR_STEADY</x:v>
      </x:c>
      <x:c r="B344" s="2" t="str">
        <x:v>UK total</x:v>
      </x:c>
      <x:c r="C344" s="2" t="n">
        <x:v>2036</x:v>
      </x:c>
      <x:c r="D344" s="16" t="n">
        <x:f>D284+D314</x:f>
        <x:v>1124130</x:v>
      </x:c>
      <x:c r="E344" s="16" t="n">
        <x:f>E284+E314</x:f>
        <x:v>46838.75</x:v>
      </x:c>
      <x:c r="F344" s="16" t="n">
        <x:f>F284+F314</x:f>
        <x:v>468387.50000000006</x:v>
      </x:c>
      <x:c r="G344" s="16" t="n">
        <x:f>G284+G314</x:f>
        <x:v>63633916.66666667</x:v>
      </x:c>
      <x:c r="H344" s="16" t="n">
        <x:f>H284+H314</x:f>
        <x:v>1929863.9439495285</x:v>
      </x:c>
      <x:c r="I344" s="16" t="n">
        <x:f>I284+I314</x:f>
        <x:v>481833.76192712015</x:v>
      </x:c>
      <x:c r="J344" s="16" t="n">
        <x:f>J284+J314</x:f>
        <x:v>28468.52694987811</x:v>
      </x:c>
      <x:c r="K344" s="16" t="n">
        <x:f>K284+K314</x:f>
        <x:v>2440166.2328265267</x:v>
      </x:c>
      <x:c r="L344" s="16" t="n">
        <x:f>L284+L314</x:f>
        <x:v>447496.73629000015</x:v>
      </x:c>
      <x:c r="M344" s="16" t="n">
        <x:f>M284+M314</x:f>
        <x:v>564400.4160941602</x:v>
      </x:c>
      <x:c r="N344" s="16" t="n">
        <x:f>N284+N314</x:f>
        <x:v>7.076167794481604</x:v>
      </x:c>
      <x:c r="O344" s="16" t="n">
        <x:f>O284+O314</x:f>
        <x:v>8.9472761870306</x:v>
      </x:c>
      <x:c r="P344" s="16" t="n">
        <x:f>P284+P314</x:f>
        <x:v>1.640821366396667</x:v>
      </x:c>
      <x:c r="Q344" s="16" t="n">
        <x:f>Q284+Q314</x:f>
        <x:v>2.069468192345254</x:v>
      </x:c>
      <x:c r="R344" s="16" t="n">
        <x:f>R284+R314</x:f>
        <x:v>8.9472761870306</x:v>
      </x:c>
      <x:c r="S344" s="16" t="n">
        <x:f>S284+S314</x:f>
        <x:v>2.069468192345255</x:v>
      </x:c>
      <x:c r="T344" s="2"/>
      <x:c r="U344" s="2"/>
      <x:c r="V344" s="2" t="n">
        <x:f>V284+V314</x:f>
        <x:v>1.0039023747817493</x:v>
      </x:c>
    </x:row>
    <x:row r="345" ht="22" customHeight="1">
      <x:c r="A345" s="2" t="str">
        <x:v>CR_STEADY</x:v>
      </x:c>
      <x:c r="B345" s="2" t="str">
        <x:v>UK total</x:v>
      </x:c>
      <x:c r="C345" s="2" t="n">
        <x:v>2037</x:v>
      </x:c>
      <x:c r="D345" s="16" t="n">
        <x:f>D285+D315</x:f>
        <x:v>1124130</x:v>
      </x:c>
      <x:c r="E345" s="16" t="n">
        <x:f>E285+E315</x:f>
        <x:v>46838.75</x:v>
      </x:c>
      <x:c r="F345" s="16" t="n">
        <x:f>F285+F315</x:f>
        <x:v>515226.25000000006</x:v>
      </x:c>
      <x:c r="G345" s="16" t="n">
        <x:f>G285+G315</x:f>
        <x:v>69997308.33333334</x:v>
      </x:c>
      <x:c r="H345" s="16" t="n">
        <x:f>H285+H315</x:f>
        <x:v>2487793.0667547085</x:v>
      </x:c>
      <x:c r="I345" s="16" t="n">
        <x:f>I285+I315</x:f>
        <x:v>621133.2648650063</x:v>
      </x:c>
      <x:c r="J345" s="16" t="n">
        <x:f>J285+J315</x:f>
        <x:v>34162.232339853734</x:v>
      </x:c>
      <x:c r="K345" s="16" t="n">
        <x:f>K285+K315</x:f>
        <x:v>3143088.5639595683</x:v>
      </x:c>
      <x:c r="L345" s="16" t="n">
        <x:f>L285+L315</x:f>
        <x:v>557929.1228051798</x:v>
      </x:c>
      <x:c r="M345" s="16" t="n">
        <x:f>M285+M315</x:f>
        <x:v>702922.3311330414</x:v>
      </x:c>
      <x:c r="N345" s="16" t="n">
        <x:f>N285+N315</x:f>
        <x:v>9.121907911433931</x:v>
      </x:c>
      <x:c r="O345" s="16" t="n">
        <x:f>O285+O315</x:f>
        <x:v>11.524658067851751</x:v>
      </x:c>
      <x:c r="P345" s="16" t="n">
        <x:f>P285+P315</x:f>
        <x:v>2.045740116952326</x:v>
      </x:c>
      <x:c r="Q345" s="16" t="n">
        <x:f>Q285+Q315</x:f>
        <x:v>2.5773818808211515</x:v>
      </x:c>
      <x:c r="R345" s="16" t="n">
        <x:f>R285+R315</x:f>
        <x:v>11.524658067851751</x:v>
      </x:c>
      <x:c r="S345" s="16" t="n">
        <x:f>S285+S315</x:f>
        <x:v>2.5773818808211524</x:v>
      </x:c>
      <x:c r="T345" s="2"/>
      <x:c r="U345" s="2"/>
      <x:c r="V345" s="2" t="n">
        <x:f>V285+V315</x:f>
        <x:v>1.1898787490501426</x:v>
      </x:c>
    </x:row>
    <x:row r="346" ht="22" customHeight="1">
      <x:c r="A346" s="2" t="str">
        <x:v>CR_STEADY</x:v>
      </x:c>
      <x:c r="B346" s="2" t="str">
        <x:v>UK total</x:v>
      </x:c>
      <x:c r="C346" s="2" t="n">
        <x:v>2038</x:v>
      </x:c>
      <x:c r="D346" s="16" t="n">
        <x:f>D286+D316</x:f>
        <x:v>1124130</x:v>
      </x:c>
      <x:c r="E346" s="16" t="n">
        <x:f>E286+E316</x:f>
        <x:v>46838.75</x:v>
      </x:c>
      <x:c r="F346" s="16" t="n">
        <x:f>F286+F316</x:f>
        <x:v>562065</x:v>
      </x:c>
      <x:c r="G346" s="16" t="n">
        <x:f>G286+G316</x:f>
        <x:v>76360700.00000001</x:v>
      </x:c>
      <x:c r="H346" s="16" t="n">
        <x:f>H286+H316</x:f>
        <x:v>3156154.5760750696</x:v>
      </x:c>
      <x:c r="I346" s="16" t="n">
        <x:f>I286+I316</x:f>
        <x:v>788004.686745688</x:v>
      </x:c>
      <x:c r="J346" s="16" t="n">
        <x:f>J286+J316</x:f>
        <x:v>40373.54731073623</x:v>
      </x:c>
      <x:c r="K346" s="16" t="n">
        <x:f>K286+K316</x:f>
        <x:v>3984532.8101314944</x:v>
      </x:c>
      <x:c r="L346" s="16" t="n">
        <x:f>L286+L316</x:f>
        <x:v>668361.5093203614</x:v>
      </x:c>
      <x:c r="M346" s="16" t="n">
        <x:f>M286+M316</x:f>
        <x:v>841444.2461719259</x:v>
      </x:c>
      <x:c r="N346" s="16" t="n">
        <x:f>N286+N316</x:f>
        <x:v>11.57256677894192</x:v>
      </x:c>
      <x:c r="O346" s="16" t="n">
        <x:f>O286+O316</x:f>
        <x:v>14.609953637148813</x:v>
      </x:c>
      <x:c r="P346" s="16" t="n">
        <x:f>P286+P316</x:f>
        <x:v>2.4506588675079923</x:v>
      </x:c>
      <x:c r="Q346" s="16" t="n">
        <x:f>Q286+Q316</x:f>
        <x:v>3.0852955692970614</x:v>
      </x:c>
      <x:c r="R346" s="16" t="n">
        <x:f>R286+R316</x:f>
        <x:v>14.609953637148813</x:v>
      </x:c>
      <x:c r="S346" s="16" t="n">
        <x:f>S286+S316</x:f>
        <x:v>3.085295569297061</x:v>
      </x:c>
      <x:c r="T346" s="2"/>
      <x:c r="U346" s="2"/>
      <x:c r="V346" s="2" t="n">
        <x:f>V286+V316</x:f>
        <x:v>1.3941003213424752</x:v>
      </x:c>
    </x:row>
    <x:row r="347" ht="22" customHeight="1">
      <x:c r="A347" s="2" t="str">
        <x:v>CR_STEADY</x:v>
      </x:c>
      <x:c r="B347" s="2" t="str">
        <x:v>UK total</x:v>
      </x:c>
      <x:c r="C347" s="2" t="n">
        <x:v>2039</x:v>
      </x:c>
      <x:c r="D347" s="16" t="n">
        <x:f>D287+D317</x:f>
        <x:v>1124130</x:v>
      </x:c>
      <x:c r="E347" s="16" t="n">
        <x:f>E287+E317</x:f>
        <x:v>46838.75</x:v>
      </x:c>
      <x:c r="F347" s="16" t="n">
        <x:f>F287+F317</x:f>
        <x:v>608903.75</x:v>
      </x:c>
      <x:c r="G347" s="16" t="n">
        <x:f>G287+G317</x:f>
        <x:v>82724091.66666669</x:v>
      </x:c>
      <x:c r="H347" s="16" t="n">
        <x:f>H287+H317</x:f>
        <x:v>3934948.471910611</x:v>
      </x:c>
      <x:c r="I347" s="16" t="n">
        <x:f>I287+I317</x:f>
        <x:v>982448.0275691643</x:v>
      </x:c>
      <x:c r="J347" s="16" t="n">
        <x:f>J287+J317</x:f>
        <x:v>47102.4718625256</x:v>
      </x:c>
      <x:c r="K347" s="16" t="n">
        <x:f>K287+K317</x:f>
        <x:v>4964498.9713423</x:v>
      </x:c>
      <x:c r="L347" s="16" t="n">
        <x:f>L287+L317</x:f>
        <x:v>778793.8958355407</x:v>
      </x:c>
      <x:c r="M347" s="16" t="n">
        <x:f>M287+M317</x:f>
        <x:v>979966.1612108062</x:v>
      </x:c>
      <x:c r="N347" s="16" t="n">
        <x:f>N287+N317</x:f>
        <x:v>14.428144397005573</x:v>
      </x:c>
      <x:c r="O347" s="16" t="n">
        <x:f>O287+O317</x:f>
        <x:v>18.203162894921768</x:v>
      </x:c>
      <x:c r="P347" s="16" t="n">
        <x:f>P287+P317</x:f>
        <x:v>2.8555776180636494</x:v>
      </x:c>
      <x:c r="Q347" s="16" t="n">
        <x:f>Q287+Q317</x:f>
        <x:v>3.593209257772956</x:v>
      </x:c>
      <x:c r="R347" s="16" t="n">
        <x:f>R287+R317</x:f>
        <x:v>18.203162894921768</x:v>
      </x:c>
      <x:c r="S347" s="16" t="n">
        <x:f>S287+S317</x:f>
        <x:v>3.5932092577729553</x:v>
      </x:c>
      <x:c r="T347" s="2"/>
      <x:c r="U347" s="2"/>
      <x:c r="V347" s="2" t="n">
        <x:f>V287+V317</x:f>
        <x:v>1.613760138116602</x:v>
      </x:c>
    </x:row>
    <x:row r="348" ht="22" customHeight="1">
      <x:c r="A348" s="2" t="str">
        <x:v>CR_STEADY</x:v>
      </x:c>
      <x:c r="B348" s="2" t="str">
        <x:v>UK total</x:v>
      </x:c>
      <x:c r="C348" s="2" t="n">
        <x:v>2040</x:v>
      </x:c>
      <x:c r="D348" s="16" t="n">
        <x:f>D288+D318</x:f>
        <x:v>1124130</x:v>
      </x:c>
      <x:c r="E348" s="16" t="n">
        <x:f>E288+E318</x:f>
        <x:v>46838.75</x:v>
      </x:c>
      <x:c r="F348" s="16" t="n">
        <x:f>F288+F318</x:f>
        <x:v>655742.5000000001</x:v>
      </x:c>
      <x:c r="G348" s="16" t="n">
        <x:f>G288+G318</x:f>
        <x:v>89087483.33333334</x:v>
      </x:c>
      <x:c r="H348" s="16" t="n">
        <x:f>H288+H318</x:f>
        <x:v>4784175.641714923</x:v>
      </x:c>
      <x:c r="I348" s="16" t="n">
        <x:f>I288+I318</x:f>
        <x:v>1194476.6129212077</x:v>
      </x:c>
      <x:c r="J348" s="16" t="n">
        <x:f>J288+J318</x:f>
        <x:v>54349.00599522184</x:v>
      </x:c>
      <x:c r="K348" s="16" t="n">
        <x:f>K288+K318</x:f>
        <x:v>6033001.260631353</x:v>
      </x:c>
      <x:c r="L348" s="16" t="n">
        <x:f>L288+L318</x:f>
        <x:v>849227.169804313</x:v>
      </x:c>
      <x:c r="M348" s="16" t="n">
        <x:f>M288+M318</x:f>
        <x:v>1068502.2892890524</x:v>
      </x:c>
      <x:c r="N348" s="16" t="n">
        <x:f>N288+N318</x:f>
        <x:v>17.54197735295472</x:v>
      </x:c>
      <x:c r="O348" s="16" t="n">
        <x:f>O288+O318</x:f>
        <x:v>22.121004622314963</x:v>
      </x:c>
      <x:c r="P348" s="16" t="n">
        <x:f>P288+P318</x:f>
        <x:v>3.1138329559491478</x:v>
      </x:c>
      <x:c r="Q348" s="16" t="n">
        <x:f>Q288+Q318</x:f>
        <x:v>3.917841727393193</x:v>
      </x:c>
      <x:c r="R348" s="16" t="n">
        <x:f>R288+R318</x:f>
        <x:v>22.121004622314963</x:v>
      </x:c>
      <x:c r="S348" s="16" t="n">
        <x:f>S288+S318</x:f>
        <x:v>3.9178417273931947</x:v>
      </x:c>
      <x:c r="T348" s="2"/>
      <x:c r="U348" s="2"/>
      <x:c r="V348" s="2" t="n">
        <x:f>V288+V318</x:f>
        <x:v>1.8361767778272553</x:v>
      </x:c>
    </x:row>
    <x:row r="349" ht="22" customHeight="1">
      <x:c r="A349" s="2" t="str">
        <x:v>CR_STEADY</x:v>
      </x:c>
      <x:c r="B349" s="2" t="str">
        <x:v>UK total</x:v>
      </x:c>
      <x:c r="C349" s="2" t="n">
        <x:v>2041</x:v>
      </x:c>
      <x:c r="D349" s="16" t="n">
        <x:f>D289+D319</x:f>
        <x:v>1124130</x:v>
      </x:c>
      <x:c r="E349" s="16" t="n">
        <x:f>E289+E319</x:f>
        <x:v>46838.75</x:v>
      </x:c>
      <x:c r="F349" s="16" t="n">
        <x:f>F289+F319</x:f>
        <x:v>702581.25</x:v>
      </x:c>
      <x:c r="G349" s="16" t="n">
        <x:f>G289+G319</x:f>
        <x:v>95450875.00000001</x:v>
      </x:c>
      <x:c r="H349" s="16" t="n">
        <x:f>H289+H319</x:f>
        <x:v>5746046.282343028</x:v>
      </x:c>
      <x:c r="I349" s="16" t="n">
        <x:f>I289+I319</x:f>
        <x:v>1434629.1639412546</x:v>
      </x:c>
      <x:c r="J349" s="16" t="n">
        <x:f>J289+J319</x:f>
        <x:v>62113.14970882497</x:v>
      </x:c>
      <x:c r="K349" s="16" t="n">
        <x:f>K289+K319</x:f>
        <x:v>7242788.595993107</x:v>
      </x:c>
      <x:c r="L349" s="16" t="n">
        <x:f>L289+L319</x:f>
        <x:v>961870.6406281048</x:v>
      </x:c>
      <x:c r="M349" s="16" t="n">
        <x:f>M289+M319</x:f>
        <x:v>1209787.3353617545</x:v>
      </x:c>
      <x:c r="N349" s="16" t="n">
        <x:f>N289+N319</x:f>
        <x:v>21.068836368591107</x:v>
      </x:c>
      <x:c r="O349" s="16" t="n">
        <x:f>O289+O319</x:f>
        <x:v>26.556891518641393</x:v>
      </x:c>
      <x:c r="P349" s="16" t="n">
        <x:f>P289+P319</x:f>
        <x:v>3.526859015636384</x:v>
      </x:c>
      <x:c r="Q349" s="16" t="n">
        <x:f>Q289+Q319</x:f>
        <x:v>4.4358868963264335</x:v>
      </x:c>
      <x:c r="R349" s="16" t="n">
        <x:f>R289+R319</x:f>
        <x:v>26.556891518641393</x:v>
      </x:c>
      <x:c r="S349" s="16" t="n">
        <x:f>S289+S319</x:f>
        <x:v>4.435886896326431</x:v>
      </x:c>
      <x:c r="T349" s="2"/>
      <x:c r="U349" s="2"/>
      <x:c r="V349" s="2" t="n">
        <x:f>V289+V319</x:f>
        <x:v>2.0713007122030143</x:v>
      </x:c>
    </x:row>
    <x:row r="350" ht="22" customHeight="1">
      <x:c r="A350" s="2" t="str">
        <x:v>CR_STEADY</x:v>
      </x:c>
      <x:c r="B350" s="2" t="str">
        <x:v>UK total</x:v>
      </x:c>
      <x:c r="C350" s="2" t="n">
        <x:v>2042</x:v>
      </x:c>
      <x:c r="D350" s="16" t="n">
        <x:f>D290+D320</x:f>
        <x:v>1124130</x:v>
      </x:c>
      <x:c r="E350" s="16" t="n">
        <x:f>E290+E320</x:f>
        <x:v>46838.75</x:v>
      </x:c>
      <x:c r="F350" s="16" t="n">
        <x:f>F290+F320</x:f>
        <x:v>749420</x:v>
      </x:c>
      <x:c r="G350" s="16" t="n">
        <x:f>G290+G320</x:f>
        <x:v>101814266.66666667</x:v>
      </x:c>
      <x:c r="H350" s="16" t="n">
        <x:f>H290+H320</x:f>
        <x:v>6830040.534313595</x:v>
      </x:c>
      <x:c r="I350" s="16" t="n">
        <x:f>I290+I320</x:f>
        <x:v>1705272.6100618339</x:v>
      </x:c>
      <x:c r="J350" s="16" t="n">
        <x:f>J290+J320</x:f>
        <x:v>70394.90300333497</x:v>
      </x:c>
      <x:c r="K350" s="16" t="n">
        <x:f>K290+K320</x:f>
        <x:v>8605708.047378764</x:v>
      </x:c>
      <x:c r="L350" s="16" t="n">
        <x:f>L290+L320</x:f>
        <x:v>1083994.251970566</x:v>
      </x:c>
      <x:c r="M350" s="16" t="n">
        <x:f>M290+M320</x:f>
        <x:v>1362919.451385656</x:v>
      </x:c>
      <x:c r="N350" s="16" t="n">
        <x:f>N290+N320</x:f>
        <x:v>25.04348195914985</x:v>
      </x:c>
      <x:c r="O350" s="16" t="n">
        <x:f>O290+O320</x:f>
        <x:v>31.554262840388795</x:v>
      </x:c>
      <x:c r="P350" s="16" t="n">
        <x:f>P290+P320</x:f>
        <x:v>3.974645590558743</x:v>
      </x:c>
      <x:c r="Q350" s="16" t="n">
        <x:f>Q290+Q320</x:f>
        <x:v>4.997371321747405</x:v>
      </x:c>
      <x:c r="R350" s="16" t="n">
        <x:f>R290+R320</x:f>
        <x:v>31.554262840388795</x:v>
      </x:c>
      <x:c r="S350" s="16" t="n">
        <x:f>S290+S320</x:f>
        <x:v>4.9973713217474005</x:v>
      </x:c>
      <x:c r="T350" s="2"/>
      <x:c r="U350" s="2"/>
      <x:c r="V350" s="2" t="n">
        <x:f>V290+V320</x:f>
        <x:v>2.3197160616129358</x:v>
      </x:c>
    </x:row>
    <x:row r="351" ht="22" customHeight="1">
      <x:c r="A351" s="2" t="str">
        <x:v>CR_STEADY</x:v>
      </x:c>
      <x:c r="B351" s="2" t="str">
        <x:v>UK total</x:v>
      </x:c>
      <x:c r="C351" s="2" t="n">
        <x:v>2043</x:v>
      </x:c>
      <x:c r="D351" s="16" t="n">
        <x:f>D291+D321</x:f>
        <x:v>1124130</x:v>
      </x:c>
      <x:c r="E351" s="16" t="n">
        <x:f>E291+E321</x:f>
        <x:v>46838.75</x:v>
      </x:c>
      <x:c r="F351" s="16" t="n">
        <x:f>F291+F321</x:f>
        <x:v>796258.7500000001</x:v>
      </x:c>
      <x:c r="G351" s="16" t="n">
        <x:f>G291+G321</x:f>
        <x:v>108177658.33333334</x:v>
      </x:c>
      <x:c r="H351" s="16" t="n">
        <x:f>H291+H321</x:f>
        <x:v>8027858.215733987</x:v>
      </x:c>
      <x:c r="I351" s="16" t="n">
        <x:f>I291+I321</x:f>
        <x:v>2004334.6249520932</x:v>
      </x:c>
      <x:c r="J351" s="16" t="n">
        <x:f>J291+J321</x:f>
        <x:v>79194.26587875183</x:v>
      </x:c>
      <x:c r="K351" s="16" t="n">
        <x:f>K291+K321</x:f>
        <x:v>10111387.106564831</x:v>
      </x:c>
      <x:c r="L351" s="16" t="n">
        <x:f>L291+L321</x:f>
        <x:v>1197817.6814203924</x:v>
      </x:c>
      <x:c r="M351" s="16" t="n">
        <x:f>M291+M321</x:f>
        <x:v>1505679.059186068</x:v>
      </x:c>
      <x:c r="N351" s="16" t="n">
        <x:f>N291+N321</x:f>
        <x:v>29.435480124357955</x:v>
      </x:c>
      <x:c r="O351" s="16" t="n">
        <x:f>O291+O321</x:f>
        <x:v>37.07508605740438</x:v>
      </x:c>
      <x:c r="P351" s="16" t="n">
        <x:f>P291+P321</x:f>
        <x:v>4.391998165208106</x:v>
      </x:c>
      <x:c r="Q351" s="16" t="n">
        <x:f>Q291+Q321</x:f>
        <x:v>5.520823217015582</x:v>
      </x:c>
      <x:c r="R351" s="16" t="n">
        <x:f>R291+R321</x:f>
        <x:v>37.07508605740438</x:v>
      </x:c>
      <x:c r="S351" s="16" t="n">
        <x:f>S291+S321</x:f>
        <x:v>5.520823217015586</x:v>
      </x:c>
      <x:c r="T351" s="2"/>
      <x:c r="U351" s="2"/>
      <x:c r="V351" s="2" t="n">
        <x:f>V291+V321</x:f>
        <x:v>2.578068894860471</x:v>
      </x:c>
    </x:row>
    <x:row r="352" ht="22" customHeight="1">
      <x:c r="A352" s="2" t="str">
        <x:v>CR_STEADY</x:v>
      </x:c>
      <x:c r="B352" s="2" t="str">
        <x:v>UK total</x:v>
      </x:c>
      <x:c r="C352" s="2" t="n">
        <x:v>2044</x:v>
      </x:c>
      <x:c r="D352" s="16" t="n">
        <x:f>D292+D322</x:f>
        <x:v>1124130</x:v>
      </x:c>
      <x:c r="E352" s="16" t="n">
        <x:f>E292+E322</x:f>
        <x:v>46838.75</x:v>
      </x:c>
      <x:c r="F352" s="16" t="n">
        <x:f>F292+F322</x:f>
        <x:v>843097.5000000001</x:v>
      </x:c>
      <x:c r="G352" s="16" t="n">
        <x:f>G292+G322</x:f>
        <x:v>114541050.00000001</x:v>
      </x:c>
      <x:c r="H352" s="16" t="n">
        <x:f>H292+H322</x:f>
        <x:v>9350686.384151997</x:v>
      </x:c>
      <x:c r="I352" s="16" t="n">
        <x:f>I292+I322</x:f>
        <x:v>2334608.308115263</x:v>
      </x:c>
      <x:c r="J352" s="16" t="n">
        <x:f>J292+J322</x:f>
        <x:v>88511.23833507558</x:v>
      </x:c>
      <x:c r="K352" s="16" t="n">
        <x:f>K292+K322</x:f>
        <x:v>11773805.930602336</x:v>
      </x:c>
      <x:c r="L352" s="16" t="n">
        <x:f>L292+L322</x:f>
        <x:v>1322828.1684180102</x:v>
      </x:c>
      <x:c r="M352" s="16" t="n">
        <x:f>M292+M322</x:f>
        <x:v>1662418.8240375048</x:v>
      </x:c>
      <x:c r="N352" s="16" t="n">
        <x:f>N292+N322</x:f>
        <x:v>34.28585007522398</x:v>
      </x:c>
      <x:c r="O352" s="16" t="n">
        <x:f>O292+O322</x:f>
        <x:v>43.170621745541894</x:v>
      </x:c>
      <x:c r="P352" s="16" t="n">
        <x:f>P292+P322</x:f>
        <x:v>4.850369950866038</x:v>
      </x:c>
      <x:c r="Q352" s="16" t="n">
        <x:f>Q292+Q322</x:f>
        <x:v>6.095535688137518</x:v>
      </x:c>
      <x:c r="R352" s="16" t="n">
        <x:f>R292+R322</x:f>
        <x:v>43.170621745541894</x:v>
      </x:c>
      <x:c r="S352" s="16" t="n">
        <x:f>S292+S322</x:f>
        <x:v>6.095535688137516</x:v>
      </x:c>
      <x:c r="T352" s="2"/>
      <x:c r="U352" s="2"/>
      <x:c r="V352" s="2" t="n">
        <x:f>V292+V322</x:f>
        <x:v>2.8475338921308064</x:v>
      </x:c>
    </x:row>
    <x:row r="353" ht="22" customHeight="1">
      <x:c r="A353" s="2" t="str">
        <x:v>CR_STEADY</x:v>
      </x:c>
      <x:c r="B353" s="2" t="str">
        <x:v>UK total</x:v>
      </x:c>
      <x:c r="C353" s="2" t="n">
        <x:v>2045</x:v>
      </x:c>
      <x:c r="D353" s="16" t="n">
        <x:f>D293+D323</x:f>
        <x:v>1124130</x:v>
      </x:c>
      <x:c r="E353" s="16" t="n">
        <x:f>E293+E323</x:f>
        <x:v>46838.75</x:v>
      </x:c>
      <x:c r="F353" s="16" t="n">
        <x:f>F293+F323</x:f>
        <x:v>889936.2500000001</x:v>
      </x:c>
      <x:c r="G353" s="16" t="n">
        <x:f>G293+G323</x:f>
        <x:v>120904441.66666669</x:v>
      </x:c>
      <x:c r="H353" s="16" t="n">
        <x:f>H293+H323</x:f>
        <x:v>10762177.065020869</x:v>
      </x:c>
      <x:c r="I353" s="16" t="n">
        <x:f>I293+I323</x:f>
        <x:v>2687018.573523023</x:v>
      </x:c>
      <x:c r="J353" s="16" t="n">
        <x:f>J293+J323</x:f>
        <x:v>98345.8203723062</x:v>
      </x:c>
      <x:c r="K353" s="16" t="n">
        <x:f>K293+K323</x:f>
        <x:v>13547541.458916198</x:v>
      </x:c>
      <x:c r="L353" s="16" t="n">
        <x:f>L293+L323</x:f>
        <x:v>1411490.680868871</x:v>
      </x:c>
      <x:c r="M353" s="16" t="n">
        <x:f>M293+M323</x:f>
        <x:v>1773735.528313862</x:v>
      </x:c>
      <x:c r="N353" s="16" t="n">
        <x:f>N293+N323</x:f>
        <x:v>39.46131590507652</x:v>
      </x:c>
      <x:c r="O353" s="16" t="n">
        <x:f>O293+O323</x:f>
        <x:v>49.67431868269273</x:v>
      </x:c>
      <x:c r="P353" s="16" t="n">
        <x:f>P293+P323</x:f>
        <x:v>5.175465829852526</x:v>
      </x:c>
      <x:c r="Q353" s="16" t="n">
        <x:f>Q293+Q323</x:f>
        <x:v>6.503696937150828</x:v>
      </x:c>
      <x:c r="R353" s="16" t="n">
        <x:f>R293+R323</x:f>
        <x:v>49.67431868269273</x:v>
      </x:c>
      <x:c r="S353" s="16" t="n">
        <x:f>S293+S323</x:f>
        <x:v>6.50369693715083</x:v>
      </x:c>
      <x:c r="T353" s="2"/>
      <x:c r="U353" s="2"/>
      <x:c r="V353" s="2" t="n">
        <x:f>V293+V323</x:f>
        <x:v>3.119926830544098</x:v>
      </x:c>
    </x:row>
    <x:row r="354" ht="22" customHeight="1">
      <x:c r="A354" s="2" t="str">
        <x:v>CR_STEADY</x:v>
      </x:c>
      <x:c r="B354" s="2" t="str">
        <x:v>UK total</x:v>
      </x:c>
      <x:c r="C354" s="2" t="n">
        <x:v>2046</x:v>
      </x:c>
      <x:c r="D354" s="16" t="n">
        <x:f>D294+D324</x:f>
        <x:v>1124130</x:v>
      </x:c>
      <x:c r="E354" s="16" t="n">
        <x:f>E294+E324</x:f>
        <x:v>46838.75</x:v>
      </x:c>
      <x:c r="F354" s="16" t="n">
        <x:f>F294+F324</x:f>
        <x:v>936775.0000000001</x:v>
      </x:c>
      <x:c r="G354" s="16" t="n">
        <x:f>G294+G324</x:f>
        <x:v>127267833.33333334</x:v>
      </x:c>
      <x:c r="H354" s="16" t="n">
        <x:f>H294+H324</x:f>
        <x:v>12225870.12384016</x:v>
      </x:c>
      <x:c r="I354" s="16" t="n">
        <x:f>I294+I324</x:f>
        <x:v>3052462.331902271</x:v>
      </x:c>
      <x:c r="J354" s="16" t="n">
        <x:f>J294+J324</x:f>
        <x:v>108698.01199044369</x:v>
      </x:c>
      <x:c r="K354" s="16" t="n">
        <x:f>K294+K324</x:f>
        <x:v>15387030.467732877</x:v>
      </x:c>
      <x:c r="L354" s="16" t="n">
        <x:f>L294+L324</x:f>
        <x:v>1463693.058819292</x:v>
      </x:c>
      <x:c r="M354" s="16" t="n">
        <x:f>M294+M324</x:f>
        <x:v>1839489.0088166776</x:v>
      </x:c>
      <x:c r="N354" s="16" t="n">
        <x:f>N294+N324</x:f>
        <x:v>44.828190454080584</x:v>
      </x:c>
      <x:c r="O354" s="16" t="n">
        <x:f>O294+O324</x:f>
        <x:v>56.41911171502055</x:v>
      </x:c>
      <x:c r="P354" s="16" t="n">
        <x:f>P294+P324</x:f>
        <x:v>5.366874549004072</x:v>
      </x:c>
      <x:c r="Q354" s="16" t="n">
        <x:f>Q294+Q324</x:f>
        <x:v>6.744793032327817</x:v>
      </x:c>
      <x:c r="R354" s="16" t="n">
        <x:f>R294+R324</x:f>
        <x:v>56.41911171502055</x:v>
      </x:c>
      <x:c r="S354" s="16" t="n">
        <x:f>S294+S324</x:f>
        <x:v>6.744793032327821</x:v>
      </x:c>
      <x:c r="T354" s="2"/>
      <x:c r="U354" s="2"/>
      <x:c r="V354" s="2" t="n">
        <x:f>V294+V324</x:f>
        <x:v>3.388270557994301</x:v>
      </x:c>
    </x:row>
    <x:row r="355" ht="22" customHeight="1">
      <x:c r="A355" s="2" t="str">
        <x:v>CR_STEADY</x:v>
      </x:c>
      <x:c r="B355" s="2" t="str">
        <x:v>UK total</x:v>
      </x:c>
      <x:c r="C355" s="2" t="n">
        <x:v>2047</x:v>
      </x:c>
      <x:c r="D355" s="16" t="n">
        <x:f>D295+D325</x:f>
        <x:v>1124130</x:v>
      </x:c>
      <x:c r="E355" s="16" t="n">
        <x:f>E295+E325</x:f>
        <x:v>46838.75</x:v>
      </x:c>
      <x:c r="F355" s="16" t="n">
        <x:f>F295+F325</x:f>
        <x:v>983613.7500000001</x:v>
      </x:c>
      <x:c r="G355" s="16" t="n">
        <x:f>G295+G325</x:f>
        <x:v>133631225.00000001</x:v>
      </x:c>
      <x:c r="H355" s="16" t="n">
        <x:f>H295+H325</x:f>
        <x:v>13773758.289565966</x:v>
      </x:c>
      <x:c r="I355" s="16" t="n">
        <x:f>I295+I325</x:f>
        <x:v>3438927.2846635417</x:v>
      </x:c>
      <x:c r="J355" s="16" t="n">
        <x:f>J295+J325</x:f>
        <x:v>119567.81318948806</x:v>
      </x:c>
      <x:c r="K355" s="16" t="n">
        <x:f>K295+K325</x:f>
        <x:v>17332253.387418997</x:v>
      </x:c>
      <x:c r="L355" s="16" t="n">
        <x:f>L295+L325</x:f>
        <x:v>1547888.1657258056</x:v>
      </x:c>
      <x:c r="M355" s="16" t="n">
        <x:f>M295+M325</x:f>
        <x:v>1945222.9196861198</x:v>
      </x:c>
      <x:c r="N355" s="16" t="n">
        <x:f>N295+N325</x:f>
        <x:v>50.503780395075204</x:v>
      </x:c>
      <x:c r="O355" s="16" t="n">
        <x:f>O295+O325</x:f>
        <x:v>63.55159575386964</x:v>
      </x:c>
      <x:c r="P355" s="16" t="n">
        <x:f>P295+P325</x:f>
        <x:v>5.67558994099462</x:v>
      </x:c>
      <x:c r="Q355" s="16" t="n">
        <x:f>Q295+Q325</x:f>
        <x:v>7.132484038849106</x:v>
      </x:c>
      <x:c r="R355" s="16" t="n">
        <x:f>R295+R325</x:f>
        <x:v>63.55159575386964</x:v>
      </x:c>
      <x:c r="S355" s="16" t="n">
        <x:f>S295+S325</x:f>
        <x:v>7.132484038849095</x:v>
      </x:c>
      <x:c r="T355" s="2"/>
      <x:c r="U355" s="2"/>
      <x:c r="V355" s="2" t="n">
        <x:f>V295+V325</x:f>
        <x:v>3.6585367456607116</x:v>
      </x:c>
    </x:row>
    <x:row r="356" ht="22" customHeight="1">
      <x:c r="A356" s="2" t="str">
        <x:v>CR_STEADY</x:v>
      </x:c>
      <x:c r="B356" s="2" t="str">
        <x:v>UK total</x:v>
      </x:c>
      <x:c r="C356" s="2" t="n">
        <x:v>2048</x:v>
      </x:c>
      <x:c r="D356" s="16" t="n">
        <x:f>D296+D326</x:f>
        <x:v>1124130</x:v>
      </x:c>
      <x:c r="E356" s="16" t="n">
        <x:f>E296+E326</x:f>
        <x:v>46838.75</x:v>
      </x:c>
      <x:c r="F356" s="16" t="n">
        <x:f>F296+F326</x:f>
        <x:v>1030452.5000000001</x:v>
      </x:c>
      <x:c r="G356" s="16" t="n">
        <x:f>G296+G326</x:f>
        <x:v>139994616.6666667</x:v>
      </x:c>
      <x:c r="H356" s="16" t="n">
        <x:f>H296+H326</x:f>
        <x:v>15416219.742050547</x:v>
      </x:c>
      <x:c r="I356" s="16" t="n">
        <x:f>I296+I326</x:f>
        <x:v>3849004.576874782</x:v>
      </x:c>
      <x:c r="J356" s="16" t="n">
        <x:f>J296+J326</x:f>
        <x:v>130955.22396943929</x:v>
      </x:c>
      <x:c r="K356" s="16" t="n">
        <x:f>K296+K326</x:f>
        <x:v>19396179.54289477</x:v>
      </x:c>
      <x:c r="L356" s="16" t="n">
        <x:f>L296+L326</x:f>
        <x:v>1642461.4524845812</x:v>
      </x:c>
      <x:c r="M356" s="16" t="n">
        <x:f>M296+M326</x:f>
        <x:v>2063926.1554757748</x:v>
      </x:c>
      <x:c r="N356" s="16" t="n">
        <x:f>N296+N326</x:f>
        <x:v>56.526139054185336</x:v>
      </x:c>
      <x:c r="O356" s="16" t="n">
        <x:f>O296+O326</x:f>
        <x:v>71.11932499061416</x:v>
      </x:c>
      <x:c r="P356" s="16" t="n">
        <x:f>P296+P326</x:f>
        <x:v>6.022358659110131</x:v>
      </x:c>
      <x:c r="Q356" s="16" t="n">
        <x:f>Q296+Q326</x:f>
        <x:v>7.567729236744507</x:v>
      </x:c>
      <x:c r="R356" s="16" t="n">
        <x:f>R296+R326</x:f>
        <x:v>71.11932499061416</x:v>
      </x:c>
      <x:c r="S356" s="16" t="n">
        <x:f>S296+S326</x:f>
        <x:v>7.5677292367445155</x:v>
      </x:c>
      <x:c r="T356" s="2"/>
      <x:c r="U356" s="2"/>
      <x:c r="V356" s="2" t="n">
        <x:f>V296+V326</x:f>
        <x:v>3.9322803210748085</x:v>
      </x:c>
    </x:row>
    <x:row r="357" ht="22" customHeight="1">
      <x:c r="A357" s="2" t="str">
        <x:v>CR_STEADY</x:v>
      </x:c>
      <x:c r="B357" s="2" t="str">
        <x:v>UK total</x:v>
      </x:c>
      <x:c r="C357" s="2" t="n">
        <x:v>2049</x:v>
      </x:c>
      <x:c r="D357" s="16" t="n">
        <x:f>D297+D327</x:f>
        <x:v>1124130</x:v>
      </x:c>
      <x:c r="E357" s="16" t="n">
        <x:f>E297+E327</x:f>
        <x:v>46838.75</x:v>
      </x:c>
      <x:c r="F357" s="16" t="n">
        <x:f>F297+F327</x:f>
        <x:v>1077291.25</x:v>
      </x:c>
      <x:c r="G357" s="16" t="n">
        <x:f>G297+G327</x:f>
        <x:v>146358008.33333334</x:v>
      </x:c>
      <x:c r="H357" s="16" t="n">
        <x:f>H297+H327</x:f>
        <x:v>17161157.19980388</x:v>
      </x:c>
      <x:c r="I357" s="16" t="n">
        <x:f>I297+I327</x:f>
        <x:v>4284667.299230314</x:v>
      </x:c>
      <x:c r="J357" s="16" t="n">
        <x:f>J297+J327</x:f>
        <x:v>142860.24433029743</x:v>
      </x:c>
      <x:c r="K357" s="16" t="n">
        <x:f>K297+K327</x:f>
        <x:v>21588684.743364494</x:v>
      </x:c>
      <x:c r="L357" s="16" t="n">
        <x:f>L297+L327</x:f>
        <x:v>1744937.4577533351</x:v>
      </x:c>
      <x:c r="M357" s="16" t="n">
        <x:f>M297+M327</x:f>
        <x:v>2192505.200469725</x:v>
      </x:c>
      <x:c r="N357" s="16" t="n">
        <x:f>N297+N327</x:f>
        <x:v>62.92424306594757</x:v>
      </x:c>
      <x:c r="O357" s="16" t="n">
        <x:f>O297+O327</x:f>
        <x:v>79.15851072566981</x:v>
      </x:c>
      <x:c r="P357" s="16" t="n">
        <x:f>P297+P327</x:f>
        <x:v>6.3981040117622285</x:v>
      </x:c>
      <x:c r="Q357" s="16" t="n">
        <x:f>Q297+Q327</x:f>
        <x:v>8.039185735055657</x:v>
      </x:c>
      <x:c r="R357" s="16" t="n">
        <x:f>R297+R327</x:f>
        <x:v>79.15851072566981</x:v>
      </x:c>
      <x:c r="S357" s="16" t="n">
        <x:f>S297+S327</x:f>
        <x:v>8.039185735055655</x:v>
      </x:c>
      <x:c r="T357" s="2"/>
      <x:c r="U357" s="2"/>
      <x:c r="V357" s="2" t="n">
        <x:f>V297+V327</x:f>
        <x:v>4.210458756368818</x:v>
      </x:c>
    </x:row>
    <x:row r="358" ht="22" customHeight="1">
      <x:c r="A358" s="2" t="str">
        <x:v>CR_STEADY</x:v>
      </x:c>
      <x:c r="B358" s="2" t="str">
        <x:v>UK total</x:v>
      </x:c>
      <x:c r="C358" s="2" t="n">
        <x:v>2050</x:v>
      </x:c>
      <x:c r="D358" s="16" t="n">
        <x:f>D298+D328</x:f>
        <x:v>1124130</x:v>
      </x:c>
      <x:c r="E358" s="16" t="n">
        <x:f>E298+E328</x:f>
        <x:v>46838.75</x:v>
      </x:c>
      <x:c r="F358" s="16" t="n">
        <x:f>F298+F328</x:f>
        <x:v>1124130</x:v>
      </x:c>
      <x:c r="G358" s="16" t="n">
        <x:f>G298+G328</x:f>
        <x:v>152721400.00000003</x:v>
      </x:c>
      <x:c r="H358" s="16" t="n">
        <x:f>H298+H328</x:f>
        <x:v>18990999.60436764</x:v>
      </x:c>
      <x:c r="I358" s="16" t="n">
        <x:f>I298+I328</x:f>
        <x:v>4741528.443400061</x:v>
      </x:c>
      <x:c r="J358" s="16" t="n">
        <x:f>J298+J328</x:f>
        <x:v>155282.8742720624</x:v>
      </x:c>
      <x:c r="K358" s="16" t="n">
        <x:f>K298+K328</x:f>
        <x:v>23887810.922039766</x:v>
      </x:c>
      <x:c r="L358" s="16" t="n">
        <x:f>L298+L328</x:f>
        <x:v>1829842.404563758</x:v>
      </x:c>
      <x:c r="M358" s="16" t="n">
        <x:f>M298+M328</x:f>
        <x:v>2299126.1786752697</x:v>
      </x:c>
      <x:c r="N358" s="16" t="n">
        <x:f>N298+N328</x:f>
        <x:v>69.63366521601468</x:v>
      </x:c>
      <x:c r="O358" s="16" t="n">
        <x:f>O298+O328</x:f>
        <x:v>87.58864004747915</x:v>
      </x:c>
      <x:c r="P358" s="16" t="n">
        <x:f>P298+P328</x:f>
        <x:v>6.7094221500671125</x:v>
      </x:c>
      <x:c r="Q358" s="16" t="n">
        <x:f>Q298+Q328</x:f>
        <x:v>8.430129321809323</x:v>
      </x:c>
      <x:c r="R358" s="16" t="n">
        <x:f>R298+R328</x:f>
        <x:v>87.58864004747915</x:v>
      </x:c>
      <x:c r="S358" s="16" t="n">
        <x:f>S298+S328</x:f>
        <x:v>8.430129321809334</x:v>
      </x:c>
      <x:c r="T358" s="2"/>
      <x:c r="U358" s="2"/>
      <x:c r="V358" s="2" t="n">
        <x:f>V298+V328</x:f>
        <x:v>4.490018012621616</x:v>
      </x:c>
    </x:row>
    <x:row r="359" ht="22" customHeight="1">
      <x:c r="A359" s="2" t="str">
        <x:v>CR_STEADY</x:v>
      </x:c>
      <x:c r="B359" s="2" t="str">
        <x:v>UK total</x:v>
      </x:c>
      <x:c r="C359" s="2" t="n">
        <x:v>2051</x:v>
      </x:c>
      <x:c r="D359" s="16" t="n">
        <x:f>D299+D329</x:f>
        <x:v>1124130</x:v>
      </x:c>
      <x:c r="E359" s="16" t="n">
        <x:f>E299+E329</x:f>
        <x:v>0</x:v>
      </x:c>
      <x:c r="F359" s="16" t="n">
        <x:f>F299+F329</x:f>
        <x:v>1124130</x:v>
      </x:c>
      <x:c r="G359" s="16" t="n">
        <x:f>G299+G329</x:f>
        <x:v>152721400.00000003</x:v>
      </x:c>
      <x:c r="H359" s="16" t="n">
        <x:f>H299+H329</x:f>
        <x:v>20897119.686693624</x:v>
      </x:c>
      <x:c r="I359" s="16" t="n">
        <x:f>I299+I329</x:f>
        <x:v>5217434.018418142</x:v>
      </x:c>
      <x:c r="J359" s="16" t="n">
        <x:f>J299+J329</x:f>
        <x:v>167705.5042138274</x:v>
      </x:c>
      <x:c r="K359" s="16" t="n">
        <x:f>K299+K329</x:f>
        <x:v>26282259.209325593</x:v>
      </x:c>
      <x:c r="L359" s="16" t="n">
        <x:f>L299+L329</x:f>
        <x:v>1906120.0823259838</x:v>
      </x:c>
      <x:c r="M359" s="16" t="n">
        <x:f>M299+M329</x:f>
        <x:v>2394448.287285829</x:v>
      </x:c>
      <x:c r="N359" s="16" t="n">
        <x:f>N299+N329</x:f>
        <x:v>76.62277218454328</x:v>
      </x:c>
      <x:c r="O359" s="16" t="n">
        <x:f>O299+O329</x:f>
        <x:v>96.36828376752717</x:v>
      </x:c>
      <x:c r="P359" s="16" t="n">
        <x:f>P299+P329</x:f>
        <x:v>6.989106968528608</x:v>
      </x:c>
      <x:c r="Q359" s="16" t="n">
        <x:f>Q299+Q329</x:f>
        <x:v>8.779643720048039</x:v>
      </x:c>
      <x:c r="R359" s="16" t="n">
        <x:f>R299+R329</x:f>
        <x:v>96.36828376752717</x:v>
      </x:c>
      <x:c r="S359" s="16" t="n">
        <x:f>S299+S329</x:f>
        <x:v>8.779643720048023</x:v>
      </x:c>
      <x:c r="T359" s="2"/>
      <x:c r="U359" s="2"/>
      <x:c r="V359" s="2" t="n">
        <x:f>V299+V329</x:f>
        <x:v>4.758418165829141</x:v>
      </x:c>
    </x:row>
    <x:row r="360" ht="22" customHeight="1">
      <x:c r="A360" s="2" t="str">
        <x:v>CR_STEADY</x:v>
      </x:c>
      <x:c r="B360" s="2" t="str">
        <x:v>UK total</x:v>
      </x:c>
      <x:c r="C360" s="2" t="n">
        <x:v>2052</x:v>
      </x:c>
      <x:c r="D360" s="16" t="n">
        <x:f>D300+D330</x:f>
        <x:v>1124130</x:v>
      </x:c>
      <x:c r="E360" s="16" t="n">
        <x:f>E300+E330</x:f>
        <x:v>0</x:v>
      </x:c>
      <x:c r="F360" s="16" t="n">
        <x:f>F300+F330</x:f>
        <x:v>1124130</x:v>
      </x:c>
      <x:c r="G360" s="16" t="n">
        <x:f>G300+G330</x:f>
        <x:v>152721400.00000003</x:v>
      </x:c>
      <x:c r="H360" s="16" t="n">
        <x:f>H300+H330</x:f>
        <x:v>22897141.062952433</x:v>
      </x:c>
      <x:c r="I360" s="16" t="n">
        <x:f>I300+I330</x:f>
        <x:v>5716784.154824774</x:v>
      </x:c>
      <x:c r="J360" s="16" t="n">
        <x:f>J300+J330</x:f>
        <x:v>180128.13415559242</x:v>
      </x:c>
      <x:c r="K360" s="16" t="n">
        <x:f>K300+K330</x:f>
        <x:v>28794053.3519328</x:v>
      </x:c>
      <x:c r="L360" s="16" t="n">
        <x:f>L300+L330</x:f>
        <x:v>2000021.3762588084</x:v>
      </x:c>
      <x:c r="M360" s="16" t="n">
        <x:f>M300+M330</x:f>
        <x:v>2511794.1426072055</x:v>
      </x:c>
      <x:c r="N360" s="16" t="n">
        <x:f>N300+N330</x:f>
        <x:v>83.95618389749225</x:v>
      </x:c>
      <x:c r="O360" s="16" t="n">
        <x:f>O300+O330</x:f>
        <x:v>105.5781956237536</x:v>
      </x:c>
      <x:c r="P360" s="16" t="n">
        <x:f>P300+P330</x:f>
        <x:v>7.333411712948965</x:v>
      </x:c>
      <x:c r="Q360" s="16" t="n">
        <x:f>Q300+Q330</x:f>
        <x:v>9.209911856226421</x:v>
      </x:c>
      <x:c r="R360" s="16" t="n">
        <x:f>R300+R330</x:f>
        <x:v>105.5781956237536</x:v>
      </x:c>
      <x:c r="S360" s="16" t="n">
        <x:f>S300+S330</x:f>
        <x:v>9.20991185622643</x:v>
      </x:c>
      <x:c r="T360" s="2"/>
      <x:c r="U360" s="2"/>
      <x:c r="V360" s="2" t="n">
        <x:f>V300+V330</x:f>
        <x:v>5.020298344263991</x:v>
      </x:c>
    </x:row>
    <x:row r="361" ht="22" customHeight="1">
      <x:c r="A361" s="2" t="str">
        <x:v>CR_STEADY</x:v>
      </x:c>
      <x:c r="B361" s="2" t="str">
        <x:v>UK total</x:v>
      </x:c>
      <x:c r="C361" s="2" t="n">
        <x:v>2053</x:v>
      </x:c>
      <x:c r="D361" s="16" t="n">
        <x:f>D301+D331</x:f>
        <x:v>1124130</x:v>
      </x:c>
      <x:c r="E361" s="16" t="n">
        <x:f>E301+E331</x:f>
        <x:v>0</x:v>
      </x:c>
      <x:c r="F361" s="16" t="n">
        <x:f>F301+F331</x:f>
        <x:v>1124130</x:v>
      </x:c>
      <x:c r="G361" s="16" t="n">
        <x:f>G301+G331</x:f>
        <x:v>152721400.00000003</x:v>
      </x:c>
      <x:c r="H361" s="16" t="n">
        <x:f>H301+H331</x:f>
        <x:v>24940202.78547714</x:v>
      </x:c>
      <x:c r="I361" s="16" t="n">
        <x:f>I301+I331</x:f>
        <x:v>6226880.277766343</x:v>
      </x:c>
      <x:c r="J361" s="16" t="n">
        <x:f>J301+J331</x:f>
        <x:v>192550.7640973574</x:v>
      </x:c>
      <x:c r="K361" s="16" t="n">
        <x:f>K301+K331</x:f>
        <x:v>31359633.82734084</x:v>
      </x:c>
      <x:c r="L361" s="16" t="n">
        <x:f>L301+L331</x:f>
        <x:v>2043061.7225247074</x:v>
      </x:c>
      <x:c r="M361" s="16" t="n">
        <x:f>M301+M331</x:f>
        <x:v>2565580.475408041</x:v>
      </x:c>
      <x:c r="N361" s="16" t="n">
        <x:f>N301+N331</x:f>
        <x:v>91.44741021341618</x:v>
      </x:c>
      <x:c r="O361" s="16" t="n">
        <x:f>O301+O331</x:f>
        <x:v>114.98532403358307</x:v>
      </x:c>
      <x:c r="P361" s="16" t="n">
        <x:f>P301+P331</x:f>
        <x:v>7.491226315923927</x:v>
      </x:c>
      <x:c r="Q361" s="16" t="n">
        <x:f>Q301+Q331</x:f>
        <x:v>9.407128409829483</x:v>
      </x:c>
      <x:c r="R361" s="16" t="n">
        <x:f>R301+R331</x:f>
        <x:v>114.98532403358307</x:v>
      </x:c>
      <x:c r="S361" s="16" t="n">
        <x:f>S301+S331</x:f>
        <x:v>9.407128409829475</x:v>
      </x:c>
      <x:c r="T361" s="2"/>
      <x:c r="U361" s="2"/>
      <x:c r="V361" s="2" t="n">
        <x:f>V301+V331</x:f>
        <x:v>5.25857669957614</x:v>
      </x:c>
    </x:row>
    <x:row r="362" ht="22" customHeight="1">
      <x:c r="A362" s="2" t="str">
        <x:v>CR_STEADY</x:v>
      </x:c>
      <x:c r="B362" s="2" t="str">
        <x:v>UK total</x:v>
      </x:c>
      <x:c r="C362" s="2" t="n">
        <x:v>2054</x:v>
      </x:c>
      <x:c r="D362" s="16" t="n">
        <x:f>D302+D332</x:f>
        <x:v>1124130</x:v>
      </x:c>
      <x:c r="E362" s="16" t="n">
        <x:f>E302+E332</x:f>
        <x:v>0</x:v>
      </x:c>
      <x:c r="F362" s="16" t="n">
        <x:f>F302+F332</x:f>
        <x:v>1124130</x:v>
      </x:c>
      <x:c r="G362" s="16" t="n">
        <x:f>G302+G332</x:f>
        <x:v>152721400.00000003</x:v>
      </x:c>
      <x:c r="H362" s="16" t="n">
        <x:f>H302+H332</x:f>
        <x:v>27019697.362218004</x:v>
      </x:c>
      <x:c r="I362" s="16" t="n">
        <x:f>I302+I332</x:f>
        <x:v>6746072.678846977</x:v>
      </x:c>
      <x:c r="J362" s="16" t="n">
        <x:f>J302+J332</x:f>
        <x:v>204973.3940391224</x:v>
      </x:c>
      <x:c r="K362" s="16" t="n">
        <x:f>K302+K332</x:f>
        <x:v>33970743.4351041</x:v>
      </x:c>
      <x:c r="L362" s="16" t="n">
        <x:f>L302+L332</x:f>
        <x:v>2079494.5767408633</x:v>
      </x:c>
      <x:c r="M362" s="16" t="n">
        <x:f>M302+M332</x:f>
        <x:v>2611109.6077632606</x:v>
      </x:c>
      <x:c r="N362" s="16" t="n">
        <x:f>N302+N332</x:f>
        <x:v>99.07222366146603</x:v>
      </x:c>
      <x:c r="O362" s="16" t="n">
        <x:f>O302+O332</x:f>
        <x:v>124.5593925953817</x:v>
      </x:c>
      <x:c r="P362" s="16" t="n">
        <x:f>P302+P332</x:f>
        <x:v>7.6248134480498315</x:v>
      </x:c>
      <x:c r="Q362" s="16" t="n">
        <x:f>Q302+Q332</x:f>
        <x:v>9.574068561798622</x:v>
      </x:c>
      <x:c r="R362" s="16" t="n">
        <x:f>R302+R332</x:f>
        <x:v>124.5593925953817</x:v>
      </x:c>
      <x:c r="S362" s="16" t="n">
        <x:f>S302+S332</x:f>
        <x:v>9.574068561798626</x:v>
      </x:c>
      <x:c r="T362" s="2"/>
      <x:c r="U362" s="2"/>
      <x:c r="V362" s="2" t="n">
        <x:f>V302+V332</x:f>
        <x:v>5.474947016991221</x:v>
      </x:c>
    </x:row>
    <x:row r="363" ht="22" customHeight="1">
      <x:c r="A363" s="2" t="str">
        <x:v>CR_STEADY</x:v>
      </x:c>
      <x:c r="B363" s="2" t="str">
        <x:v>UK total</x:v>
      </x:c>
      <x:c r="C363" s="2" t="n">
        <x:v>2055</x:v>
      </x:c>
      <x:c r="D363" s="16" t="n">
        <x:f>D303+D333</x:f>
        <x:v>1124130</x:v>
      </x:c>
      <x:c r="E363" s="16" t="n">
        <x:f>E303+E333</x:f>
        <x:v>0</x:v>
      </x:c>
      <x:c r="F363" s="16" t="n">
        <x:f>F303+F333</x:f>
        <x:v>1124130</x:v>
      </x:c>
      <x:c r="G363" s="16" t="n">
        <x:f>G303+G333</x:f>
        <x:v>152721400.00000003</x:v>
      </x:c>
      <x:c r="H363" s="16" t="n">
        <x:f>H303+H333</x:f>
        <x:v>29176273.45274381</x:v>
      </x:c>
      <x:c r="I363" s="16" t="n">
        <x:f>I303+I333</x:f>
        <x:v>7284510.206444676</x:v>
      </x:c>
      <x:c r="J363" s="16" t="n">
        <x:f>J303+J333</x:f>
        <x:v>217396.02398088737</x:v>
      </x:c>
      <x:c r="K363" s="16" t="n">
        <x:f>K303+K333</x:f>
        <x:v>36678179.68316937</x:v>
      </x:c>
      <x:c r="L363" s="16" t="n">
        <x:f>L303+L333</x:f>
        <x:v>2156576.090525806</x:v>
      </x:c>
      <x:c r="M363" s="16" t="n">
        <x:f>M303+M333</x:f>
        <x:v>2707436.2480652714</x:v>
      </x:c>
      <x:c r="N363" s="16" t="n">
        <x:f>N303+N333</x:f>
        <x:v>106.9796693267273</x:v>
      </x:c>
      <x:c r="O363" s="16" t="n">
        <x:f>O303+O333</x:f>
        <x:v>134.4866588382877</x:v>
      </x:c>
      <x:c r="P363" s="16" t="n">
        <x:f>P303+P333</x:f>
        <x:v>7.907445665261289</x:v>
      </x:c>
      <x:c r="Q363" s="16" t="n">
        <x:f>Q303+Q333</x:f>
        <x:v>9.927266242905997</x:v>
      </x:c>
      <x:c r="R363" s="16" t="n">
        <x:f>R303+R333</x:f>
        <x:v>134.4866588382877</x:v>
      </x:c>
      <x:c r="S363" s="16" t="n">
        <x:f>S303+S333</x:f>
        <x:v>9.927266242905999</x:v>
      </x:c>
      <x:c r="T363" s="2"/>
      <x:c r="U363" s="2"/>
      <x:c r="V363" s="2" t="n">
        <x:f>V303+V333</x:f>
        <x:v>5.66493031290828</x:v>
      </x:c>
    </x:row>
    <x:row r="364" ht="22" customHeight="1">
      <x:c r="A364" s="2" t="str">
        <x:v>CR_STEADY</x:v>
      </x:c>
      <x:c r="B364" s="2" t="str">
        <x:v>UK total</x:v>
      </x:c>
      <x:c r="C364" s="2" t="n">
        <x:v>2056</x:v>
      </x:c>
      <x:c r="D364" s="16" t="n">
        <x:f>D304+D334</x:f>
        <x:v>1124130</x:v>
      </x:c>
      <x:c r="E364" s="16" t="n">
        <x:f>E304+E334</x:f>
        <x:v>0</x:v>
      </x:c>
      <x:c r="F364" s="16" t="n">
        <x:f>F304+F334</x:f>
        <x:v>1124130</x:v>
      </x:c>
      <x:c r="G364" s="16" t="n">
        <x:f>G304+G334</x:f>
        <x:v>152721400.00000003</x:v>
      </x:c>
      <x:c r="H364" s="16" t="n">
        <x:f>H304+H334</x:f>
        <x:v>31312513.576199375</x:v>
      </x:c>
      <x:c r="I364" s="16" t="n">
        <x:f>I304+I334</x:f>
        <x:v>7817870.4043442905</x:v>
      </x:c>
      <x:c r="J364" s="16" t="n">
        <x:f>J304+J334</x:f>
        <x:v>229818.6539226524</x:v>
      </x:c>
      <x:c r="K364" s="16" t="n">
        <x:f>K304+K334</x:f>
        <x:v>39360202.63446632</x:v>
      </x:c>
      <x:c r="L364" s="16" t="n">
        <x:f>L304+L334</x:f>
        <x:v>2136240.1234555645</x:v>
      </x:c>
      <x:c r="M364" s="16" t="n">
        <x:f>M304+M334</x:f>
        <x:v>2682022.9512969446</x:v>
      </x:c>
      <x:c r="N364" s="16" t="n">
        <x:f>N304+N334</x:f>
        <x:v>114.81254977939771</x:v>
      </x:c>
      <x:c r="O364" s="16" t="n">
        <x:f>O304+O334</x:f>
        <x:v>144.32074299304315</x:v>
      </x:c>
      <x:c r="P364" s="16" t="n">
        <x:f>P304+P334</x:f>
        <x:v>7.832880452670403</x:v>
      </x:c>
      <x:c r="Q364" s="16" t="n">
        <x:f>Q304+Q334</x:f>
        <x:v>9.834084154755464</x:v>
      </x:c>
      <x:c r="R364" s="16" t="n">
        <x:f>R304+R334</x:f>
        <x:v>144.32074299304315</x:v>
      </x:c>
      <x:c r="S364" s="16" t="n">
        <x:f>S304+S334</x:f>
        <x:v>9.834084154755464</x:v>
      </x:c>
      <x:c r="T364" s="2"/>
      <x:c r="U364" s="2"/>
      <x:c r="V364" s="2" t="n">
        <x:f>V304+V334</x:f>
        <x:v>5.808980166142115</x:v>
      </x:c>
    </x:row>
    <x:row r="365" ht="2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Planting cohorts through time</x:v>
      </x:c>
      <x:c r="B2" s="2"/>
      <x:c r="C2" s="2"/>
      <x:c r="D2" s="2"/>
      <x:c r="E2" s="2"/>
      <x:c r="F2" s="2"/>
      <x:c r="G2" s="2"/>
    </x:row>
    <x:row r="3" ht="22" customHeight="1">
      <x:c r="A3" s="2" t="str">
        <x:v>Unit factors per hectare of the final target; growth lookups use the age trajectory.</x:v>
      </x:c>
      <x:c r="B3" s="2"/>
      <x:c r="C3" s="2"/>
      <x:c r="D3" s="2"/>
      <x:c r="E3" s="2"/>
      <x:c r="F3" s="2"/>
      <x:c r="G3" s="2"/>
    </x:row>
    <x:row r="4" ht="36" customHeight="1">
      <x:c r="A4" s="7" t="str">
        <x:v>Planting schedule</x:v>
      </x:c>
      <x:c r="B4" s="7" t="str">
        <x:v>End year</x:v>
      </x:c>
      <x:c r="C4" s="7" t="str">
        <x:v>New target fraction</x:v>
      </x:c>
      <x:c r="D4" s="7" t="str">
        <x:v>Established fraction</x:v>
      </x:c>
      <x:c r="E4" s="7" t="str">
        <x:v>Weighted dry kg/tree</x:v>
      </x:c>
      <x:c r="F4" s="7" t="str">
        <x:v>Area years / target ha</x:v>
      </x:c>
      <x:c r="G4" s="7" t="str">
        <x:v>Weighted dry mass / age</x:v>
      </x:c>
    </x:row>
    <x:row r="5" ht="22" customHeight="1">
      <x:c r="A5" s="2" t="str">
        <x:v>All planted in 2027</x:v>
      </x:c>
      <x:c r="B5" s="2" t="n">
        <x:v>2027</x:v>
      </x:c>
      <x:c r="C5" s="11" t="n">
        <x:f>IF(B5=2027,1,0)</x:f>
        <x:v>1</x:v>
      </x:c>
      <x:c r="D5" s="11" t="n">
        <x:f>1</x:f>
        <x:v>1</x:v>
      </x:c>
      <x:c r="E5" s="11" t="n">
        <x:f>'Growth source'!D6</x:f>
        <x:v>1.0205111111111107</x:v>
      </x:c>
      <x:c r="F5" s="11" t="n">
        <x:f>B5-2026</x:f>
        <x:v>1</x:v>
      </x:c>
      <x:c r="G5" s="2" t="n">
        <x:f>'Growth source'!F6</x:f>
        <x:v>1.0205111111111107</x:v>
      </x:c>
    </x:row>
    <x:row r="6" ht="22" customHeight="1">
      <x:c r="A6" s="2" t="str">
        <x:v>All planted in 2027</x:v>
      </x:c>
      <x:c r="B6" s="2" t="n">
        <x:v>2028</x:v>
      </x:c>
      <x:c r="C6" s="11" t="n">
        <x:f>IF(B6=2027,1,0)</x:f>
        <x:v>0</x:v>
      </x:c>
      <x:c r="D6" s="11" t="n">
        <x:f>1</x:f>
        <x:v>1</x:v>
      </x:c>
      <x:c r="E6" s="11" t="n">
        <x:f>'Growth source'!D7</x:f>
        <x:v>3.8357555555555543</x:v>
      </x:c>
      <x:c r="F6" s="11" t="n">
        <x:f>B6-2026</x:f>
        <x:v>2</x:v>
      </x:c>
      <x:c r="G6" s="2" t="n">
        <x:f>'Growth source'!F7</x:f>
        <x:v>1.9178777777777771</x:v>
      </x:c>
    </x:row>
    <x:row r="7" ht="22" customHeight="1">
      <x:c r="A7" s="2" t="str">
        <x:v>All planted in 2027</x:v>
      </x:c>
      <x:c r="B7" s="2" t="n">
        <x:v>2029</x:v>
      </x:c>
      <x:c r="C7" s="11" t="n">
        <x:f>IF(B7=2027,1,0)</x:f>
        <x:v>0</x:v>
      </x:c>
      <x:c r="D7" s="11" t="n">
        <x:f>1</x:f>
        <x:v>1</x:v>
      </x:c>
      <x:c r="E7" s="11" t="n">
        <x:f>'Growth source'!D8</x:f>
        <x:v>11.602222222222217</x:v>
      </x:c>
      <x:c r="F7" s="11" t="n">
        <x:f>B7-2026</x:f>
        <x:v>3</x:v>
      </x:c>
      <x:c r="G7" s="2" t="n">
        <x:f>'Growth source'!F8</x:f>
        <x:v>3.8674074074074056</x:v>
      </x:c>
    </x:row>
    <x:row r="8" ht="22" customHeight="1">
      <x:c r="A8" s="2" t="str">
        <x:v>All planted in 2027</x:v>
      </x:c>
      <x:c r="B8" s="2" t="n">
        <x:v>2030</x:v>
      </x:c>
      <x:c r="C8" s="11" t="n">
        <x:f>IF(B8=2027,1,0)</x:f>
        <x:v>0</x:v>
      </x:c>
      <x:c r="D8" s="11" t="n">
        <x:f>1</x:f>
        <x:v>1</x:v>
      </x:c>
      <x:c r="E8" s="11" t="n">
        <x:f>'Growth source'!D9</x:f>
        <x:v>22.91015555555554</x:v>
      </x:c>
      <x:c r="F8" s="11" t="n">
        <x:f>B8-2026</x:f>
        <x:v>4</x:v>
      </x:c>
      <x:c r="G8" s="2" t="n">
        <x:f>'Growth source'!F9</x:f>
        <x:v>5.727538888888885</x:v>
      </x:c>
    </x:row>
    <x:row r="9" ht="22" customHeight="1">
      <x:c r="A9" s="2" t="str">
        <x:v>All planted in 2027</x:v>
      </x:c>
      <x:c r="B9" s="2" t="n">
        <x:v>2031</x:v>
      </x:c>
      <x:c r="C9" s="11" t="n">
        <x:f>IF(B9=2027,1,0)</x:f>
        <x:v>0</x:v>
      </x:c>
      <x:c r="D9" s="11" t="n">
        <x:f>1</x:f>
        <x:v>1</x:v>
      </x:c>
      <x:c r="E9" s="11" t="n">
        <x:f>'Growth source'!D10</x:f>
        <x:v>43.83888888888891</x:v>
      </x:c>
      <x:c r="F9" s="11" t="n">
        <x:f>B9-2026</x:f>
        <x:v>5</x:v>
      </x:c>
      <x:c r="G9" s="2" t="n">
        <x:f>'Growth source'!F10</x:f>
        <x:v>8.767777777777782</x:v>
      </x:c>
    </x:row>
    <x:row r="10" ht="22" customHeight="1">
      <x:c r="A10" s="2" t="str">
        <x:v>All planted in 2027</x:v>
      </x:c>
      <x:c r="B10" s="2" t="n">
        <x:v>2032</x:v>
      </x:c>
      <x:c r="C10" s="11" t="n">
        <x:f>IF(B10=2027,1,0)</x:f>
        <x:v>0</x:v>
      </x:c>
      <x:c r="D10" s="11" t="n">
        <x:f>1</x:f>
        <x:v>1</x:v>
      </x:c>
      <x:c r="E10" s="11" t="n">
        <x:f>'Growth source'!D11</x:f>
        <x:v>77.03404444444443</x:v>
      </x:c>
      <x:c r="F10" s="11" t="n">
        <x:f>B10-2026</x:f>
        <x:v>6</x:v>
      </x:c>
      <x:c r="G10" s="2" t="n">
        <x:f>'Growth source'!F11</x:f>
        <x:v>12.839007407407406</x:v>
      </x:c>
    </x:row>
    <x:row r="11" ht="22" customHeight="1">
      <x:c r="A11" s="2" t="str">
        <x:v>All planted in 2027</x:v>
      </x:c>
      <x:c r="B11" s="2" t="n">
        <x:v>2033</x:v>
      </x:c>
      <x:c r="C11" s="11" t="n">
        <x:f>IF(B11=2027,1,0)</x:f>
        <x:v>0</x:v>
      </x:c>
      <x:c r="D11" s="11" t="n">
        <x:f>1</x:f>
        <x:v>1</x:v>
      </x:c>
      <x:c r="E11" s="11" t="n">
        <x:f>'Growth source'!D12</x:f>
        <x:v>91.30517037037033</x:v>
      </x:c>
      <x:c r="F11" s="11" t="n">
        <x:f>B11-2026</x:f>
        <x:v>7</x:v>
      </x:c>
      <x:c r="G11" s="2" t="n">
        <x:f>'Growth source'!F12</x:f>
        <x:v>13.043595767195763</x:v>
      </x:c>
    </x:row>
    <x:row r="12" ht="22" customHeight="1">
      <x:c r="A12" s="2" t="str">
        <x:v>All planted in 2027</x:v>
      </x:c>
      <x:c r="B12" s="2" t="n">
        <x:v>2034</x:v>
      </x:c>
      <x:c r="C12" s="11" t="n">
        <x:f>IF(B12=2027,1,0)</x:f>
        <x:v>0</x:v>
      </x:c>
      <x:c r="D12" s="11" t="n">
        <x:f>1</x:f>
        <x:v>1</x:v>
      </x:c>
      <x:c r="E12" s="11" t="n">
        <x:f>'Growth source'!D13</x:f>
        <x:v>105.57629629629626</x:v>
      </x:c>
      <x:c r="F12" s="11" t="n">
        <x:f>B12-2026</x:f>
        <x:v>8</x:v>
      </x:c>
      <x:c r="G12" s="2" t="n">
        <x:f>'Growth source'!F13</x:f>
        <x:v>13.197037037037033</x:v>
      </x:c>
    </x:row>
    <x:row r="13" ht="22" customHeight="1">
      <x:c r="A13" s="2" t="str">
        <x:v>All planted in 2027</x:v>
      </x:c>
      <x:c r="B13" s="2" t="n">
        <x:v>2035</x:v>
      </x:c>
      <x:c r="C13" s="11" t="n">
        <x:f>IF(B13=2027,1,0)</x:f>
        <x:v>0</x:v>
      </x:c>
      <x:c r="D13" s="11" t="n">
        <x:f>1</x:f>
        <x:v>1</x:v>
      </x:c>
      <x:c r="E13" s="11" t="n">
        <x:f>'Growth source'!D14</x:f>
        <x:v>119.84742222222215</x:v>
      </x:c>
      <x:c r="F13" s="11" t="n">
        <x:f>B13-2026</x:f>
        <x:v>9</x:v>
      </x:c>
      <x:c r="G13" s="2" t="n">
        <x:f>'Growth source'!F14</x:f>
        <x:v>13.316380246913573</x:v>
      </x:c>
    </x:row>
    <x:row r="14" ht="22" customHeight="1">
      <x:c r="A14" s="2" t="str">
        <x:v>All planted in 2027</x:v>
      </x:c>
      <x:c r="B14" s="2" t="n">
        <x:v>2036</x:v>
      </x:c>
      <x:c r="C14" s="11" t="n">
        <x:f>IF(B14=2027,1,0)</x:f>
        <x:v>0</x:v>
      </x:c>
      <x:c r="D14" s="11" t="n">
        <x:f>1</x:f>
        <x:v>1</x:v>
      </x:c>
      <x:c r="E14" s="11" t="n">
        <x:f>'Growth source'!D15</x:f>
        <x:v>143.98775555555542</x:v>
      </x:c>
      <x:c r="F14" s="11" t="n">
        <x:f>B14-2026</x:f>
        <x:v>10</x:v>
      </x:c>
      <x:c r="G14" s="2" t="n">
        <x:f>'Growth source'!F15</x:f>
        <x:v>14.398775555555542</x:v>
      </x:c>
    </x:row>
    <x:row r="15" ht="22" customHeight="1">
      <x:c r="A15" s="2" t="str">
        <x:v>All planted in 2027</x:v>
      </x:c>
      <x:c r="B15" s="2" t="n">
        <x:v>2037</x:v>
      </x:c>
      <x:c r="C15" s="11" t="n">
        <x:f>IF(B15=2027,1,0)</x:f>
        <x:v>0</x:v>
      </x:c>
      <x:c r="D15" s="11" t="n">
        <x:f>1</x:f>
        <x:v>1</x:v>
      </x:c>
      <x:c r="E15" s="11" t="n">
        <x:f>'Growth source'!D16</x:f>
        <x:v>179.5207777777775</x:v>
      </x:c>
      <x:c r="F15" s="11" t="n">
        <x:f>B15-2026</x:f>
        <x:v>11</x:v>
      </x:c>
      <x:c r="G15" s="2" t="n">
        <x:f>'Growth source'!F16</x:f>
        <x:v>16.320070707070684</x:v>
      </x:c>
    </x:row>
    <x:row r="16" ht="22" customHeight="1">
      <x:c r="A16" s="2" t="str">
        <x:v>All planted in 2027</x:v>
      </x:c>
      <x:c r="B16" s="2" t="n">
        <x:v>2038</x:v>
      </x:c>
      <x:c r="C16" s="11" t="n">
        <x:f>IF(B16=2027,1,0)</x:f>
        <x:v>0</x:v>
      </x:c>
      <x:c r="D16" s="11" t="n">
        <x:f>1</x:f>
        <x:v>1</x:v>
      </x:c>
      <x:c r="E16" s="11" t="n">
        <x:f>'Growth source'!D17</x:f>
        <x:v>215.0537999999996</x:v>
      </x:c>
      <x:c r="F16" s="11" t="n">
        <x:f>B16-2026</x:f>
        <x:v>12</x:v>
      </x:c>
      <x:c r="G16" s="2" t="n">
        <x:f>'Growth source'!F17</x:f>
        <x:v>17.921149999999965</x:v>
      </x:c>
    </x:row>
    <x:row r="17" ht="22" customHeight="1">
      <x:c r="A17" s="2" t="str">
        <x:v>All planted in 2027</x:v>
      </x:c>
      <x:c r="B17" s="2" t="n">
        <x:v>2039</x:v>
      </x:c>
      <x:c r="C17" s="11" t="n">
        <x:f>IF(B17=2027,1,0)</x:f>
        <x:v>0</x:v>
      </x:c>
      <x:c r="D17" s="11" t="n">
        <x:f>1</x:f>
        <x:v>1</x:v>
      </x:c>
      <x:c r="E17" s="11" t="n">
        <x:f>'Growth source'!D18</x:f>
        <x:v>250.58682222222163</x:v>
      </x:c>
      <x:c r="F17" s="11" t="n">
        <x:f>B17-2026</x:f>
        <x:v>13</x:v>
      </x:c>
      <x:c r="G17" s="2" t="n">
        <x:f>'Growth source'!F18</x:f>
        <x:v>19.275909401709356</x:v>
      </x:c>
    </x:row>
    <x:row r="18" ht="22" customHeight="1">
      <x:c r="A18" s="2" t="str">
        <x:v>All planted in 2027</x:v>
      </x:c>
      <x:c r="B18" s="2" t="n">
        <x:v>2040</x:v>
      </x:c>
      <x:c r="C18" s="11" t="n">
        <x:f>IF(B18=2027,1,0)</x:f>
        <x:v>0</x:v>
      </x:c>
      <x:c r="D18" s="11" t="n">
        <x:f>1</x:f>
        <x:v>1</x:v>
      </x:c>
      <x:c r="E18" s="11" t="n">
        <x:f>'Growth source'!D19</x:f>
        <x:v>273.24962222222166</x:v>
      </x:c>
      <x:c r="F18" s="11" t="n">
        <x:f>B18-2026</x:f>
        <x:v>14</x:v>
      </x:c>
      <x:c r="G18" s="2" t="n">
        <x:f>'Growth source'!F19</x:f>
        <x:v>19.517830158730117</x:v>
      </x:c>
    </x:row>
    <x:row r="19" ht="22" customHeight="1">
      <x:c r="A19" s="2" t="str">
        <x:v>All planted in 2027</x:v>
      </x:c>
      <x:c r="B19" s="2" t="n">
        <x:v>2041</x:v>
      </x:c>
      <x:c r="C19" s="11" t="n">
        <x:f>IF(B19=2027,1,0)</x:f>
        <x:v>0</x:v>
      </x:c>
      <x:c r="D19" s="11" t="n">
        <x:f>1</x:f>
        <x:v>1</x:v>
      </x:c>
      <x:c r="E19" s="11" t="n">
        <x:f>'Growth source'!D20</x:f>
        <x:v>309.4940888888891</x:v>
      </x:c>
      <x:c r="F19" s="11" t="n">
        <x:f>B19-2026</x:f>
        <x:v>15</x:v>
      </x:c>
      <x:c r="G19" s="2" t="n">
        <x:f>'Growth source'!F20</x:f>
        <x:v>20.632939259259274</x:v>
      </x:c>
    </x:row>
    <x:row r="20" ht="22" customHeight="1">
      <x:c r="A20" s="2" t="str">
        <x:v>All planted in 2027</x:v>
      </x:c>
      <x:c r="B20" s="2" t="n">
        <x:v>2042</x:v>
      </x:c>
      <x:c r="C20" s="11" t="n">
        <x:f>IF(B20=2027,1,0)</x:f>
        <x:v>0</x:v>
      </x:c>
      <x:c r="D20" s="11" t="n">
        <x:f>1</x:f>
        <x:v>1</x:v>
      </x:c>
      <x:c r="E20" s="11" t="n">
        <x:f>'Growth source'!D21</x:f>
        <x:v>348.78891111111085</x:v>
      </x:c>
      <x:c r="F20" s="11" t="n">
        <x:f>B20-2026</x:f>
        <x:v>16</x:v>
      </x:c>
      <x:c r="G20" s="2" t="n">
        <x:f>'Growth source'!F21</x:f>
        <x:v>21.799306944444428</x:v>
      </x:c>
    </x:row>
    <x:row r="21" ht="22" customHeight="1">
      <x:c r="A21" s="2" t="str">
        <x:v>All planted in 2027</x:v>
      </x:c>
      <x:c r="B21" s="2" t="n">
        <x:v>2043</x:v>
      </x:c>
      <x:c r="C21" s="11" t="n">
        <x:f>IF(B21=2027,1,0)</x:f>
        <x:v>0</x:v>
      </x:c>
      <x:c r="D21" s="11" t="n">
        <x:f>1</x:f>
        <x:v>1</x:v>
      </x:c>
      <x:c r="E21" s="11" t="n">
        <x:f>'Growth source'!D22</x:f>
        <x:v>385.41304444444455</x:v>
      </x:c>
      <x:c r="F21" s="11" t="n">
        <x:f>B21-2026</x:f>
        <x:v>17</x:v>
      </x:c>
      <x:c r="G21" s="2" t="n">
        <x:f>'Growth source'!F22</x:f>
        <x:v>22.67135555555556</x:v>
      </x:c>
    </x:row>
    <x:row r="22" ht="22" customHeight="1">
      <x:c r="A22" s="2" t="str">
        <x:v>All planted in 2027</x:v>
      </x:c>
      <x:c r="B22" s="2" t="n">
        <x:v>2044</x:v>
      </x:c>
      <x:c r="C22" s="11" t="n">
        <x:f>IF(B22=2027,1,0)</x:f>
        <x:v>0</x:v>
      </x:c>
      <x:c r="D22" s="11" t="n">
        <x:f>1</x:f>
        <x:v>1</x:v>
      </x:c>
      <x:c r="E22" s="11" t="n">
        <x:f>'Growth source'!D23</x:f>
        <x:v>425.63675555555534</x:v>
      </x:c>
      <x:c r="F22" s="11" t="n">
        <x:f>B22-2026</x:f>
        <x:v>18</x:v>
      </x:c>
      <x:c r="G22" s="2" t="n">
        <x:f>'Growth source'!F23</x:f>
        <x:v>23.646486419753074</x:v>
      </x:c>
    </x:row>
    <x:row r="23" ht="22" customHeight="1">
      <x:c r="A23" s="2" t="str">
        <x:v>All planted in 2027</x:v>
      </x:c>
      <x:c r="B23" s="2" t="n">
        <x:v>2045</x:v>
      </x:c>
      <x:c r="C23" s="11" t="n">
        <x:f>IF(B23=2027,1,0)</x:f>
        <x:v>0</x:v>
      </x:c>
      <x:c r="D23" s="11" t="n">
        <x:f>1</x:f>
        <x:v>1</x:v>
      </x:c>
      <x:c r="E23" s="11" t="n">
        <x:f>'Growth source'!D24</x:f>
        <x:v>454.1650444444446</x:v>
      </x:c>
      <x:c r="F23" s="11" t="n">
        <x:f>B23-2026</x:f>
        <x:v>19</x:v>
      </x:c>
      <x:c r="G23" s="2" t="n">
        <x:f>'Growth source'!F24</x:f>
        <x:v>23.903423391812876</x:v>
      </x:c>
    </x:row>
    <x:row r="24" ht="22" customHeight="1">
      <x:c r="A24" s="2" t="str">
        <x:v>All planted in 2027</x:v>
      </x:c>
      <x:c r="B24" s="2" t="n">
        <x:v>2046</x:v>
      </x:c>
      <x:c r="C24" s="11" t="n">
        <x:f>IF(B24=2027,1,0)</x:f>
        <x:v>0</x:v>
      </x:c>
      <x:c r="D24" s="11" t="n">
        <x:f>1</x:f>
        <x:v>1</x:v>
      </x:c>
      <x:c r="E24" s="11" t="n">
        <x:f>'Growth source'!D25</x:f>
        <x:v>470.96182222222166</x:v>
      </x:c>
      <x:c r="F24" s="11" t="n">
        <x:f>B24-2026</x:f>
        <x:v>20</x:v>
      </x:c>
      <x:c r="G24" s="2" t="n">
        <x:f>'Growth source'!F25</x:f>
        <x:v>23.548091111111084</x:v>
      </x:c>
    </x:row>
    <x:row r="25" ht="22" customHeight="1">
      <x:c r="A25" s="2" t="str">
        <x:v>All planted in 2027</x:v>
      </x:c>
      <x:c r="B25" s="2" t="n">
        <x:v>2047</x:v>
      </x:c>
      <x:c r="C25" s="11" t="n">
        <x:f>IF(B25=2027,1,0)</x:f>
        <x:v>0</x:v>
      </x:c>
      <x:c r="D25" s="11" t="n">
        <x:f>1</x:f>
        <x:v>1</x:v>
      </x:c>
      <x:c r="E25" s="11" t="n">
        <x:f>'Growth source'!D26</x:f>
        <x:v>498.05266666666625</x:v>
      </x:c>
      <x:c r="F25" s="11" t="n">
        <x:f>B25-2026</x:f>
        <x:v>21</x:v>
      </x:c>
      <x:c r="G25" s="2" t="n">
        <x:f>'Growth source'!F26</x:f>
        <x:v>23.71679365079363</x:v>
      </x:c>
    </x:row>
    <x:row r="26" ht="22" customHeight="1">
      <x:c r="A26" s="2" t="str">
        <x:v>All planted in 2027</x:v>
      </x:c>
      <x:c r="B26" s="2" t="n">
        <x:v>2048</x:v>
      </x:c>
      <x:c r="C26" s="11" t="n">
        <x:f>IF(B26=2027,1,0)</x:f>
        <x:v>0</x:v>
      </x:c>
      <x:c r="D26" s="11" t="n">
        <x:f>1</x:f>
        <x:v>1</x:v>
      </x:c>
      <x:c r="E26" s="11" t="n">
        <x:f>'Growth source'!D27</x:f>
        <x:v>528.4828222222218</x:v>
      </x:c>
      <x:c r="F26" s="11" t="n">
        <x:f>B26-2026</x:f>
        <x:v>22</x:v>
      </x:c>
      <x:c r="G26" s="2" t="n">
        <x:f>'Growth source'!F27</x:f>
        <x:v>24.021946464646444</x:v>
      </x:c>
    </x:row>
    <x:row r="27" ht="22" customHeight="1">
      <x:c r="A27" s="2" t="str">
        <x:v>All planted in 2027</x:v>
      </x:c>
      <x:c r="B27" s="2" t="n">
        <x:v>2049</x:v>
      </x:c>
      <x:c r="C27" s="11" t="n">
        <x:f>IF(B27=2027,1,0)</x:f>
        <x:v>0</x:v>
      </x:c>
      <x:c r="D27" s="11" t="n">
        <x:f>1</x:f>
        <x:v>1</x:v>
      </x:c>
      <x:c r="E27" s="11" t="n">
        <x:f>'Growth source'!D28</x:f>
        <x:v>561.4557777777783</x:v>
      </x:c>
      <x:c r="F27" s="11" t="n">
        <x:f>B27-2026</x:f>
        <x:v>23</x:v>
      </x:c>
      <x:c r="G27" s="2" t="n">
        <x:f>'Growth source'!F28</x:f>
        <x:v>24.41112077294688</x:v>
      </x:c>
    </x:row>
    <x:row r="28" ht="22" customHeight="1">
      <x:c r="A28" s="2" t="str">
        <x:v>All planted in 2027</x:v>
      </x:c>
      <x:c r="B28" s="2" t="n">
        <x:v>2050</x:v>
      </x:c>
      <x:c r="C28" s="11" t="n">
        <x:f>IF(B28=2027,1,0)</x:f>
        <x:v>0</x:v>
      </x:c>
      <x:c r="D28" s="11" t="n">
        <x:f>1</x:f>
        <x:v>1</x:v>
      </x:c>
      <x:c r="E28" s="11" t="n">
        <x:f>'Growth source'!D29</x:f>
        <x:v>588.7750222222217</x:v>
      </x:c>
      <x:c r="F28" s="11" t="n">
        <x:f>B28-2026</x:f>
        <x:v>24</x:v>
      </x:c>
      <x:c r="G28" s="2" t="n">
        <x:f>'Growth source'!F29</x:f>
        <x:v>24.53229259259257</x:v>
      </x:c>
    </x:row>
    <x:row r="29" ht="22" customHeight="1">
      <x:c r="A29" s="2" t="str">
        <x:v>All planted in 2027</x:v>
      </x:c>
      <x:c r="B29" s="2" t="n">
        <x:v>2051</x:v>
      </x:c>
      <x:c r="C29" s="11" t="n">
        <x:f>IF(B29=2027,1,0)</x:f>
        <x:v>0</x:v>
      </x:c>
      <x:c r="D29" s="11" t="n">
        <x:f>1</x:f>
        <x:v>1</x:v>
      </x:c>
      <x:c r="E29" s="11" t="n">
        <x:f>'Growth source'!D30</x:f>
        <x:v>614.3388444444445</x:v>
      </x:c>
      <x:c r="F29" s="11" t="n">
        <x:f>B29-2026</x:f>
        <x:v>25</x:v>
      </x:c>
      <x:c r="G29" s="2" t="n">
        <x:f>'Growth source'!F30</x:f>
        <x:v>24.57355377777778</x:v>
      </x:c>
    </x:row>
    <x:row r="30" ht="22" customHeight="1">
      <x:c r="A30" s="2" t="str">
        <x:v>All planted in 2027</x:v>
      </x:c>
      <x:c r="B30" s="2" t="n">
        <x:v>2052</x:v>
      </x:c>
      <x:c r="C30" s="11" t="n">
        <x:f>IF(B30=2027,1,0)</x:f>
        <x:v>0</x:v>
      </x:c>
      <x:c r="D30" s="11" t="n">
        <x:f>1</x:f>
        <x:v>1</x:v>
      </x:c>
      <x:c r="E30" s="11" t="n">
        <x:f>'Growth source'!D31</x:f>
        <x:v>647.3680222222217</x:v>
      </x:c>
      <x:c r="F30" s="11" t="n">
        <x:f>B30-2026</x:f>
        <x:v>26</x:v>
      </x:c>
      <x:c r="G30" s="2" t="n">
        <x:f>'Growth source'!F31</x:f>
        <x:v>24.898770085470066</x:v>
      </x:c>
    </x:row>
    <x:row r="31" ht="22" customHeight="1">
      <x:c r="A31" s="2" t="str">
        <x:v>All planted in 2027</x:v>
      </x:c>
      <x:c r="B31" s="2" t="n">
        <x:v>2053</x:v>
      </x:c>
      <x:c r="C31" s="11" t="n">
        <x:f>IF(B31=2027,1,0)</x:f>
        <x:v>0</x:v>
      </x:c>
      <x:c r="D31" s="11" t="n">
        <x:f>1</x:f>
        <x:v>1</x:v>
      </x:c>
      <x:c r="E31" s="11" t="n">
        <x:f>'Growth source'!D32</x:f>
        <x:v>668.9832666666663</x:v>
      </x:c>
      <x:c r="F31" s="11" t="n">
        <x:f>B31-2026</x:f>
        <x:v>27</x:v>
      </x:c>
      <x:c r="G31" s="2" t="n">
        <x:f>'Growth source'!F32</x:f>
        <x:v>24.777158024691342</x:v>
      </x:c>
    </x:row>
    <x:row r="32" ht="22" customHeight="1">
      <x:c r="A32" s="2" t="str">
        <x:v>All planted in 2027</x:v>
      </x:c>
      <x:c r="B32" s="2" t="n">
        <x:v>2054</x:v>
      </x:c>
      <x:c r="C32" s="11" t="n">
        <x:f>IF(B32=2027,1,0)</x:f>
        <x:v>0</x:v>
      </x:c>
      <x:c r="D32" s="11" t="n">
        <x:f>1</x:f>
        <x:v>1</x:v>
      </x:c>
      <x:c r="E32" s="11" t="n">
        <x:f>'Growth source'!D33</x:f>
        <x:v>692.0139333333339</x:v>
      </x:c>
      <x:c r="F32" s="11" t="n">
        <x:f>B32-2026</x:f>
        <x:v>28</x:v>
      </x:c>
      <x:c r="G32" s="2" t="n">
        <x:f>'Growth source'!F33</x:f>
        <x:v>24.71478333333335</x:v>
      </x:c>
    </x:row>
    <x:row r="33" ht="22" customHeight="1">
      <x:c r="A33" s="2" t="str">
        <x:v>All planted in 2027</x:v>
      </x:c>
      <x:c r="B33" s="2" t="n">
        <x:v>2055</x:v>
      </x:c>
      <x:c r="C33" s="11" t="n">
        <x:f>IF(B33=2027,1,0)</x:f>
        <x:v>0</x:v>
      </x:c>
      <x:c r="D33" s="11" t="n">
        <x:f>1</x:f>
        <x:v>1</x:v>
      </x:c>
      <x:c r="E33" s="11" t="n">
        <x:f>'Growth source'!D34</x:f>
        <x:v>737.7446222222217</x:v>
      </x:c>
      <x:c r="F33" s="11" t="n">
        <x:f>B33-2026</x:f>
        <x:v>29</x:v>
      </x:c>
      <x:c r="G33" s="2" t="n">
        <x:f>'Growth source'!F34</x:f>
        <x:v>25.43946973180075</x:v>
      </x:c>
    </x:row>
    <x:row r="34" ht="22" customHeight="1">
      <x:c r="A34" s="2" t="str">
        <x:v>All planted in 2027</x:v>
      </x:c>
      <x:c r="B34" s="2" t="n">
        <x:v>2056</x:v>
      </x:c>
      <x:c r="C34" s="11" t="n">
        <x:f>IF(B34=2027,1,0)</x:f>
        <x:v>0</x:v>
      </x:c>
      <x:c r="D34" s="11" t="n">
        <x:f>1</x:f>
        <x:v>1</x:v>
      </x:c>
      <x:c r="E34" s="11" t="n">
        <x:f>'Growth source'!D35</x:f>
        <x:v>764.3964222222219</x:v>
      </x:c>
      <x:c r="F34" s="11" t="n">
        <x:f>B34-2026</x:f>
        <x:v>30</x:v>
      </x:c>
      <x:c r="G34" s="2" t="n">
        <x:f>'Growth source'!F35</x:f>
        <x:v>25.47988074074073</x:v>
      </x:c>
    </x:row>
    <x:row r="35" ht="22" customHeight="1">
      <x:c r="A35" s="2" t="str">
        <x:v>Constant planting to 2050</x:v>
      </x:c>
      <x:c r="B35" s="2" t="n">
        <x:v>2027</x:v>
      </x:c>
      <x:c r="C35" s="11" t="n">
        <x:f>IF(B35&lt;=2050,1/24,0)</x:f>
        <x:v>0.041666666666666664</x:v>
      </x:c>
      <x:c r="D35" s="11" t="n">
        <x:f>MIN(B35-2026,24)/24</x:f>
        <x:v>0.041666666666666664</x:v>
      </x:c>
      <x:c r="E35" s="11" t="n">
        <x:f>SUM('Growth source'!D6:D6)/24</x:f>
        <x:v>0.04252129629629628</x:v>
      </x:c>
      <x:c r="F35" s="11" t="n">
        <x:f>MIN(B35-2026,24)*(MAX(1,B35-2049)+B35-2026)/2/24</x:f>
        <x:v>0.041666666666666664</x:v>
      </x:c>
      <x:c r="G35" s="2" t="n">
        <x:f>SUM('Growth source'!F6:F6)/24</x:f>
        <x:v>0.04252129629629628</x:v>
      </x:c>
    </x:row>
    <x:row r="36" ht="22" customHeight="1">
      <x:c r="A36" s="2" t="str">
        <x:v>Constant planting to 2050</x:v>
      </x:c>
      <x:c r="B36" s="2" t="n">
        <x:v>2028</x:v>
      </x:c>
      <x:c r="C36" s="11" t="n">
        <x:f>IF(B36&lt;=2050,1/24,0)</x:f>
        <x:v>0.041666666666666664</x:v>
      </x:c>
      <x:c r="D36" s="11" t="n">
        <x:f>MIN(B36-2026,24)/24</x:f>
        <x:v>0.08333333333333333</x:v>
      </x:c>
      <x:c r="E36" s="11" t="n">
        <x:f>SUM('Growth source'!D6:D7)/24</x:f>
        <x:v>0.20234444444444435</x:v>
      </x:c>
      <x:c r="F36" s="11" t="n">
        <x:f>MIN(B36-2026,24)*(MAX(1,B36-2049)+B36-2026)/2/24</x:f>
        <x:v>0.125</x:v>
      </x:c>
      <x:c r="G36" s="2" t="n">
        <x:f>SUM('Growth source'!F6:F7)/24</x:f>
        <x:v>0.12243287037037032</x:v>
      </x:c>
    </x:row>
    <x:row r="37" ht="22" customHeight="1">
      <x:c r="A37" s="2" t="str">
        <x:v>Constant planting to 2050</x:v>
      </x:c>
      <x:c r="B37" s="2" t="n">
        <x:v>2029</x:v>
      </x:c>
      <x:c r="C37" s="11" t="n">
        <x:f>IF(B37&lt;=2050,1/24,0)</x:f>
        <x:v>0.041666666666666664</x:v>
      </x:c>
      <x:c r="D37" s="11" t="n">
        <x:f>MIN(B37-2026,24)/24</x:f>
        <x:v>0.125</x:v>
      </x:c>
      <x:c r="E37" s="11" t="n">
        <x:f>SUM('Growth source'!D6:D8)/24</x:f>
        <x:v>0.68577037037037</x:v>
      </x:c>
      <x:c r="F37" s="11" t="n">
        <x:f>MIN(B37-2026,24)*(MAX(1,B37-2049)+B37-2026)/2/24</x:f>
        <x:v>0.25</x:v>
      </x:c>
      <x:c r="G37" s="2" t="n">
        <x:f>SUM('Growth source'!F6:F8)/24</x:f>
        <x:v>0.2835748456790122</x:v>
      </x:c>
    </x:row>
    <x:row r="38" ht="22" customHeight="1">
      <x:c r="A38" s="2" t="str">
        <x:v>Constant planting to 2050</x:v>
      </x:c>
      <x:c r="B38" s="2" t="n">
        <x:v>2030</x:v>
      </x:c>
      <x:c r="C38" s="11" t="n">
        <x:f>IF(B38&lt;=2050,1/24,0)</x:f>
        <x:v>0.041666666666666664</x:v>
      </x:c>
      <x:c r="D38" s="11" t="n">
        <x:f>MIN(B38-2026,24)/24</x:f>
        <x:v>0.16666666666666666</x:v>
      </x:c>
      <x:c r="E38" s="11" t="n">
        <x:f>SUM('Growth source'!D6:D9)/24</x:f>
        <x:v>1.6403601851851841</x:v>
      </x:c>
      <x:c r="F38" s="11" t="n">
        <x:f>MIN(B38-2026,24)*(MAX(1,B38-2049)+B38-2026)/2/24</x:f>
        <x:v>0.4166666666666667</x:v>
      </x:c>
      <x:c r="G38" s="2" t="n">
        <x:f>SUM('Growth source'!F6:F9)/24</x:f>
        <x:v>0.5222222993827158</x:v>
      </x:c>
    </x:row>
    <x:row r="39" ht="22" customHeight="1">
      <x:c r="A39" s="2" t="str">
        <x:v>Constant planting to 2050</x:v>
      </x:c>
      <x:c r="B39" s="2" t="n">
        <x:v>2031</x:v>
      </x:c>
      <x:c r="C39" s="11" t="n">
        <x:f>IF(B39&lt;=2050,1/24,0)</x:f>
        <x:v>0.041666666666666664</x:v>
      </x:c>
      <x:c r="D39" s="11" t="n">
        <x:f>MIN(B39-2026,24)/24</x:f>
        <x:v>0.20833333333333334</x:v>
      </x:c>
      <x:c r="E39" s="11" t="n">
        <x:f>SUM('Growth source'!D6:D10)/24</x:f>
        <x:v>3.4669805555555553</x:v>
      </x:c>
      <x:c r="F39" s="11" t="n">
        <x:f>MIN(B39-2026,24)*(MAX(1,B39-2049)+B39-2026)/2/24</x:f>
        <x:v>0.625</x:v>
      </x:c>
      <x:c r="G39" s="2" t="n">
        <x:f>SUM('Growth source'!F6:F10)/24</x:f>
        <x:v>0.88754637345679</x:v>
      </x:c>
    </x:row>
    <x:row r="40" ht="22" customHeight="1">
      <x:c r="A40" s="2" t="str">
        <x:v>Constant planting to 2050</x:v>
      </x:c>
      <x:c r="B40" s="2" t="n">
        <x:v>2032</x:v>
      </x:c>
      <x:c r="C40" s="11" t="n">
        <x:f>IF(B40&lt;=2050,1/24,0)</x:f>
        <x:v>0.041666666666666664</x:v>
      </x:c>
      <x:c r="D40" s="11" t="n">
        <x:f>MIN(B40-2026,24)/24</x:f>
        <x:v>0.25</x:v>
      </x:c>
      <x:c r="E40" s="11" t="n">
        <x:f>SUM('Growth source'!D6:D11)/24</x:f>
        <x:v>6.676732407407407</x:v>
      </x:c>
      <x:c r="F40" s="11" t="n">
        <x:f>MIN(B40-2026,24)*(MAX(1,B40-2049)+B40-2026)/2/24</x:f>
        <x:v>0.875</x:v>
      </x:c>
      <x:c r="G40" s="2" t="n">
        <x:f>SUM('Growth source'!F6:F11)/24</x:f>
        <x:v>1.4225050154320986</x:v>
      </x:c>
    </x:row>
    <x:row r="41" ht="22" customHeight="1">
      <x:c r="A41" s="2" t="str">
        <x:v>Constant planting to 2050</x:v>
      </x:c>
      <x:c r="B41" s="2" t="n">
        <x:v>2033</x:v>
      </x:c>
      <x:c r="C41" s="11" t="n">
        <x:f>IF(B41&lt;=2050,1/24,0)</x:f>
        <x:v>0.041666666666666664</x:v>
      </x:c>
      <x:c r="D41" s="11" t="n">
        <x:f>MIN(B41-2026,24)/24</x:f>
        <x:v>0.2916666666666667</x:v>
      </x:c>
      <x:c r="E41" s="11" t="n">
        <x:f>SUM('Growth source'!D6:D12)/24</x:f>
        <x:v>10.481114506172837</x:v>
      </x:c>
      <x:c r="F41" s="11" t="n">
        <x:f>MIN(B41-2026,24)*(MAX(1,B41-2049)+B41-2026)/2/24</x:f>
        <x:v>1.1666666666666667</x:v>
      </x:c>
      <x:c r="G41" s="2" t="n">
        <x:f>SUM('Growth source'!F6:F12)/24</x:f>
        <x:v>1.9659881723985888</x:v>
      </x:c>
    </x:row>
    <x:row r="42" ht="22" customHeight="1">
      <x:c r="A42" s="2" t="str">
        <x:v>Constant planting to 2050</x:v>
      </x:c>
      <x:c r="B42" s="2" t="n">
        <x:v>2034</x:v>
      </x:c>
      <x:c r="C42" s="11" t="n">
        <x:f>IF(B42&lt;=2050,1/24,0)</x:f>
        <x:v>0.041666666666666664</x:v>
      </x:c>
      <x:c r="D42" s="11" t="n">
        <x:f>MIN(B42-2026,24)/24</x:f>
        <x:v>0.3333333333333333</x:v>
      </x:c>
      <x:c r="E42" s="11" t="n">
        <x:f>SUM('Growth source'!D6:D13)/24</x:f>
        <x:v>14.880126851851848</x:v>
      </x:c>
      <x:c r="F42" s="11" t="n">
        <x:f>MIN(B42-2026,24)*(MAX(1,B42-2049)+B42-2026)/2/24</x:f>
        <x:v>1.5</x:v>
      </x:c>
      <x:c r="G42" s="2" t="n">
        <x:f>SUM('Growth source'!F6:F13)/24</x:f>
        <x:v>2.515864715608465</x:v>
      </x:c>
    </x:row>
    <x:row r="43" ht="22" customHeight="1">
      <x:c r="A43" s="2" t="str">
        <x:v>Constant planting to 2050</x:v>
      </x:c>
      <x:c r="B43" s="2" t="n">
        <x:v>2035</x:v>
      </x:c>
      <x:c r="C43" s="11" t="n">
        <x:f>IF(B43&lt;=2050,1/24,0)</x:f>
        <x:v>0.041666666666666664</x:v>
      </x:c>
      <x:c r="D43" s="11" t="n">
        <x:f>MIN(B43-2026,24)/24</x:f>
        <x:v>0.375</x:v>
      </x:c>
      <x:c r="E43" s="11" t="n">
        <x:f>SUM('Growth source'!D6:D14)/24</x:f>
        <x:v>19.873769444444438</x:v>
      </x:c>
      <x:c r="F43" s="11" t="n">
        <x:f>MIN(B43-2026,24)*(MAX(1,B43-2049)+B43-2026)/2/24</x:f>
        <x:v>1.875</x:v>
      </x:c>
      <x:c r="G43" s="2" t="n">
        <x:f>SUM('Growth source'!F6:F14)/24</x:f>
        <x:v>3.0707138925631976</x:v>
      </x:c>
    </x:row>
    <x:row r="44" ht="22" customHeight="1">
      <x:c r="A44" s="2" t="str">
        <x:v>Constant planting to 2050</x:v>
      </x:c>
      <x:c r="B44" s="2" t="n">
        <x:v>2036</x:v>
      </x:c>
      <x:c r="C44" s="11" t="n">
        <x:f>IF(B44&lt;=2050,1/24,0)</x:f>
        <x:v>0.041666666666666664</x:v>
      </x:c>
      <x:c r="D44" s="11" t="n">
        <x:f>MIN(B44-2026,24)/24</x:f>
        <x:v>0.4166666666666667</x:v>
      </x:c>
      <x:c r="E44" s="11" t="n">
        <x:f>SUM('Growth source'!D6:D15)/24</x:f>
        <x:v>25.873259259259246</x:v>
      </x:c>
      <x:c r="F44" s="11" t="n">
        <x:f>MIN(B44-2026,24)*(MAX(1,B44-2049)+B44-2026)/2/24</x:f>
        <x:v>2.2916666666666665</x:v>
      </x:c>
      <x:c r="G44" s="2" t="n">
        <x:f>SUM('Growth source'!F6:F15)/24</x:f>
        <x:v>3.6706628740446785</x:v>
      </x:c>
    </x:row>
    <x:row r="45" ht="22" customHeight="1">
      <x:c r="A45" s="2" t="str">
        <x:v>Constant planting to 2050</x:v>
      </x:c>
      <x:c r="B45" s="2" t="n">
        <x:v>2037</x:v>
      </x:c>
      <x:c r="C45" s="11" t="n">
        <x:f>IF(B45&lt;=2050,1/24,0)</x:f>
        <x:v>0.041666666666666664</x:v>
      </x:c>
      <x:c r="D45" s="11" t="n">
        <x:f>MIN(B45-2026,24)/24</x:f>
        <x:v>0.4583333333333333</x:v>
      </x:c>
      <x:c r="E45" s="11" t="n">
        <x:f>SUM('Growth source'!D6:D16)/24</x:f>
        <x:v>33.35329166666664</x:v>
      </x:c>
      <x:c r="F45" s="11" t="n">
        <x:f>MIN(B45-2026,24)*(MAX(1,B45-2049)+B45-2026)/2/24</x:f>
        <x:v>2.75</x:v>
      </x:c>
      <x:c r="G45" s="2" t="n">
        <x:f>SUM('Growth source'!F6:F16)/24</x:f>
        <x:v>4.350665820172623</x:v>
      </x:c>
    </x:row>
    <x:row r="46" ht="22" customHeight="1">
      <x:c r="A46" s="2" t="str">
        <x:v>Constant planting to 2050</x:v>
      </x:c>
      <x:c r="B46" s="2" t="n">
        <x:v>2038</x:v>
      </x:c>
      <x:c r="C46" s="11" t="n">
        <x:f>IF(B46&lt;=2050,1/24,0)</x:f>
        <x:v>0.041666666666666664</x:v>
      </x:c>
      <x:c r="D46" s="11" t="n">
        <x:f>MIN(B46-2026,24)/24</x:f>
        <x:v>0.5</x:v>
      </x:c>
      <x:c r="E46" s="11" t="n">
        <x:f>SUM('Growth source'!D6:D17)/24</x:f>
        <x:v>42.31386666666663</x:v>
      </x:c>
      <x:c r="F46" s="11" t="n">
        <x:f>MIN(B46-2026,24)*(MAX(1,B46-2049)+B46-2026)/2/24</x:f>
        <x:v>3.25</x:v>
      </x:c>
      <x:c r="G46" s="2" t="n">
        <x:f>SUM('Growth source'!F6:F17)/24</x:f>
        <x:v>5.097380403505956</x:v>
      </x:c>
    </x:row>
    <x:row r="47" ht="22" customHeight="1">
      <x:c r="A47" s="2" t="str">
        <x:v>Constant planting to 2050</x:v>
      </x:c>
      <x:c r="B47" s="2" t="n">
        <x:v>2039</x:v>
      </x:c>
      <x:c r="C47" s="11" t="n">
        <x:f>IF(B47&lt;=2050,1/24,0)</x:f>
        <x:v>0.041666666666666664</x:v>
      </x:c>
      <x:c r="D47" s="11" t="n">
        <x:f>MIN(B47-2026,24)/24</x:f>
        <x:v>0.5416666666666666</x:v>
      </x:c>
      <x:c r="E47" s="11" t="n">
        <x:f>SUM('Growth source'!D6:D18)/24</x:f>
        <x:v>52.754984259259196</x:v>
      </x:c>
      <x:c r="F47" s="11" t="n">
        <x:f>MIN(B47-2026,24)*(MAX(1,B47-2049)+B47-2026)/2/24</x:f>
        <x:v>3.7916666666666665</x:v>
      </x:c>
      <x:c r="G47" s="2" t="n">
        <x:f>SUM('Growth source'!F6:F18)/24</x:f>
        <x:v>5.900543295243845</x:v>
      </x:c>
    </x:row>
    <x:row r="48" ht="22" customHeight="1">
      <x:c r="A48" s="2" t="str">
        <x:v>Constant planting to 2050</x:v>
      </x:c>
      <x:c r="B48" s="2" t="n">
        <x:v>2040</x:v>
      </x:c>
      <x:c r="C48" s="11" t="n">
        <x:f>IF(B48&lt;=2050,1/24,0)</x:f>
        <x:v>0.041666666666666664</x:v>
      </x:c>
      <x:c r="D48" s="11" t="n">
        <x:f>MIN(B48-2026,24)/24</x:f>
        <x:v>0.5833333333333334</x:v>
      </x:c>
      <x:c r="E48" s="11" t="n">
        <x:f>SUM('Growth source'!D6:D19)/24</x:f>
        <x:v>64.1403851851851</x:v>
      </x:c>
      <x:c r="F48" s="11" t="n">
        <x:f>MIN(B48-2026,24)*(MAX(1,B48-2049)+B48-2026)/2/24</x:f>
        <x:v>4.375</x:v>
      </x:c>
      <x:c r="G48" s="2" t="n">
        <x:f>SUM('Growth source'!F6:F19)/24</x:f>
        <x:v>6.713786218524266</x:v>
      </x:c>
    </x:row>
    <x:row r="49" ht="22" customHeight="1">
      <x:c r="A49" s="2" t="str">
        <x:v>Constant planting to 2050</x:v>
      </x:c>
      <x:c r="B49" s="2" t="n">
        <x:v>2041</x:v>
      </x:c>
      <x:c r="C49" s="11" t="n">
        <x:f>IF(B49&lt;=2050,1/24,0)</x:f>
        <x:v>0.041666666666666664</x:v>
      </x:c>
      <x:c r="D49" s="11" t="n">
        <x:f>MIN(B49-2026,24)/24</x:f>
        <x:v>0.625</x:v>
      </x:c>
      <x:c r="E49" s="11" t="n">
        <x:f>SUM('Growth source'!D6:D20)/24</x:f>
        <x:v>77.03597222222214</x:v>
      </x:c>
      <x:c r="F49" s="11" t="n">
        <x:f>MIN(B49-2026,24)*(MAX(1,B49-2049)+B49-2026)/2/24</x:f>
        <x:v>5</x:v>
      </x:c>
      <x:c r="G49" s="2" t="n">
        <x:f>SUM('Growth source'!F6:F20)/24</x:f>
        <x:v>7.5734920209934025</x:v>
      </x:c>
    </x:row>
    <x:row r="50" ht="22" customHeight="1">
      <x:c r="A50" s="2" t="str">
        <x:v>Constant planting to 2050</x:v>
      </x:c>
      <x:c r="B50" s="2" t="n">
        <x:v>2042</x:v>
      </x:c>
      <x:c r="C50" s="11" t="n">
        <x:f>IF(B50&lt;=2050,1/24,0)</x:f>
        <x:v>0.041666666666666664</x:v>
      </x:c>
      <x:c r="D50" s="11" t="n">
        <x:f>MIN(B50-2026,24)/24</x:f>
        <x:v>0.6666666666666666</x:v>
      </x:c>
      <x:c r="E50" s="11" t="n">
        <x:f>SUM('Growth source'!D6:D21)/24</x:f>
        <x:v>91.56884351851842</x:v>
      </x:c>
      <x:c r="F50" s="11" t="n">
        <x:f>MIN(B50-2026,24)*(MAX(1,B50-2049)+B50-2026)/2/24</x:f>
        <x:v>5.666666666666667</x:v>
      </x:c>
      <x:c r="G50" s="2" t="n">
        <x:f>SUM('Growth source'!F6:F21)/24</x:f>
        <x:v>8.48179647701192</x:v>
      </x:c>
    </x:row>
    <x:row r="51" ht="22" customHeight="1">
      <x:c r="A51" s="2" t="str">
        <x:v>Constant planting to 2050</x:v>
      </x:c>
      <x:c r="B51" s="2" t="n">
        <x:v>2043</x:v>
      </x:c>
      <x:c r="C51" s="11" t="n">
        <x:f>IF(B51&lt;=2050,1/24,0)</x:f>
        <x:v>0.041666666666666664</x:v>
      </x:c>
      <x:c r="D51" s="11" t="n">
        <x:f>MIN(B51-2026,24)/24</x:f>
        <x:v>0.7083333333333334</x:v>
      </x:c>
      <x:c r="E51" s="11" t="n">
        <x:f>SUM('Growth source'!D6:D22)/24</x:f>
        <x:v>107.62772037037028</x:v>
      </x:c>
      <x:c r="F51" s="11" t="n">
        <x:f>MIN(B51-2026,24)*(MAX(1,B51-2049)+B51-2026)/2/24</x:f>
        <x:v>6.375</x:v>
      </x:c>
      <x:c r="G51" s="2" t="n">
        <x:f>SUM('Growth source'!F6:F22)/24</x:f>
        <x:v>9.426436291826734</x:v>
      </x:c>
    </x:row>
    <x:row r="52" ht="22" customHeight="1">
      <x:c r="A52" s="2" t="str">
        <x:v>Constant planting to 2050</x:v>
      </x:c>
      <x:c r="B52" s="2" t="n">
        <x:v>2044</x:v>
      </x:c>
      <x:c r="C52" s="11" t="n">
        <x:f>IF(B52&lt;=2050,1/24,0)</x:f>
        <x:v>0.041666666666666664</x:v>
      </x:c>
      <x:c r="D52" s="11" t="n">
        <x:f>MIN(B52-2026,24)/24</x:f>
        <x:v>0.75</x:v>
      </x:c>
      <x:c r="E52" s="11" t="n">
        <x:f>SUM('Growth source'!D6:D23)/24</x:f>
        <x:v>125.36258518518508</x:v>
      </x:c>
      <x:c r="F52" s="11" t="n">
        <x:f>MIN(B52-2026,24)*(MAX(1,B52-2049)+B52-2026)/2/24</x:f>
        <x:v>7.125</x:v>
      </x:c>
      <x:c r="G52" s="2" t="n">
        <x:f>SUM('Growth source'!F6:F23)/24</x:f>
        <x:v>10.411706559316446</x:v>
      </x:c>
    </x:row>
    <x:row r="53" ht="22" customHeight="1">
      <x:c r="A53" s="2" t="str">
        <x:v>Constant planting to 2050</x:v>
      </x:c>
      <x:c r="B53" s="2" t="n">
        <x:v>2045</x:v>
      </x:c>
      <x:c r="C53" s="11" t="n">
        <x:f>IF(B53&lt;=2050,1/24,0)</x:f>
        <x:v>0.041666666666666664</x:v>
      </x:c>
      <x:c r="D53" s="11" t="n">
        <x:f>MIN(B53-2026,24)/24</x:f>
        <x:v>0.7916666666666666</x:v>
      </x:c>
      <x:c r="E53" s="11" t="n">
        <x:f>SUM('Growth source'!D6:D24)/24</x:f>
        <x:v>144.2861287037036</x:v>
      </x:c>
      <x:c r="F53" s="11" t="n">
        <x:f>MIN(B53-2026,24)*(MAX(1,B53-2049)+B53-2026)/2/24</x:f>
        <x:v>7.916666666666667</x:v>
      </x:c>
      <x:c r="G53" s="2" t="n">
        <x:f>SUM('Growth source'!F6:F24)/24</x:f>
        <x:v>11.407682533975317</x:v>
      </x:c>
    </x:row>
    <x:row r="54" ht="22" customHeight="1">
      <x:c r="A54" s="2" t="str">
        <x:v>Constant planting to 2050</x:v>
      </x:c>
      <x:c r="B54" s="2" t="n">
        <x:v>2046</x:v>
      </x:c>
      <x:c r="C54" s="11" t="n">
        <x:f>IF(B54&lt;=2050,1/24,0)</x:f>
        <x:v>0.041666666666666664</x:v>
      </x:c>
      <x:c r="D54" s="11" t="n">
        <x:f>MIN(B54-2026,24)/24</x:f>
        <x:v>0.8333333333333334</x:v>
      </x:c>
      <x:c r="E54" s="11" t="n">
        <x:f>SUM('Growth source'!D6:D25)/24</x:f>
        <x:v>163.90953796296284</x:v>
      </x:c>
      <x:c r="F54" s="11" t="n">
        <x:f>MIN(B54-2026,24)*(MAX(1,B54-2049)+B54-2026)/2/24</x:f>
        <x:v>8.75</x:v>
      </x:c>
      <x:c r="G54" s="2" t="n">
        <x:f>SUM('Growth source'!F6:F25)/24</x:f>
        <x:v>12.388852996938278</x:v>
      </x:c>
    </x:row>
    <x:row r="55" ht="22" customHeight="1">
      <x:c r="A55" s="2" t="str">
        <x:v>Constant planting to 2050</x:v>
      </x:c>
      <x:c r="B55" s="2" t="n">
        <x:v>2047</x:v>
      </x:c>
      <x:c r="C55" s="11" t="n">
        <x:f>IF(B55&lt;=2050,1/24,0)</x:f>
        <x:v>0.041666666666666664</x:v>
      </x:c>
      <x:c r="D55" s="11" t="n">
        <x:f>MIN(B55-2026,24)/24</x:f>
        <x:v>0.875</x:v>
      </x:c>
      <x:c r="E55" s="11" t="n">
        <x:f>SUM('Growth source'!D6:D26)/24</x:f>
        <x:v>184.66173240740727</x:v>
      </x:c>
      <x:c r="F55" s="11" t="n">
        <x:f>MIN(B55-2026,24)*(MAX(1,B55-2049)+B55-2026)/2/24</x:f>
        <x:v>9.625</x:v>
      </x:c>
      <x:c r="G55" s="2" t="n">
        <x:f>SUM('Growth source'!F6:F26)/24</x:f>
        <x:v>13.377052732388014</x:v>
      </x:c>
    </x:row>
    <x:row r="56" ht="22" customHeight="1">
      <x:c r="A56" s="2" t="str">
        <x:v>Constant planting to 2050</x:v>
      </x:c>
      <x:c r="B56" s="2" t="n">
        <x:v>2048</x:v>
      </x:c>
      <x:c r="C56" s="11" t="n">
        <x:f>IF(B56&lt;=2050,1/24,0)</x:f>
        <x:v>0.041666666666666664</x:v>
      </x:c>
      <x:c r="D56" s="11" t="n">
        <x:f>MIN(B56-2026,24)/24</x:f>
        <x:v>0.9166666666666666</x:v>
      </x:c>
      <x:c r="E56" s="11" t="n">
        <x:f>SUM('Growth source'!D6:D27)/24</x:f>
        <x:v>206.68184999999986</x:v>
      </x:c>
      <x:c r="F56" s="11" t="n">
        <x:f>MIN(B56-2026,24)*(MAX(1,B56-2049)+B56-2026)/2/24</x:f>
        <x:v>10.541666666666666</x:v>
      </x:c>
      <x:c r="G56" s="2" t="n">
        <x:f>SUM('Growth source'!F6:F27)/24</x:f>
        <x:v>14.377967168414948</x:v>
      </x:c>
    </x:row>
    <x:row r="57" ht="22" customHeight="1">
      <x:c r="A57" s="2" t="str">
        <x:v>Constant planting to 2050</x:v>
      </x:c>
      <x:c r="B57" s="2" t="n">
        <x:v>2049</x:v>
      </x:c>
      <x:c r="C57" s="11" t="n">
        <x:f>IF(B57&lt;=2050,1/24,0)</x:f>
        <x:v>0.041666666666666664</x:v>
      </x:c>
      <x:c r="D57" s="11" t="n">
        <x:f>MIN(B57-2026,24)/24</x:f>
        <x:v>0.9583333333333334</x:v>
      </x:c>
      <x:c r="E57" s="11" t="n">
        <x:f>SUM('Growth source'!D6:D28)/24</x:f>
        <x:v>230.07584074074063</x:v>
      </x:c>
      <x:c r="F57" s="11" t="n">
        <x:f>MIN(B57-2026,24)*(MAX(1,B57-2049)+B57-2026)/2/24</x:f>
        <x:v>11.5</x:v>
      </x:c>
      <x:c r="G57" s="2" t="n">
        <x:f>SUM('Growth source'!F6:F28)/24</x:f>
        <x:v>15.395097200621068</x:v>
      </x:c>
    </x:row>
    <x:row r="58" ht="22" customHeight="1">
      <x:c r="A58" s="2" t="str">
        <x:v>Constant planting to 2050</x:v>
      </x:c>
      <x:c r="B58" s="2" t="n">
        <x:v>2050</x:v>
      </x:c>
      <x:c r="C58" s="11" t="n">
        <x:f>IF(B58&lt;=2050,1/24,0)</x:f>
        <x:v>0.041666666666666664</x:v>
      </x:c>
      <x:c r="D58" s="11" t="n">
        <x:f>MIN(B58-2026,24)/24</x:f>
        <x:v>1</x:v>
      </x:c>
      <x:c r="E58" s="11" t="n">
        <x:f>SUM('Growth source'!D6:D29)/24</x:f>
        <x:v>254.60813333333317</x:v>
      </x:c>
      <x:c r="F58" s="11" t="n">
        <x:f>MIN(B58-2026,24)*(MAX(1,B58-2049)+B58-2026)/2/24</x:f>
        <x:v>12.5</x:v>
      </x:c>
      <x:c r="G58" s="2" t="n">
        <x:f>SUM('Growth source'!F6:F29)/24</x:f>
        <x:v>16.417276058645758</x:v>
      </x:c>
    </x:row>
    <x:row r="59" ht="22" customHeight="1">
      <x:c r="A59" s="2" t="str">
        <x:v>Constant planting to 2050</x:v>
      </x:c>
      <x:c r="B59" s="2" t="n">
        <x:v>2051</x:v>
      </x:c>
      <x:c r="C59" s="11" t="n">
        <x:f>IF(B59&lt;=2050,1/24,0)</x:f>
        <x:v>0</x:v>
      </x:c>
      <x:c r="D59" s="11" t="n">
        <x:f>MIN(B59-2026,24)/24</x:f>
        <x:v>1</x:v>
      </x:c>
      <x:c r="E59" s="11" t="n">
        <x:f>SUM('Growth source'!D7:D30)/24</x:f>
        <x:v>280.1630638888887</x:v>
      </x:c>
      <x:c r="F59" s="11" t="n">
        <x:f>MIN(B59-2026,24)*(MAX(1,B59-2049)+B59-2026)/2/24</x:f>
        <x:v>13.5</x:v>
      </x:c>
      <x:c r="G59" s="2" t="n">
        <x:f>SUM('Growth source'!F7:F30)/24</x:f>
        <x:v>17.398652836423537</x:v>
      </x:c>
    </x:row>
    <x:row r="60" ht="22" customHeight="1">
      <x:c r="A60" s="2" t="str">
        <x:v>Constant planting to 2050</x:v>
      </x:c>
      <x:c r="B60" s="2" t="n">
        <x:v>2052</x:v>
      </x:c>
      <x:c r="C60" s="11" t="n">
        <x:f>IF(B60&lt;=2050,1/24,0)</x:f>
        <x:v>0</x:v>
      </x:c>
      <x:c r="D60" s="11" t="n">
        <x:f>MIN(B60-2026,24)/24</x:f>
        <x:v>1</x:v>
      </x:c>
      <x:c r="E60" s="11" t="n">
        <x:f>SUM('Growth source'!D8:D31)/24</x:f>
        <x:v>306.97690833333314</x:v>
      </x:c>
      <x:c r="F60" s="11" t="n">
        <x:f>MIN(B60-2026,24)*(MAX(1,B60-2049)+B60-2026)/2/24</x:f>
        <x:v>14.5</x:v>
      </x:c>
      <x:c r="G60" s="2" t="n">
        <x:f>SUM('Growth source'!F8:F31)/24</x:f>
        <x:v>18.356190015910716</x:v>
      </x:c>
    </x:row>
    <x:row r="61" ht="22" customHeight="1">
      <x:c r="A61" s="2" t="str">
        <x:v>Constant planting to 2050</x:v>
      </x:c>
      <x:c r="B61" s="2" t="n">
        <x:v>2053</x:v>
      </x:c>
      <x:c r="C61" s="11" t="n">
        <x:f>IF(B61&lt;=2050,1/24,0)</x:f>
        <x:v>0</x:v>
      </x:c>
      <x:c r="D61" s="11" t="n">
        <x:f>MIN(B61-2026,24)/24</x:f>
        <x:v>1</x:v>
      </x:c>
      <x:c r="E61" s="11" t="n">
        <x:f>SUM('Growth source'!D9:D32)/24</x:f>
        <x:v>334.36778518518497</x:v>
      </x:c>
      <x:c r="F61" s="11" t="n">
        <x:f>MIN(B61-2026,24)*(MAX(1,B61-2049)+B61-2026)/2/24</x:f>
        <x:v>15.5</x:v>
      </x:c>
      <x:c r="G61" s="2" t="n">
        <x:f>SUM('Growth source'!F9:F32)/24</x:f>
        <x:v>19.227429624964213</x:v>
      </x:c>
    </x:row>
    <x:row r="62" ht="22" customHeight="1">
      <x:c r="A62" s="2" t="str">
        <x:v>Constant planting to 2050</x:v>
      </x:c>
      <x:c r="B62" s="2" t="n">
        <x:v>2054</x:v>
      </x:c>
      <x:c r="C62" s="11" t="n">
        <x:f>IF(B62&lt;=2050,1/24,0)</x:f>
        <x:v>0</x:v>
      </x:c>
      <x:c r="D62" s="11" t="n">
        <x:f>MIN(B62-2026,24)/24</x:f>
        <x:v>1</x:v>
      </x:c>
      <x:c r="E62" s="11" t="n">
        <x:f>SUM('Growth source'!D10:D33)/24</x:f>
        <x:v>362.2471092592591</x:v>
      </x:c>
      <x:c r="F62" s="11" t="n">
        <x:f>MIN(B62-2026,24)*(MAX(1,B62-2049)+B62-2026)/2/24</x:f>
        <x:v>16.5</x:v>
      </x:c>
      <x:c r="G62" s="2" t="n">
        <x:f>SUM('Growth source'!F10:F33)/24</x:f>
        <x:v>20.018564810149396</x:v>
      </x:c>
    </x:row>
    <x:row r="63" ht="22" customHeight="1">
      <x:c r="A63" s="2" t="str">
        <x:v>Constant planting to 2050</x:v>
      </x:c>
      <x:c r="B63" s="2" t="n">
        <x:v>2055</x:v>
      </x:c>
      <x:c r="C63" s="11" t="n">
        <x:f>IF(B63&lt;=2050,1/24,0)</x:f>
        <x:v>0</x:v>
      </x:c>
      <x:c r="D63" s="11" t="n">
        <x:f>MIN(B63-2026,24)/24</x:f>
        <x:v>1</x:v>
      </x:c>
      <x:c r="E63" s="11" t="n">
        <x:f>SUM('Growth source'!D11:D34)/24</x:f>
        <x:v>391.159848148148</x:v>
      </x:c>
      <x:c r="F63" s="11" t="n">
        <x:f>MIN(B63-2026,24)*(MAX(1,B63-2049)+B63-2026)/2/24</x:f>
        <x:v>17.5</x:v>
      </x:c>
      <x:c r="G63" s="2" t="n">
        <x:f>SUM('Growth source'!F11:F34)/24</x:f>
        <x:v>20.71321864156702</x:v>
      </x:c>
    </x:row>
    <x:row r="64" ht="22" customHeight="1">
      <x:c r="A64" s="2" t="str">
        <x:v>Constant planting to 2050</x:v>
      </x:c>
      <x:c r="B64" s="2" t="n">
        <x:v>2056</x:v>
      </x:c>
      <x:c r="C64" s="11" t="n">
        <x:f>IF(B64&lt;=2050,1/24,0)</x:f>
        <x:v>0</x:v>
      </x:c>
      <x:c r="D64" s="11" t="n">
        <x:f>MIN(B64-2026,24)/24</x:f>
        <x:v>1</x:v>
      </x:c>
      <x:c r="E64" s="11" t="n">
        <x:f>SUM('Growth source'!D12:D35)/24</x:f>
        <x:v>419.79994722222204</x:v>
      </x:c>
      <x:c r="F64" s="11" t="n">
        <x:f>MIN(B64-2026,24)*(MAX(1,B64-2049)+B64-2026)/2/24</x:f>
        <x:v>18.5</x:v>
      </x:c>
      <x:c r="G64" s="2" t="n">
        <x:f>SUM('Growth source'!F12:F35)/24</x:f>
        <x:v>21.239921697122575</x:v>
      </x:c>
    </x:row>
    <x:row r="65" ht="22" customHeight="1">
      <x:c r="A65" s="2"/>
      <x:c r="B65" s="2"/>
      <x:c r="C65" s="2"/>
      <x:c r="D65" s="2"/>
      <x:c r="E65" s="2"/>
      <x:c r="F65" s="2"/>
      <x:c r="G65" s="2"/>
    </x:row>
    <x:row r="66" ht="22" customHeight="1">
      <x:c r="A66" s="2"/>
      <x:c r="B66" s="2"/>
      <x:c r="C66" s="2"/>
      <x:c r="D66" s="2"/>
      <x:c r="E66" s="2"/>
      <x:c r="F66" s="2"/>
      <x:c r="G6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2" hidden="0" customWidth="1"/>
    <x:col min="6" max="6" width="1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Trichobel age trajectory</x:v>
      </x:c>
      <x:c r="B2" s="2"/>
      <x:c r="C2" s="2"/>
      <x:c r="D2" s="2"/>
      <x:c r="E2" s="2"/>
      <x:c r="F2" s="2"/>
    </x:row>
    <x:row r="3" ht="22" customHeight="1">
      <x:c r="A3" s="2" t="str">
        <x:v>Arithmetic mean of 45 trees across the original treatments. Historical stocks used 0.50 C and 166 trees/ha.</x:v>
      </x:c>
      <x:c r="B3" s="2"/>
      <x:c r="C3" s="2"/>
      <x:c r="D3" s="2"/>
      <x:c r="E3" s="2"/>
      <x:c r="F3" s="2"/>
    </x:row>
    <x:row r="4" ht="36" customHeight="1">
      <x:c r="A4" s="7" t="str">
        <x:v>Age years</x:v>
      </x:c>
      <x:c r="B4" s="7" t="str">
        <x:v>Measurement year</x:v>
      </x:c>
      <x:c r="C4" s="7" t="str">
        <x:v>Source AGB C Mg/ha</x:v>
      </x:c>
      <x:c r="D4" s="7" t="str">
        <x:v>Dry mass kg/tree</x:v>
      </x:c>
      <x:c r="E4" s="7" t="str">
        <x:v>Evidence</x:v>
      </x:c>
      <x:c r="F4" s="7" t="str">
        <x:v>Dry mass / age</x:v>
      </x:c>
    </x:row>
    <x:row r="5" ht="22" customHeight="1">
      <x:c r="A5" s="2" t="n">
        <x:v>0</x:v>
      </x:c>
      <x:c r="B5" s="2"/>
      <x:c r="C5" s="11" t="n">
        <x:v>0</x:v>
      </x:c>
      <x:c r="D5" s="11" t="n">
        <x:f>C5/0.5/166*1000</x:f>
        <x:v>0</x:v>
      </x:c>
      <x:c r="E5" s="2" t="str">
        <x:v>assumed zero at planting</x:v>
      </x:c>
      <x:c r="F5" s="2" t="n">
        <x:f>IF(A5=0,0,D5/A5)</x:f>
        <x:v>0</x:v>
      </x:c>
    </x:row>
    <x:row r="6" ht="22" customHeight="1">
      <x:c r="A6" s="2" t="n">
        <x:v>1</x:v>
      </x:c>
      <x:c r="B6" s="2" t="n">
        <x:v>1993</x:v>
      </x:c>
      <x:c r="C6" s="11" t="n">
        <x:v>0.08470242222222218</x:v>
      </x:c>
      <x:c r="D6" s="11" t="n">
        <x:f>C6/0.5/166*1000</x:f>
        <x:v>1.0205111111111107</x:v>
      </x:c>
      <x:c r="E6" s="2" t="str">
        <x:v>observed mean</x:v>
      </x:c>
      <x:c r="F6" s="2" t="n">
        <x:f>IF(A6=0,0,D6/A6)</x:f>
        <x:v>1.0205111111111107</x:v>
      </x:c>
    </x:row>
    <x:row r="7" ht="22" customHeight="1">
      <x:c r="A7" s="2" t="n">
        <x:v>2</x:v>
      </x:c>
      <x:c r="B7" s="2" t="n">
        <x:v>1994</x:v>
      </x:c>
      <x:c r="C7" s="11" t="n">
        <x:v>0.318367711111111</x:v>
      </x:c>
      <x:c r="D7" s="11" t="n">
        <x:f>C7/0.5/166*1000</x:f>
        <x:v>3.8357555555555543</x:v>
      </x:c>
      <x:c r="E7" s="2" t="str">
        <x:v>observed mean</x:v>
      </x:c>
      <x:c r="F7" s="2" t="n">
        <x:f>IF(A7=0,0,D7/A7)</x:f>
        <x:v>1.9178777777777771</x:v>
      </x:c>
    </x:row>
    <x:row r="8" ht="22" customHeight="1">
      <x:c r="A8" s="2" t="n">
        <x:v>3</x:v>
      </x:c>
      <x:c r="B8" s="2" t="n">
        <x:v>1995</x:v>
      </x:c>
      <x:c r="C8" s="11" t="n">
        <x:v>0.962984444444444</x:v>
      </x:c>
      <x:c r="D8" s="11" t="n">
        <x:f>C8/0.5/166*1000</x:f>
        <x:v>11.602222222222217</x:v>
      </x:c>
      <x:c r="E8" s="2" t="str">
        <x:v>observed mean</x:v>
      </x:c>
      <x:c r="F8" s="2" t="n">
        <x:f>IF(A8=0,0,D8/A8)</x:f>
        <x:v>3.8674074074074056</x:v>
      </x:c>
    </x:row>
    <x:row r="9" ht="22" customHeight="1">
      <x:c r="A9" s="2" t="n">
        <x:v>4</x:v>
      </x:c>
      <x:c r="B9" s="2" t="n">
        <x:v>1996</x:v>
      </x:c>
      <x:c r="C9" s="11" t="n">
        <x:v>1.9015429111111097</x:v>
      </x:c>
      <x:c r="D9" s="11" t="n">
        <x:f>C9/0.5/166*1000</x:f>
        <x:v>22.91015555555554</x:v>
      </x:c>
      <x:c r="E9" s="2" t="str">
        <x:v>observed mean</x:v>
      </x:c>
      <x:c r="F9" s="2" t="n">
        <x:f>IF(A9=0,0,D9/A9)</x:f>
        <x:v>5.727538888888885</x:v>
      </x:c>
    </x:row>
    <x:row r="10" ht="22" customHeight="1">
      <x:c r="A10" s="2" t="n">
        <x:v>5</x:v>
      </x:c>
      <x:c r="B10" s="2" t="n">
        <x:v>1997</x:v>
      </x:c>
      <x:c r="C10" s="11" t="n">
        <x:v>3.6386277777777796</x:v>
      </x:c>
      <x:c r="D10" s="11" t="n">
        <x:f>C10/0.5/166*1000</x:f>
        <x:v>43.83888888888891</x:v>
      </x:c>
      <x:c r="E10" s="2" t="str">
        <x:v>observed mean</x:v>
      </x:c>
      <x:c r="F10" s="2" t="n">
        <x:f>IF(A10=0,0,D10/A10)</x:f>
        <x:v>8.767777777777782</x:v>
      </x:c>
    </x:row>
    <x:row r="11" ht="22" customHeight="1">
      <x:c r="A11" s="2" t="n">
        <x:v>6</x:v>
      </x:c>
      <x:c r="B11" s="2" t="n">
        <x:v>1998</x:v>
      </x:c>
      <x:c r="C11" s="11" t="n">
        <x:v>6.393825688888889</x:v>
      </x:c>
      <x:c r="D11" s="11" t="n">
        <x:f>C11/0.5/166*1000</x:f>
        <x:v>77.03404444444443</x:v>
      </x:c>
      <x:c r="E11" s="2" t="str">
        <x:v>observed mean</x:v>
      </x:c>
      <x:c r="F11" s="2" t="n">
        <x:f>IF(A11=0,0,D11/A11)</x:f>
        <x:v>12.839007407407406</x:v>
      </x:c>
    </x:row>
    <x:row r="12" ht="22" customHeight="1">
      <x:c r="A12" s="2" t="n">
        <x:v>7</x:v>
      </x:c>
      <x:c r="B12" s="2"/>
      <x:c r="C12" s="11" t="n">
        <x:v>7.578329140740738</x:v>
      </x:c>
      <x:c r="D12" s="11" t="n">
        <x:f>C12/0.5/166*1000</x:f>
        <x:v>91.30517037037033</x:v>
      </x:c>
      <x:c r="E12" s="2" t="str">
        <x:v>linear interpolation of stocks</x:v>
      </x:c>
      <x:c r="F12" s="2" t="n">
        <x:f>IF(A12=0,0,D12/A12)</x:f>
        <x:v>13.043595767195763</x:v>
      </x:c>
    </x:row>
    <x:row r="13" ht="22" customHeight="1">
      <x:c r="A13" s="2" t="n">
        <x:v>8</x:v>
      </x:c>
      <x:c r="B13" s="2"/>
      <x:c r="C13" s="11" t="n">
        <x:v>8.76283259259259</x:v>
      </x:c>
      <x:c r="D13" s="11" t="n">
        <x:f>C13/0.5/166*1000</x:f>
        <x:v>105.57629629629626</x:v>
      </x:c>
      <x:c r="E13" s="2" t="str">
        <x:v>linear interpolation of stocks</x:v>
      </x:c>
      <x:c r="F13" s="2" t="n">
        <x:f>IF(A13=0,0,D13/A13)</x:f>
        <x:v>13.197037037037033</x:v>
      </x:c>
    </x:row>
    <x:row r="14" ht="22" customHeight="1">
      <x:c r="A14" s="2" t="n">
        <x:v>9</x:v>
      </x:c>
      <x:c r="B14" s="2" t="n">
        <x:v>2001</x:v>
      </x:c>
      <x:c r="C14" s="11" t="n">
        <x:v>9.94733604444444</x:v>
      </x:c>
      <x:c r="D14" s="11" t="n">
        <x:f>C14/0.5/166*1000</x:f>
        <x:v>119.84742222222215</x:v>
      </x:c>
      <x:c r="E14" s="2" t="str">
        <x:v>observed mean</x:v>
      </x:c>
      <x:c r="F14" s="2" t="n">
        <x:f>IF(A14=0,0,D14/A14)</x:f>
        <x:v>13.316380246913573</x:v>
      </x:c>
    </x:row>
    <x:row r="15" ht="22" customHeight="1">
      <x:c r="A15" s="2" t="n">
        <x:v>10</x:v>
      </x:c>
      <x:c r="B15" s="2" t="n">
        <x:v>2002</x:v>
      </x:c>
      <x:c r="C15" s="11" t="n">
        <x:v>11.950983711111101</x:v>
      </x:c>
      <x:c r="D15" s="11" t="n">
        <x:f>C15/0.5/166*1000</x:f>
        <x:v>143.98775555555542</x:v>
      </x:c>
      <x:c r="E15" s="2" t="str">
        <x:v>observed mean</x:v>
      </x:c>
      <x:c r="F15" s="2" t="n">
        <x:f>IF(A15=0,0,D15/A15)</x:f>
        <x:v>14.398775555555542</x:v>
      </x:c>
    </x:row>
    <x:row r="16" ht="22" customHeight="1">
      <x:c r="A16" s="2" t="n">
        <x:v>11</x:v>
      </x:c>
      <x:c r="B16" s="2"/>
      <x:c r="C16" s="11" t="n">
        <x:v>14.900224555555532</x:v>
      </x:c>
      <x:c r="D16" s="11" t="n">
        <x:f>C16/0.5/166*1000</x:f>
        <x:v>179.5207777777775</x:v>
      </x:c>
      <x:c r="E16" s="2" t="str">
        <x:v>linear interpolation of stocks</x:v>
      </x:c>
      <x:c r="F16" s="2" t="n">
        <x:f>IF(A16=0,0,D16/A16)</x:f>
        <x:v>16.320070707070684</x:v>
      </x:c>
    </x:row>
    <x:row r="17" ht="22" customHeight="1">
      <x:c r="A17" s="2" t="n">
        <x:v>12</x:v>
      </x:c>
      <x:c r="B17" s="2"/>
      <x:c r="C17" s="11" t="n">
        <x:v>17.849465399999968</x:v>
      </x:c>
      <x:c r="D17" s="11" t="n">
        <x:f>C17/0.5/166*1000</x:f>
        <x:v>215.0537999999996</x:v>
      </x:c>
      <x:c r="E17" s="2" t="str">
        <x:v>linear interpolation of stocks</x:v>
      </x:c>
      <x:c r="F17" s="2" t="n">
        <x:f>IF(A17=0,0,D17/A17)</x:f>
        <x:v>17.921149999999965</x:v>
      </x:c>
    </x:row>
    <x:row r="18" ht="22" customHeight="1">
      <x:c r="A18" s="2" t="n">
        <x:v>13</x:v>
      </x:c>
      <x:c r="B18" s="2" t="n">
        <x:v>2005</x:v>
      </x:c>
      <x:c r="C18" s="11" t="n">
        <x:v>20.798706244444396</x:v>
      </x:c>
      <x:c r="D18" s="11" t="n">
        <x:f>C18/0.5/166*1000</x:f>
        <x:v>250.58682222222163</x:v>
      </x:c>
      <x:c r="E18" s="2" t="str">
        <x:v>observed mean</x:v>
      </x:c>
      <x:c r="F18" s="2" t="n">
        <x:f>IF(A18=0,0,D18/A18)</x:f>
        <x:v>19.275909401709356</x:v>
      </x:c>
    </x:row>
    <x:row r="19" ht="22" customHeight="1">
      <x:c r="A19" s="2" t="n">
        <x:v>14</x:v>
      </x:c>
      <x:c r="B19" s="2" t="n">
        <x:v>2006</x:v>
      </x:c>
      <x:c r="C19" s="11" t="n">
        <x:v>22.6797186444444</x:v>
      </x:c>
      <x:c r="D19" s="11" t="n">
        <x:f>C19/0.5/166*1000</x:f>
        <x:v>273.24962222222166</x:v>
      </x:c>
      <x:c r="E19" s="2" t="str">
        <x:v>observed mean</x:v>
      </x:c>
      <x:c r="F19" s="2" t="n">
        <x:f>IF(A19=0,0,D19/A19)</x:f>
        <x:v>19.517830158730117</x:v>
      </x:c>
    </x:row>
    <x:row r="20" ht="22" customHeight="1">
      <x:c r="A20" s="2" t="n">
        <x:v>15</x:v>
      </x:c>
      <x:c r="B20" s="2" t="n">
        <x:v>2007</x:v>
      </x:c>
      <x:c r="C20" s="11" t="n">
        <x:v>25.688009377777796</x:v>
      </x:c>
      <x:c r="D20" s="11" t="n">
        <x:f>C20/0.5/166*1000</x:f>
        <x:v>309.4940888888891</x:v>
      </x:c>
      <x:c r="E20" s="2" t="str">
        <x:v>observed mean</x:v>
      </x:c>
      <x:c r="F20" s="2" t="n">
        <x:f>IF(A20=0,0,D20/A20)</x:f>
        <x:v>20.632939259259274</x:v>
      </x:c>
    </x:row>
    <x:row r="21" ht="22" customHeight="1">
      <x:c r="A21" s="2" t="n">
        <x:v>16</x:v>
      </x:c>
      <x:c r="B21" s="2" t="n">
        <x:v>2008</x:v>
      </x:c>
      <x:c r="C21" s="11" t="n">
        <x:v>28.9494796222222</x:v>
      </x:c>
      <x:c r="D21" s="11" t="n">
        <x:f>C21/0.5/166*1000</x:f>
        <x:v>348.78891111111085</x:v>
      </x:c>
      <x:c r="E21" s="2" t="str">
        <x:v>observed mean</x:v>
      </x:c>
      <x:c r="F21" s="2" t="n">
        <x:f>IF(A21=0,0,D21/A21)</x:f>
        <x:v>21.799306944444428</x:v>
      </x:c>
    </x:row>
    <x:row r="22" ht="22" customHeight="1">
      <x:c r="A22" s="2" t="n">
        <x:v>17</x:v>
      </x:c>
      <x:c r="B22" s="2" t="n">
        <x:v>2009</x:v>
      </x:c>
      <x:c r="C22" s="11" t="n">
        <x:v>31.9892826888889</x:v>
      </x:c>
      <x:c r="D22" s="11" t="n">
        <x:f>C22/0.5/166*1000</x:f>
        <x:v>385.41304444444455</x:v>
      </x:c>
      <x:c r="E22" s="2" t="str">
        <x:v>observed mean</x:v>
      </x:c>
      <x:c r="F22" s="2" t="n">
        <x:f>IF(A22=0,0,D22/A22)</x:f>
        <x:v>22.67135555555556</x:v>
      </x:c>
    </x:row>
    <x:row r="23" ht="22" customHeight="1">
      <x:c r="A23" s="2" t="n">
        <x:v>18</x:v>
      </x:c>
      <x:c r="B23" s="2" t="n">
        <x:v>2010</x:v>
      </x:c>
      <x:c r="C23" s="11" t="n">
        <x:v>35.3278507111111</x:v>
      </x:c>
      <x:c r="D23" s="11" t="n">
        <x:f>C23/0.5/166*1000</x:f>
        <x:v>425.63675555555534</x:v>
      </x:c>
      <x:c r="E23" s="2" t="str">
        <x:v>observed mean</x:v>
      </x:c>
      <x:c r="F23" s="2" t="n">
        <x:f>IF(A23=0,0,D23/A23)</x:f>
        <x:v>23.646486419753074</x:v>
      </x:c>
    </x:row>
    <x:row r="24" ht="22" customHeight="1">
      <x:c r="A24" s="2" t="n">
        <x:v>19</x:v>
      </x:c>
      <x:c r="B24" s="2" t="n">
        <x:v>2011</x:v>
      </x:c>
      <x:c r="C24" s="11" t="n">
        <x:v>37.6956986888889</x:v>
      </x:c>
      <x:c r="D24" s="11" t="n">
        <x:f>C24/0.5/166*1000</x:f>
        <x:v>454.1650444444446</x:v>
      </x:c>
      <x:c r="E24" s="2" t="str">
        <x:v>observed mean</x:v>
      </x:c>
      <x:c r="F24" s="2" t="n">
        <x:f>IF(A24=0,0,D24/A24)</x:f>
        <x:v>23.903423391812876</x:v>
      </x:c>
    </x:row>
    <x:row r="25" ht="22" customHeight="1">
      <x:c r="A25" s="2" t="n">
        <x:v>20</x:v>
      </x:c>
      <x:c r="B25" s="2" t="n">
        <x:v>2012</x:v>
      </x:c>
      <x:c r="C25" s="11" t="n">
        <x:v>39.0898312444444</x:v>
      </x:c>
      <x:c r="D25" s="11" t="n">
        <x:f>C25/0.5/166*1000</x:f>
        <x:v>470.96182222222166</x:v>
      </x:c>
      <x:c r="E25" s="2" t="str">
        <x:v>observed mean</x:v>
      </x:c>
      <x:c r="F25" s="2" t="n">
        <x:f>IF(A25=0,0,D25/A25)</x:f>
        <x:v>23.548091111111084</x:v>
      </x:c>
    </x:row>
    <x:row r="26" ht="22" customHeight="1">
      <x:c r="A26" s="2" t="n">
        <x:v>21</x:v>
      </x:c>
      <x:c r="B26" s="2" t="n">
        <x:v>2013</x:v>
      </x:c>
      <x:c r="C26" s="11" t="n">
        <x:v>41.3383713333333</x:v>
      </x:c>
      <x:c r="D26" s="11" t="n">
        <x:f>C26/0.5/166*1000</x:f>
        <x:v>498.05266666666625</x:v>
      </x:c>
      <x:c r="E26" s="2" t="str">
        <x:v>observed mean</x:v>
      </x:c>
      <x:c r="F26" s="2" t="n">
        <x:f>IF(A26=0,0,D26/A26)</x:f>
        <x:v>23.71679365079363</x:v>
      </x:c>
    </x:row>
    <x:row r="27" ht="22" customHeight="1">
      <x:c r="A27" s="2" t="n">
        <x:v>22</x:v>
      </x:c>
      <x:c r="B27" s="2" t="n">
        <x:v>2014</x:v>
      </x:c>
      <x:c r="C27" s="11" t="n">
        <x:v>43.86407424444441</x:v>
      </x:c>
      <x:c r="D27" s="11" t="n">
        <x:f>C27/0.5/166*1000</x:f>
        <x:v>528.4828222222218</x:v>
      </x:c>
      <x:c r="E27" s="2" t="str">
        <x:v>observed mean</x:v>
      </x:c>
      <x:c r="F27" s="2" t="n">
        <x:f>IF(A27=0,0,D27/A27)</x:f>
        <x:v>24.021946464646444</x:v>
      </x:c>
    </x:row>
    <x:row r="28" ht="22" customHeight="1">
      <x:c r="A28" s="2" t="n">
        <x:v>23</x:v>
      </x:c>
      <x:c r="B28" s="2" t="n">
        <x:v>2015</x:v>
      </x:c>
      <x:c r="C28" s="11" t="n">
        <x:v>46.6008295555556</x:v>
      </x:c>
      <x:c r="D28" s="11" t="n">
        <x:f>C28/0.5/166*1000</x:f>
        <x:v>561.4557777777783</x:v>
      </x:c>
      <x:c r="E28" s="2" t="str">
        <x:v>observed mean</x:v>
      </x:c>
      <x:c r="F28" s="2" t="n">
        <x:f>IF(A28=0,0,D28/A28)</x:f>
        <x:v>24.41112077294688</x:v>
      </x:c>
    </x:row>
    <x:row r="29" ht="22" customHeight="1">
      <x:c r="A29" s="2" t="n">
        <x:v>24</x:v>
      </x:c>
      <x:c r="B29" s="2" t="n">
        <x:v>2016</x:v>
      </x:c>
      <x:c r="C29" s="11" t="n">
        <x:v>48.8683268444444</x:v>
      </x:c>
      <x:c r="D29" s="11" t="n">
        <x:f>C29/0.5/166*1000</x:f>
        <x:v>588.7750222222217</x:v>
      </x:c>
      <x:c r="E29" s="2" t="str">
        <x:v>observed mean</x:v>
      </x:c>
      <x:c r="F29" s="2" t="n">
        <x:f>IF(A29=0,0,D29/A29)</x:f>
        <x:v>24.53229259259257</x:v>
      </x:c>
    </x:row>
    <x:row r="30" ht="22" customHeight="1">
      <x:c r="A30" s="2" t="n">
        <x:v>25</x:v>
      </x:c>
      <x:c r="B30" s="2" t="n">
        <x:v>2017</x:v>
      </x:c>
      <x:c r="C30" s="11" t="n">
        <x:v>50.99012408888889</x:v>
      </x:c>
      <x:c r="D30" s="11" t="n">
        <x:f>C30/0.5/166*1000</x:f>
        <x:v>614.3388444444445</x:v>
      </x:c>
      <x:c r="E30" s="2" t="str">
        <x:v>observed mean</x:v>
      </x:c>
      <x:c r="F30" s="2" t="n">
        <x:f>IF(A30=0,0,D30/A30)</x:f>
        <x:v>24.57355377777778</x:v>
      </x:c>
    </x:row>
    <x:row r="31" ht="22" customHeight="1">
      <x:c r="A31" s="2" t="n">
        <x:v>26</x:v>
      </x:c>
      <x:c r="B31" s="2" t="n">
        <x:v>2018</x:v>
      </x:c>
      <x:c r="C31" s="11" t="n">
        <x:v>53.7315458444444</x:v>
      </x:c>
      <x:c r="D31" s="11" t="n">
        <x:f>C31/0.5/166*1000</x:f>
        <x:v>647.3680222222217</x:v>
      </x:c>
      <x:c r="E31" s="2" t="str">
        <x:v>observed mean</x:v>
      </x:c>
      <x:c r="F31" s="2" t="n">
        <x:f>IF(A31=0,0,D31/A31)</x:f>
        <x:v>24.898770085470066</x:v>
      </x:c>
    </x:row>
    <x:row r="32" ht="22" customHeight="1">
      <x:c r="A32" s="2" t="n">
        <x:v>27</x:v>
      </x:c>
      <x:c r="B32" s="2" t="n">
        <x:v>2019</x:v>
      </x:c>
      <x:c r="C32" s="11" t="n">
        <x:v>55.5256111333333</x:v>
      </x:c>
      <x:c r="D32" s="11" t="n">
        <x:f>C32/0.5/166*1000</x:f>
        <x:v>668.9832666666663</x:v>
      </x:c>
      <x:c r="E32" s="2" t="str">
        <x:v>observed mean</x:v>
      </x:c>
      <x:c r="F32" s="2" t="n">
        <x:f>IF(A32=0,0,D32/A32)</x:f>
        <x:v>24.777158024691342</x:v>
      </x:c>
    </x:row>
    <x:row r="33" ht="22" customHeight="1">
      <x:c r="A33" s="2" t="n">
        <x:v>28</x:v>
      </x:c>
      <x:c r="B33" s="2" t="n">
        <x:v>2020</x:v>
      </x:c>
      <x:c r="C33" s="11" t="n">
        <x:v>57.43715646666671</x:v>
      </x:c>
      <x:c r="D33" s="11" t="n">
        <x:f>C33/0.5/166*1000</x:f>
        <x:v>692.0139333333339</x:v>
      </x:c>
      <x:c r="E33" s="2" t="str">
        <x:v>observed mean</x:v>
      </x:c>
      <x:c r="F33" s="2" t="n">
        <x:f>IF(A33=0,0,D33/A33)</x:f>
        <x:v>24.71478333333335</x:v>
      </x:c>
    </x:row>
    <x:row r="34" ht="22" customHeight="1">
      <x:c r="A34" s="2" t="n">
        <x:v>29</x:v>
      </x:c>
      <x:c r="B34" s="2" t="n">
        <x:v>2021</x:v>
      </x:c>
      <x:c r="C34" s="11" t="n">
        <x:v>61.2328036444444</x:v>
      </x:c>
      <x:c r="D34" s="11" t="n">
        <x:f>C34/0.5/166*1000</x:f>
        <x:v>737.7446222222217</x:v>
      </x:c>
      <x:c r="E34" s="2" t="str">
        <x:v>observed mean</x:v>
      </x:c>
      <x:c r="F34" s="2" t="n">
        <x:f>IF(A34=0,0,D34/A34)</x:f>
        <x:v>25.43946973180075</x:v>
      </x:c>
    </x:row>
    <x:row r="35" ht="22" customHeight="1">
      <x:c r="A35" s="2" t="n">
        <x:v>30</x:v>
      </x:c>
      <x:c r="B35" s="2" t="n">
        <x:v>2022</x:v>
      </x:c>
      <x:c r="C35" s="11" t="n">
        <x:v>63.44490304444441</x:v>
      </x:c>
      <x:c r="D35" s="11" t="n">
        <x:f>C35/0.5/166*1000</x:f>
        <x:v>764.3964222222219</x:v>
      </x:c>
      <x:c r="E35" s="2" t="str">
        <x:v>observed mean</x:v>
      </x:c>
      <x:c r="F35" s="2" t="n">
        <x:f>IF(A35=0,0,D35/A35)</x:f>
        <x:v>25.47988074074073</x:v>
      </x:c>
    </x:row>
    <x:row r="36" ht="22" customHeight="1">
      <x:c r="A36" s="2" t="n">
        <x:v>31</x:v>
      </x:c>
      <x:c r="B36" s="2" t="n">
        <x:v>2023</x:v>
      </x:c>
      <x:c r="C36" s="11" t="n">
        <x:v>65.7709300888889</x:v>
      </x:c>
      <x:c r="D36" s="11" t="n">
        <x:f>C36/0.5/166*1000</x:f>
        <x:v>792.4208444444446</x:v>
      </x:c>
      <x:c r="E36" s="2" t="str">
        <x:v>observed mean</x:v>
      </x:c>
      <x:c r="F36" s="2" t="n">
        <x:f>IF(A36=0,0,D36/A36)</x:f>
        <x:v>25.561962724014343</x:v>
      </x:c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70" hidden="0" customWidth="1"/>
    <x:col min="4" max="4" width="80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Sources and interpretation</x:v>
      </x:c>
      <x:c r="B2" s="2"/>
      <x:c r="C2" s="2"/>
      <x:c r="D2" s="2"/>
    </x:row>
    <x:row r="3" ht="22" customHeight="1">
      <x:c r="A3" s="2"/>
      <x:c r="B3" s="2"/>
      <x:c r="C3" s="2"/>
      <x:c r="D3" s="2"/>
    </x:row>
    <x:row r="4" ht="36" customHeight="1">
      <x:c r="A4" s="7" t="str">
        <x:v>Input or context</x:v>
      </x:c>
      <x:c r="B4" s="7" t="str">
        <x:v>Reference</x:v>
      </x:c>
      <x:c r="C4" s="7" t="str">
        <x:v>Location</x:v>
      </x:c>
      <x:c r="D4" s="7" t="str">
        <x:v>Interpretation</x:v>
      </x:c>
    </x:row>
    <x:row r="5" ht="62" customHeight="1">
      <x:c r="A5" s="20" t="str">
        <x:v>Trichobel AGB stocks</x:v>
      </x:c>
      <x:c r="B5" s="20" t="str">
        <x:v>annual_hybrid.csv</x:v>
      </x:c>
      <x:c r="C5" s="20" t="str">
        <x:v>data/processed/annual_hybrid.csv</x:v>
      </x:c>
      <x:c r="D5" s="20" t="str">
        <x:v>45 trees; arithmetic mean; 1993-2023; original carbon fraction 0.50 and density 166.</x:v>
      </x:c>
    </x:row>
    <x:row r="6" ht="62" customHeight="1">
      <x:c r="A6" s="20" t="str">
        <x:v>Tree-row SOC</x:v>
      </x:c>
      <x:c r="B6" s="20" t="str">
        <x:v>soc_sequestration_ESM_summary.csv</x:v>
      </x:c>
      <x:c r="C6" s="20" t="str">
        <x:v>results/tables/soc_sequestration_ESM_summary.csv</x:v>
      </x:c>
      <x:c r="D6" s="20" t="str">
        <x:v>Tree ESM minus arable fixed-depth stock / 32 years. Rate 0.651012993; profile SD 0.259344597 Mg C/ha/year. SD is descriptive, not a confidence interval.</x:v>
      </x:c>
    </x:row>
    <x:row r="7" ht="62" customHeight="1">
      <x:c r="A7" s="20" t="str">
        <x:v>CCC scenario context</x:v>
      </x:c>
      <x:c r="B7" s="20" t="str">
        <x:v>Thillainathan I (2021), Role of agroforestry and hedges in UK climate targets</x:v>
      </x:c>
      <x:c r="C7" s="20" t="str">
        <x:v>references/Role of AF in net zero Indra, T. 2021.pdf, slide 7</x:v>
      </x:c>
      <x:c r="D7" s="20" t="str">
        <x:v>Layout and 14%/7% context; not a like-for-like reproduction.</x:v>
      </x:c>
    </x:row>
    <x:row r="8" ht="62" customHeight="1">
      <x:c r="A8" s="20" t="str">
        <x:v>UK land denominators</x:v>
      </x:c>
      <x:c r="B8" s="20" t="str">
        <x:v>Defra Agriculture in the UK 2025, Table 2.1</x:v>
      </x:c>
      <x:c r="C8" s="20" t="str">
        <x:v>https://www.gov.uk/government/statistics/agriculture-in-the-united-kingdom-2025/chapter-2-structure-of-industry</x:v>
      </x:c>
      <x:c r="D8" s="20" t="str">
        <x:v>Use Defra 2025: croppable 6.125m ha; arable crops 4.089m ha. The cropped alternative excludes horticulture.</x:v>
      </x:c>
    </x:row>
    <x:row r="9" ht="62" customHeight="1">
      <x:c r="A9" s="20" t="str">
        <x:v>Root allocation and C fractions</x:v>
      </x:c>
      <x:c r="B9" s="20" t="str">
        <x:v>Schulz-Nielsen et al. 2026; Cairns et al. 1997</x:v>
      </x:c>
      <x:c r="C9" s="20" t="str">
        <x:v>https://doi.org/10.3390/f17030395</x:v>
      </x:c>
      <x:c r="D9" s="20" t="str">
        <x:v>0.4884 and 0.4690 are calculated unweighted summaries; root:shoot 0.26 retained as assumption.</x:v>
      </x:c>
    </x:row>
    <x:row r="10" ht="62" customHeight="1">
      <x:c r="A10" s="20" t="str">
        <x:v>Earlier net-zero modelling</x:v>
      </x:c>
      <x:c r="B10" s="20" t="str">
        <x:v>Burgess PJ and Graves A (2022), The Potential Contribution of Agroforestry to Net Zero Objectives</x:v>
      </x:c>
      <x:c r="C10" s="20" t="str">
        <x:v>https://dspace.lib.cranfield.ac.uk/handle/1826/18664</x:v>
      </x:c>
      <x:c r="D10" s="20" t="str">
        <x:v>Context; scenarios here omit emissions, harvesting and displacement, so are not net GHG balances.</x:v>
      </x:c>
    </x:row>
    <x:row r="11" ht="62" customHeight="1">
      <x:c r="A11" s="20" t="str">
        <x:v>SFI very low density</x:v>
      </x:c>
      <x:c r="B11" s="20" t="str">
        <x:v>AGF1 (checked 26 October 2026)</x:v>
      </x:c>
      <x:c r="C11" s="20" t="str">
        <x:v>https://www.gov.uk/find-funding-for-land-or-farms/agf1-maintain-very-low-density-in-field-agroforestry-on-less-sensitive-land</x:v>
      </x:c>
      <x:c r="D11" s="20" t="str">
        <x:v>30-50 trees/ha; GBP248/ha/year. England only; density does not establish full eligibility.</x:v>
      </x:c>
    </x:row>
    <x:row r="12" ht="62" customHeight="1">
      <x:c r="A12" s="20" t="str">
        <x:v>SFI low density</x:v>
      </x:c>
      <x:c r="B12" s="20" t="str">
        <x:v>AGF2 (checked 26 October 2026)</x:v>
      </x:c>
      <x:c r="C12" s="20" t="str">
        <x:v>https://www.gov.uk/find-funding-for-land-or-farms/agf2-maintain-low-density-in-field-agroforestry-on-less-sensitive-land</x:v>
      </x:c>
      <x:c r="D12" s="20" t="str">
        <x:v>51-130 trees/ha; GBP385/ha/year. Grassland 166 is outside these two bands.</x:v>
      </x:c>
    </x:row>
    <x:row r="13" ht="62" customHeight="1">
      <x:c r="A13" s="20" t="str">
        <x:v>Timing and transfer</x:v>
      </x:c>
      <x:c r="B13" s="20" t="str">
        <x:v>Scenario assumptions</x:v>
      </x:c>
      <x:c r="C13" s="20" t="str">
        <x:v>Inputs sheet</x:v>
      </x:c>
      <x:c r="D13" s="20" t="str">
        <x:v>Planting begins each calendar year; observed ages 1-30 used. Age31 measurement retained for context.</x:v>
      </x:c>
    </x:row>
    <x:row r="14" ht="62" customHeight="1">
      <x:c r="A14" s="20" t="str">
        <x:v>Interpolation</x:v>
      </x:c>
      <x:c r="B14" s="20" t="str">
        <x:v>Linear interpolation of mean stocks</x:v>
      </x:c>
      <x:c r="C14" s="20" t="str">
        <x:v>Growth source sheet</x:v>
      </x:c>
      <x:c r="D14" s="20" t="str">
        <x:v>Interpolated gaps are assumptions; no measured annual weather sequence forecast.</x:v>
      </x:c>
    </x:row>
    <x:row r="15" ht="62" customHeight="1">
      <x:c r="A15" s="20" t="str">
        <x:v>Grassland geometry</x:v>
      </x:c>
      <x:c r="B15" s="20" t="str">
        <x:v>Confirmed experimental analogue</x:v>
      </x:c>
      <x:c r="C15" s="20" t="str">
        <x:v>Inputs sheet</x:v>
      </x:c>
      <x:c r="D15" s="20" t="str">
        <x:v>166 trees/ha, 2m strips and 10m centres; 20% strips. 6m approximately within rows.</x:v>
      </x:c>
    </x:row>
    <x:row r="16" ht="62" customHeight="1">
      <x:c r="A16" s="20"/>
      <x:c r="B16" s="20"/>
      <x:c r="C16" s="20"/>
      <x:c r="D16" s="20"/>
    </x:row>
    <x:row r="17" ht="22" customHeight="1">
      <x:c r="A17" s="2"/>
      <x:c r="B17" s="2"/>
      <x:c r="C17" s="2"/>
      <x:c r="D17" s="2"/>
    </x:row>
    <x:row r="18" ht="22" customHeight="1">
      <x:c r="A18" s="2"/>
      <x:c r="B18" s="2"/>
      <x:c r="C18" s="2"/>
      <x:c r="D18" s="2"/>
    </x:row>
    <x:row r="19" ht="30" customHeight="1">
      <x:c r="A19" s="23" t="str">
        <x:v>SOC rate calibration</x:v>
      </x:c>
      <x:c r="B19" s="23" t="str">
        <x:v>Value</x:v>
      </x:c>
      <x:c r="C19" s="23" t="str">
        <x:v>Units</x:v>
      </x:c>
      <x:c r="D19" s="23" t="str">
        <x:v>Interpretation</x:v>
      </x:c>
    </x:row>
    <x:row r="20" ht="40" customHeight="1">
      <x:c r="A20" s="20" t="str">
        <x:v>Tree-row ESM mean stock</x:v>
      </x:c>
      <x:c r="B20" s="25" t="n">
        <x:v>80.19118034674052</x:v>
      </x:c>
      <x:c r="C20" s="20" t="str">
        <x:v>Mg C/ha</x:v>
      </x:c>
      <x:c r="D20" s="20" t="str">
        <x:v>21 complete tree-row cores</x:v>
      </x:c>
    </x:row>
    <x:row r="21" ht="40" customHeight="1">
      <x:c r="A21" s="24" t="str">
        <x:v>Arable FD mean stock</x:v>
      </x:c>
      <x:c r="B21" s="26" t="n">
        <x:v>59.35876455507928</x:v>
      </x:c>
      <x:c r="C21" s="24" t="str">
        <x:v>Mg C/ha</x:v>
      </x:c>
      <x:c r="D21" s="24" t="str">
        <x:v>47 complete arable cores</x:v>
      </x:c>
    </x:row>
    <x:row r="22" ht="40" customHeight="1">
      <x:c r="A22" s="24" t="str">
        <x:v>Duration</x:v>
      </x:c>
      <x:c r="B22" s="26" t="n">
        <x:v>32</x:v>
      </x:c>
      <x:c r="C22" s="24" t="str">
        <x:v>years</x:v>
      </x:c>
      <x:c r="D22" s="24" t="str">
        <x:v>Agreed duration 1992-2024</x:v>
      </x:c>
    </x:row>
    <x:row r="23" ht="40" customHeight="1">
      <x:c r="A23" s="24" t="str">
        <x:v>Annualised SOC excess</x:v>
      </x:c>
      <x:c r="B23" s="26" t="n">
        <x:f>(B20-B21)/B22</x:f>
        <x:v>0.6510129934894138</x:v>
      </x:c>
      <x:c r="C23" s="24" t="str">
        <x:v>Mg C/ha/year</x:v>
      </x:c>
      <x:c r="D23" s="24" t="str">
        <x:v>(Tree ESM - arable FD) / years</x:v>
      </x:c>
    </x:row>
    <x:row r="24" ht="40" customHeight="1">
      <x:c r="A24" s="24" t="str">
        <x:v>Tree-row stock SD</x:v>
      </x:c>
      <x:c r="B24" s="26" t="n">
        <x:v>8.299027111289577</x:v>
      </x:c>
      <x:c r="C24" s="24" t="str">
        <x:v>Mg C/ha</x:v>
      </x:c>
      <x:c r="D24" s="24" t="str">
        <x:v>Variation among tree cores</x:v>
      </x:c>
    </x:row>
    <x:row r="25" ht="40" customHeight="1">
      <x:c r="A25" s="24" t="str">
        <x:v>Annualised profile SD</x:v>
      </x:c>
      <x:c r="B25" s="26" t="n">
        <x:f>B24/B22</x:f>
        <x:v>0.2593445972277993</x:v>
      </x:c>
      <x:c r="C25" s="24" t="str">
        <x:v>Mg C/ha/year</x:v>
      </x:c>
      <x:c r="D25" s="24" t="str">
        <x:v>Tree-row stock SD / years; arable mean held fixed</x:v>
      </x:c>
    </x:row>
  </x:sheetData>
  <x:pageMargins left="0.7" right="0.7" top="0.75" bottom="0.75" header="0.3" footer="0.3"/>
</x:worksheet>
</file>